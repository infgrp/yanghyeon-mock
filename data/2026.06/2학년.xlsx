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j03h-my.sharepoint.com/personal/brian0129_jj03h_onmicrosoft_com/Documents/2024 양현고/2024 양현고/"/>
    </mc:Choice>
  </mc:AlternateContent>
  <xr:revisionPtr revIDLastSave="4" documentId="8_{FC1A7F83-EAA6-44D1-88E5-A0AC32F66B3F}" xr6:coauthVersionLast="47" xr6:coauthVersionMax="47" xr10:uidLastSave="{1F68E290-6739-4A27-9875-9B88D5502288}"/>
  <bookViews>
    <workbookView xWindow="28680" yWindow="-1890" windowWidth="29040" windowHeight="15720" xr2:uid="{299F86BE-D20D-4CB7-A62F-B138AD57247E}"/>
  </bookViews>
  <sheets>
    <sheet name="2학년 6월 모의고사" sheetId="1" r:id="rId1"/>
  </sheets>
  <externalReferences>
    <externalReference r:id="rId2"/>
    <externalReference r:id="rId3"/>
  </externalReferences>
  <definedNames>
    <definedName name="_xlnm._FilterDatabase" localSheetId="0" hidden="1">'2학년 6월 모의고사'!$A$3:$S$258</definedName>
    <definedName name="a">[1]인문!#REF!</definedName>
    <definedName name="n" localSheetId="0">[1]인문!#REF!</definedName>
    <definedName name="n">[1]인문!#REF!</definedName>
    <definedName name="nn">[1]인문!#REF!</definedName>
    <definedName name="과학탐구6">'2학년 6월 모의고사'!$AA$76:$AB$84</definedName>
    <definedName name="국어5">'2학년 6월 모의고사'!$Z$31:$AB$39</definedName>
    <definedName name="국어6">'2학년 6월 모의고사'!$AA$31:$AB$39</definedName>
    <definedName name="사회탐구6">'2학년 6월 모의고사'!$AA$67:$AB$75</definedName>
    <definedName name="선택">[2]선택과목명!$A$1:$A$3</definedName>
    <definedName name="수학6">'2학년 6월 모의고사'!$AA$40:$AB$48</definedName>
    <definedName name="영어6">'2학년 6월 모의고사'!$AA$49:$AB$57</definedName>
    <definedName name="탐구">[2]선택과목명!$B$2:$B$4</definedName>
    <definedName name="한국사6">'2학년 6월 모의고사'!$AA$58:$AB$66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0" i="1" l="1"/>
  <c r="E216" i="1"/>
  <c r="E130" i="1"/>
  <c r="Q115" i="1"/>
  <c r="P115" i="1"/>
  <c r="I101" i="1"/>
  <c r="I58" i="1"/>
  <c r="I27" i="1"/>
  <c r="L7" i="1"/>
  <c r="Q258" i="1" l="1"/>
  <c r="P258" i="1"/>
  <c r="N258" i="1"/>
  <c r="L258" i="1"/>
  <c r="I258" i="1"/>
  <c r="G258" i="1"/>
  <c r="E258" i="1"/>
  <c r="Q257" i="1"/>
  <c r="P257" i="1"/>
  <c r="N257" i="1"/>
  <c r="L257" i="1"/>
  <c r="I257" i="1"/>
  <c r="G257" i="1"/>
  <c r="E257" i="1"/>
  <c r="Q256" i="1"/>
  <c r="P256" i="1"/>
  <c r="N256" i="1"/>
  <c r="L256" i="1"/>
  <c r="I256" i="1"/>
  <c r="G256" i="1"/>
  <c r="E256" i="1"/>
  <c r="Q255" i="1"/>
  <c r="P255" i="1"/>
  <c r="N255" i="1"/>
  <c r="L255" i="1"/>
  <c r="I255" i="1"/>
  <c r="G255" i="1"/>
  <c r="E255" i="1"/>
  <c r="Q254" i="1"/>
  <c r="P254" i="1"/>
  <c r="N254" i="1"/>
  <c r="L254" i="1"/>
  <c r="I254" i="1"/>
  <c r="G254" i="1"/>
  <c r="E254" i="1"/>
  <c r="Q253" i="1"/>
  <c r="P253" i="1"/>
  <c r="N253" i="1"/>
  <c r="L253" i="1"/>
  <c r="I253" i="1"/>
  <c r="G253" i="1"/>
  <c r="E253" i="1"/>
  <c r="Q252" i="1"/>
  <c r="P252" i="1"/>
  <c r="N252" i="1"/>
  <c r="L252" i="1"/>
  <c r="I252" i="1"/>
  <c r="L249" i="1"/>
  <c r="G248" i="1"/>
  <c r="Q247" i="1"/>
  <c r="P247" i="1"/>
  <c r="L247" i="1"/>
  <c r="G247" i="1"/>
  <c r="Q246" i="1"/>
  <c r="P246" i="1"/>
  <c r="L246" i="1"/>
  <c r="G246" i="1"/>
  <c r="Q245" i="1"/>
  <c r="P245" i="1"/>
  <c r="G245" i="1"/>
  <c r="Q244" i="1"/>
  <c r="P244" i="1"/>
  <c r="P206" i="1"/>
  <c r="N206" i="1"/>
  <c r="L206" i="1"/>
  <c r="Q205" i="1"/>
  <c r="P205" i="1"/>
  <c r="G205" i="1"/>
  <c r="I204" i="1"/>
  <c r="L203" i="1"/>
  <c r="I203" i="1"/>
  <c r="N202" i="1"/>
  <c r="E202" i="1"/>
  <c r="I198" i="1"/>
  <c r="P197" i="1"/>
  <c r="N197" i="1"/>
  <c r="I195" i="1"/>
  <c r="G194" i="1"/>
  <c r="L193" i="1"/>
  <c r="I190" i="1"/>
  <c r="I189" i="1"/>
  <c r="G189" i="1"/>
  <c r="L188" i="1"/>
  <c r="Q187" i="1"/>
  <c r="P187" i="1"/>
  <c r="L170" i="1"/>
  <c r="N168" i="1"/>
  <c r="Q167" i="1"/>
  <c r="G166" i="1"/>
  <c r="L165" i="1"/>
  <c r="I165" i="1"/>
  <c r="I163" i="1"/>
  <c r="G163" i="1"/>
  <c r="I162" i="1"/>
  <c r="N160" i="1"/>
  <c r="I160" i="1"/>
  <c r="G160" i="1"/>
  <c r="E160" i="1"/>
  <c r="G159" i="1"/>
  <c r="I156" i="1"/>
  <c r="G156" i="1"/>
  <c r="I155" i="1"/>
  <c r="I154" i="1"/>
  <c r="I153" i="1"/>
  <c r="Q151" i="1"/>
  <c r="L151" i="1"/>
  <c r="I151" i="1"/>
  <c r="L149" i="1"/>
  <c r="P148" i="1"/>
  <c r="N148" i="1"/>
  <c r="Q147" i="1"/>
  <c r="P147" i="1"/>
  <c r="P146" i="1"/>
  <c r="N146" i="1"/>
  <c r="E145" i="1"/>
  <c r="L139" i="1"/>
  <c r="I139" i="1"/>
  <c r="P138" i="1"/>
  <c r="L137" i="1"/>
  <c r="N136" i="1"/>
  <c r="N135" i="1"/>
  <c r="Q133" i="1"/>
  <c r="Q132" i="1"/>
  <c r="N132" i="1"/>
  <c r="N130" i="1"/>
  <c r="L130" i="1"/>
  <c r="I130" i="1"/>
  <c r="E127" i="1"/>
  <c r="Q126" i="1"/>
  <c r="P126" i="1"/>
  <c r="G126" i="1"/>
  <c r="G124" i="1"/>
  <c r="G123" i="1"/>
  <c r="E123" i="1"/>
  <c r="Q121" i="1"/>
  <c r="E121" i="1"/>
  <c r="Q120" i="1"/>
  <c r="P120" i="1"/>
  <c r="N120" i="1"/>
  <c r="P119" i="1"/>
  <c r="N119" i="1"/>
  <c r="E119" i="1"/>
  <c r="Q118" i="1"/>
  <c r="N118" i="1"/>
  <c r="G118" i="1"/>
  <c r="E118" i="1"/>
  <c r="Q117" i="1"/>
  <c r="P116" i="1"/>
  <c r="L116" i="1"/>
  <c r="I116" i="1"/>
  <c r="E116" i="1"/>
  <c r="P112" i="1"/>
  <c r="E112" i="1"/>
  <c r="L111" i="1"/>
  <c r="P110" i="1"/>
  <c r="N108" i="1"/>
  <c r="L108" i="1"/>
  <c r="Q107" i="1"/>
  <c r="P106" i="1"/>
  <c r="I105" i="1"/>
  <c r="E103" i="1"/>
  <c r="Q102" i="1"/>
  <c r="P102" i="1"/>
  <c r="N101" i="1"/>
  <c r="P96" i="1"/>
  <c r="I95" i="1"/>
  <c r="G95" i="1"/>
  <c r="G92" i="1"/>
  <c r="E91" i="1"/>
  <c r="L90" i="1"/>
  <c r="Q89" i="1"/>
  <c r="I89" i="1"/>
  <c r="G89" i="1"/>
  <c r="I88" i="1"/>
  <c r="Q87" i="1"/>
  <c r="E87" i="1"/>
  <c r="Q86" i="1"/>
  <c r="I86" i="1"/>
  <c r="P84" i="1"/>
  <c r="G84" i="1"/>
  <c r="Q83" i="1"/>
  <c r="L83" i="1"/>
  <c r="N81" i="1"/>
  <c r="E81" i="1"/>
  <c r="Q80" i="1"/>
  <c r="N80" i="1"/>
  <c r="L80" i="1"/>
  <c r="E80" i="1"/>
  <c r="Q79" i="1"/>
  <c r="L79" i="1"/>
  <c r="Q78" i="1"/>
  <c r="N78" i="1"/>
  <c r="G78" i="1"/>
  <c r="P77" i="1"/>
  <c r="E77" i="1"/>
  <c r="P76" i="1"/>
  <c r="N76" i="1"/>
  <c r="L74" i="1"/>
  <c r="Q72" i="1"/>
  <c r="L72" i="1"/>
  <c r="I72" i="1"/>
  <c r="G72" i="1"/>
  <c r="E72" i="1"/>
  <c r="Q71" i="1"/>
  <c r="E71" i="1"/>
  <c r="G70" i="1"/>
  <c r="P68" i="1"/>
  <c r="L68" i="1"/>
  <c r="G67" i="1"/>
  <c r="E67" i="1"/>
  <c r="L66" i="1"/>
  <c r="I66" i="1"/>
  <c r="L65" i="1"/>
  <c r="P64" i="1"/>
  <c r="I64" i="1"/>
  <c r="G64" i="1"/>
  <c r="N63" i="1"/>
  <c r="E63" i="1"/>
  <c r="N62" i="1"/>
  <c r="I62" i="1"/>
  <c r="I59" i="1"/>
  <c r="G49" i="1"/>
  <c r="E47" i="1"/>
  <c r="L44" i="1"/>
  <c r="I44" i="1"/>
  <c r="Q43" i="1"/>
  <c r="P42" i="1"/>
  <c r="L42" i="1"/>
  <c r="G42" i="1"/>
  <c r="E42" i="1"/>
  <c r="L41" i="1"/>
  <c r="I41" i="1"/>
  <c r="G41" i="1"/>
  <c r="P40" i="1"/>
  <c r="N40" i="1"/>
  <c r="Q39" i="1"/>
  <c r="P39" i="1"/>
  <c r="N38" i="1"/>
  <c r="N37" i="1"/>
  <c r="Q35" i="1"/>
  <c r="P35" i="1"/>
  <c r="I35" i="1"/>
  <c r="E35" i="1"/>
  <c r="N34" i="1"/>
  <c r="L34" i="1"/>
  <c r="P32" i="1"/>
  <c r="Q31" i="1"/>
  <c r="G28" i="1"/>
  <c r="E26" i="1"/>
  <c r="P25" i="1"/>
  <c r="G25" i="1"/>
  <c r="E25" i="1"/>
  <c r="N24" i="1"/>
  <c r="G24" i="1"/>
  <c r="I23" i="1"/>
  <c r="G23" i="1"/>
  <c r="E23" i="1"/>
  <c r="E22" i="1"/>
  <c r="L21" i="1"/>
  <c r="G20" i="1"/>
  <c r="N19" i="1"/>
  <c r="N244" i="1"/>
  <c r="L244" i="1"/>
  <c r="I244" i="1"/>
  <c r="G244" i="1"/>
  <c r="E244" i="1"/>
  <c r="Q243" i="1"/>
  <c r="P243" i="1"/>
  <c r="N243" i="1"/>
  <c r="L243" i="1"/>
  <c r="I243" i="1"/>
  <c r="G243" i="1"/>
  <c r="E243" i="1"/>
  <c r="Q242" i="1"/>
  <c r="P242" i="1"/>
  <c r="N242" i="1"/>
  <c r="L242" i="1"/>
  <c r="I242" i="1"/>
  <c r="G242" i="1"/>
  <c r="E242" i="1"/>
  <c r="Q241" i="1"/>
  <c r="P241" i="1"/>
  <c r="N241" i="1"/>
  <c r="L241" i="1"/>
  <c r="I241" i="1"/>
  <c r="G241" i="1"/>
  <c r="E241" i="1"/>
  <c r="Q240" i="1"/>
  <c r="P240" i="1"/>
  <c r="N240" i="1"/>
  <c r="L240" i="1"/>
  <c r="I240" i="1"/>
  <c r="G240" i="1"/>
  <c r="E240" i="1"/>
  <c r="Q239" i="1"/>
  <c r="P239" i="1"/>
  <c r="N239" i="1"/>
  <c r="L239" i="1"/>
  <c r="I239" i="1"/>
  <c r="G239" i="1"/>
  <c r="E239" i="1"/>
  <c r="Q238" i="1"/>
  <c r="P238" i="1"/>
  <c r="N238" i="1"/>
  <c r="L238" i="1"/>
  <c r="I238" i="1"/>
  <c r="G238" i="1"/>
  <c r="E238" i="1"/>
  <c r="Q237" i="1"/>
  <c r="P237" i="1"/>
  <c r="N237" i="1"/>
  <c r="L237" i="1"/>
  <c r="I237" i="1"/>
  <c r="G237" i="1"/>
  <c r="E237" i="1"/>
  <c r="Q236" i="1"/>
  <c r="P236" i="1"/>
  <c r="N236" i="1"/>
  <c r="L236" i="1"/>
  <c r="I236" i="1"/>
  <c r="G236" i="1"/>
  <c r="E236" i="1"/>
  <c r="Q235" i="1"/>
  <c r="P235" i="1"/>
  <c r="N235" i="1"/>
  <c r="L235" i="1"/>
  <c r="I235" i="1"/>
  <c r="G235" i="1"/>
  <c r="E235" i="1"/>
  <c r="Q234" i="1"/>
  <c r="P234" i="1"/>
  <c r="N234" i="1"/>
  <c r="L234" i="1"/>
  <c r="I234" i="1"/>
  <c r="G234" i="1"/>
  <c r="E234" i="1"/>
  <c r="Q233" i="1"/>
  <c r="P233" i="1"/>
  <c r="N233" i="1"/>
  <c r="L233" i="1"/>
  <c r="I233" i="1"/>
  <c r="G233" i="1"/>
  <c r="E233" i="1"/>
  <c r="Q232" i="1"/>
  <c r="P232" i="1"/>
  <c r="N232" i="1"/>
  <c r="L232" i="1"/>
  <c r="I232" i="1"/>
  <c r="G232" i="1"/>
  <c r="E232" i="1"/>
  <c r="Q231" i="1"/>
  <c r="P231" i="1"/>
  <c r="N231" i="1"/>
  <c r="L231" i="1"/>
  <c r="I231" i="1"/>
  <c r="G231" i="1"/>
  <c r="E231" i="1"/>
  <c r="Q230" i="1"/>
  <c r="P230" i="1"/>
  <c r="N230" i="1"/>
  <c r="L230" i="1"/>
  <c r="G218" i="1"/>
  <c r="Q217" i="1"/>
  <c r="P217" i="1"/>
  <c r="L217" i="1"/>
  <c r="G217" i="1"/>
  <c r="Q216" i="1"/>
  <c r="P216" i="1"/>
  <c r="L216" i="1"/>
  <c r="G216" i="1"/>
  <c r="G214" i="1"/>
  <c r="Q213" i="1"/>
  <c r="P213" i="1"/>
  <c r="L213" i="1"/>
  <c r="E213" i="1"/>
  <c r="P212" i="1"/>
  <c r="L212" i="1"/>
  <c r="G212" i="1"/>
  <c r="N211" i="1"/>
  <c r="E211" i="1"/>
  <c r="N210" i="1"/>
  <c r="E210" i="1"/>
  <c r="N209" i="1"/>
  <c r="I209" i="1"/>
  <c r="E209" i="1"/>
  <c r="P208" i="1"/>
  <c r="N208" i="1"/>
  <c r="L208" i="1"/>
  <c r="G208" i="1"/>
  <c r="Q207" i="1"/>
  <c r="P207" i="1"/>
  <c r="L207" i="1"/>
  <c r="I206" i="1"/>
  <c r="G206" i="1"/>
  <c r="G204" i="1"/>
  <c r="E204" i="1"/>
  <c r="Q203" i="1"/>
  <c r="E203" i="1"/>
  <c r="Q202" i="1"/>
  <c r="P202" i="1"/>
  <c r="N198" i="1"/>
  <c r="E198" i="1"/>
  <c r="I197" i="1"/>
  <c r="I196" i="1"/>
  <c r="L195" i="1"/>
  <c r="Q194" i="1"/>
  <c r="P194" i="1"/>
  <c r="N194" i="1"/>
  <c r="E194" i="1"/>
  <c r="I193" i="1"/>
  <c r="G193" i="1"/>
  <c r="E193" i="1"/>
  <c r="G192" i="1"/>
  <c r="Q190" i="1"/>
  <c r="P190" i="1"/>
  <c r="E190" i="1"/>
  <c r="E189" i="1"/>
  <c r="P188" i="1"/>
  <c r="I188" i="1"/>
  <c r="L187" i="1"/>
  <c r="N170" i="1"/>
  <c r="I168" i="1"/>
  <c r="G168" i="1"/>
  <c r="I166" i="1"/>
  <c r="L163" i="1"/>
  <c r="P162" i="1"/>
  <c r="N162" i="1"/>
  <c r="P160" i="1"/>
  <c r="Q159" i="1"/>
  <c r="L156" i="1"/>
  <c r="G155" i="1"/>
  <c r="G154" i="1"/>
  <c r="E154" i="1"/>
  <c r="G153" i="1"/>
  <c r="E153" i="1"/>
  <c r="G151" i="1"/>
  <c r="G150" i="1"/>
  <c r="E150" i="1"/>
  <c r="L148" i="1"/>
  <c r="I148" i="1"/>
  <c r="L147" i="1"/>
  <c r="P145" i="1"/>
  <c r="P144" i="1"/>
  <c r="P141" i="1"/>
  <c r="N141" i="1"/>
  <c r="P140" i="1"/>
  <c r="P139" i="1"/>
  <c r="Q138" i="1"/>
  <c r="I134" i="1"/>
  <c r="G134" i="1"/>
  <c r="E134" i="1"/>
  <c r="E132" i="1"/>
  <c r="Q131" i="1"/>
  <c r="Q130" i="1"/>
  <c r="G130" i="1"/>
  <c r="L127" i="1"/>
  <c r="E126" i="1"/>
  <c r="G125" i="1"/>
  <c r="Q123" i="1"/>
  <c r="G120" i="1"/>
  <c r="Q119" i="1"/>
  <c r="G119" i="1"/>
  <c r="N113" i="1"/>
  <c r="I112" i="1"/>
  <c r="G112" i="1"/>
  <c r="N110" i="1"/>
  <c r="E109" i="1"/>
  <c r="P108" i="1"/>
  <c r="I108" i="1"/>
  <c r="E106" i="1"/>
  <c r="E105" i="1"/>
  <c r="P104" i="1"/>
  <c r="L104" i="1"/>
  <c r="I104" i="1"/>
  <c r="G104" i="1"/>
  <c r="I103" i="1"/>
  <c r="G103" i="1"/>
  <c r="I102" i="1"/>
  <c r="G102" i="1"/>
  <c r="E102" i="1"/>
  <c r="G97" i="1"/>
  <c r="Q96" i="1"/>
  <c r="N96" i="1"/>
  <c r="L96" i="1"/>
  <c r="I96" i="1"/>
  <c r="E96" i="1"/>
  <c r="E95" i="1"/>
  <c r="Q94" i="1"/>
  <c r="N91" i="1"/>
  <c r="P90" i="1"/>
  <c r="N90" i="1"/>
  <c r="E88" i="1"/>
  <c r="N87" i="1"/>
  <c r="L87" i="1"/>
  <c r="N86" i="1"/>
  <c r="P85" i="1"/>
  <c r="L85" i="1"/>
  <c r="G85" i="1"/>
  <c r="E85" i="1"/>
  <c r="N82" i="1"/>
  <c r="P81" i="1"/>
  <c r="I81" i="1"/>
  <c r="P80" i="1"/>
  <c r="N77" i="1"/>
  <c r="G75" i="1"/>
  <c r="N74" i="1"/>
  <c r="I74" i="1"/>
  <c r="E74" i="1"/>
  <c r="P73" i="1"/>
  <c r="E73" i="1"/>
  <c r="N72" i="1"/>
  <c r="N71" i="1"/>
  <c r="N70" i="1"/>
  <c r="E70" i="1"/>
  <c r="I69" i="1"/>
  <c r="P66" i="1"/>
  <c r="N66" i="1"/>
  <c r="Q64" i="1"/>
  <c r="I63" i="1"/>
  <c r="P62" i="1"/>
  <c r="L62" i="1"/>
  <c r="E61" i="1"/>
  <c r="I60" i="1"/>
  <c r="L58" i="1"/>
  <c r="N49" i="1"/>
  <c r="N48" i="1"/>
  <c r="L48" i="1"/>
  <c r="P47" i="1"/>
  <c r="N46" i="1"/>
  <c r="I46" i="1"/>
  <c r="P45" i="1"/>
  <c r="G45" i="1"/>
  <c r="N43" i="1"/>
  <c r="I43" i="1"/>
  <c r="E43" i="1"/>
  <c r="P41" i="1"/>
  <c r="L40" i="1"/>
  <c r="I38" i="1"/>
  <c r="E38" i="1"/>
  <c r="P37" i="1"/>
  <c r="E36" i="1"/>
  <c r="N35" i="1"/>
  <c r="P33" i="1"/>
  <c r="N30" i="1"/>
  <c r="G30" i="1"/>
  <c r="Q29" i="1"/>
  <c r="N29" i="1"/>
  <c r="L29" i="1"/>
  <c r="L26" i="1"/>
  <c r="Q25" i="1"/>
  <c r="P24" i="1"/>
  <c r="E24" i="1"/>
  <c r="G21" i="1"/>
  <c r="I230" i="1"/>
  <c r="G230" i="1"/>
  <c r="E230" i="1"/>
  <c r="Q229" i="1"/>
  <c r="P229" i="1"/>
  <c r="N229" i="1"/>
  <c r="L229" i="1"/>
  <c r="I229" i="1"/>
  <c r="G229" i="1"/>
  <c r="E229" i="1"/>
  <c r="Q228" i="1"/>
  <c r="P228" i="1"/>
  <c r="N228" i="1"/>
  <c r="L228" i="1"/>
  <c r="I228" i="1"/>
  <c r="G228" i="1"/>
  <c r="E228" i="1"/>
  <c r="Q227" i="1"/>
  <c r="P227" i="1"/>
  <c r="N227" i="1"/>
  <c r="L227" i="1"/>
  <c r="I227" i="1"/>
  <c r="G227" i="1"/>
  <c r="E227" i="1"/>
  <c r="Q226" i="1"/>
  <c r="P226" i="1"/>
  <c r="N226" i="1"/>
  <c r="L226" i="1"/>
  <c r="I226" i="1"/>
  <c r="G226" i="1"/>
  <c r="E226" i="1"/>
  <c r="Q225" i="1"/>
  <c r="P225" i="1"/>
  <c r="N225" i="1"/>
  <c r="L225" i="1"/>
  <c r="I225" i="1"/>
  <c r="G225" i="1"/>
  <c r="E225" i="1"/>
  <c r="Q224" i="1"/>
  <c r="P224" i="1"/>
  <c r="N224" i="1"/>
  <c r="L224" i="1"/>
  <c r="I224" i="1"/>
  <c r="G224" i="1"/>
  <c r="E224" i="1"/>
  <c r="Q223" i="1"/>
  <c r="P223" i="1"/>
  <c r="N223" i="1"/>
  <c r="L223" i="1"/>
  <c r="I223" i="1"/>
  <c r="G223" i="1"/>
  <c r="E223" i="1"/>
  <c r="Q222" i="1"/>
  <c r="P222" i="1"/>
  <c r="N222" i="1"/>
  <c r="L222" i="1"/>
  <c r="I222" i="1"/>
  <c r="G222" i="1"/>
  <c r="E222" i="1"/>
  <c r="Q221" i="1"/>
  <c r="P221" i="1"/>
  <c r="N221" i="1"/>
  <c r="L221" i="1"/>
  <c r="I221" i="1"/>
  <c r="G221" i="1"/>
  <c r="E221" i="1"/>
  <c r="Q220" i="1"/>
  <c r="P220" i="1"/>
  <c r="N220" i="1"/>
  <c r="L220" i="1"/>
  <c r="I220" i="1"/>
  <c r="G220" i="1"/>
  <c r="E220" i="1"/>
  <c r="Q219" i="1"/>
  <c r="P219" i="1"/>
  <c r="N219" i="1"/>
  <c r="L219" i="1"/>
  <c r="I219" i="1"/>
  <c r="G219" i="1"/>
  <c r="E219" i="1"/>
  <c r="Q218" i="1"/>
  <c r="P218" i="1"/>
  <c r="N218" i="1"/>
  <c r="L218" i="1"/>
  <c r="I218" i="1"/>
  <c r="E218" i="1"/>
  <c r="N217" i="1"/>
  <c r="I217" i="1"/>
  <c r="E217" i="1"/>
  <c r="N216" i="1"/>
  <c r="I216" i="1"/>
  <c r="E214" i="1"/>
  <c r="N213" i="1"/>
  <c r="I213" i="1"/>
  <c r="G213" i="1"/>
  <c r="N212" i="1"/>
  <c r="I212" i="1"/>
  <c r="L211" i="1"/>
  <c r="I211" i="1"/>
  <c r="G211" i="1"/>
  <c r="Q210" i="1"/>
  <c r="P210" i="1"/>
  <c r="L210" i="1"/>
  <c r="G210" i="1"/>
  <c r="Q209" i="1"/>
  <c r="P209" i="1"/>
  <c r="L209" i="1"/>
  <c r="G209" i="1"/>
  <c r="Q208" i="1"/>
  <c r="I208" i="1"/>
  <c r="E208" i="1"/>
  <c r="N207" i="1"/>
  <c r="I207" i="1"/>
  <c r="Q206" i="1"/>
  <c r="E206" i="1"/>
  <c r="I205" i="1"/>
  <c r="P203" i="1"/>
  <c r="N203" i="1"/>
  <c r="I202" i="1"/>
  <c r="G202" i="1"/>
  <c r="L198" i="1"/>
  <c r="Q197" i="1"/>
  <c r="P196" i="1"/>
  <c r="N196" i="1"/>
  <c r="L196" i="1"/>
  <c r="P195" i="1"/>
  <c r="N195" i="1"/>
  <c r="L194" i="1"/>
  <c r="I194" i="1"/>
  <c r="P193" i="1"/>
  <c r="Q192" i="1"/>
  <c r="P192" i="1"/>
  <c r="I191" i="1"/>
  <c r="P189" i="1"/>
  <c r="I170" i="1"/>
  <c r="G170" i="1"/>
  <c r="I169" i="1"/>
  <c r="G169" i="1"/>
  <c r="E169" i="1"/>
  <c r="Q168" i="1"/>
  <c r="P167" i="1"/>
  <c r="N167" i="1"/>
  <c r="E166" i="1"/>
  <c r="Q165" i="1"/>
  <c r="P165" i="1"/>
  <c r="Q164" i="1"/>
  <c r="P164" i="1"/>
  <c r="E163" i="1"/>
  <c r="Q162" i="1"/>
  <c r="Q161" i="1"/>
  <c r="P161" i="1"/>
  <c r="L160" i="1"/>
  <c r="E159" i="1"/>
  <c r="N156" i="1"/>
  <c r="Q154" i="1"/>
  <c r="P153" i="1"/>
  <c r="Q152" i="1"/>
  <c r="P151" i="1"/>
  <c r="N151" i="1"/>
  <c r="N150" i="1"/>
  <c r="L150" i="1"/>
  <c r="I150" i="1"/>
  <c r="I149" i="1"/>
  <c r="G149" i="1"/>
  <c r="N147" i="1"/>
  <c r="Q146" i="1"/>
  <c r="L146" i="1"/>
  <c r="N145" i="1"/>
  <c r="E142" i="1"/>
  <c r="Q141" i="1"/>
  <c r="E140" i="1"/>
  <c r="Q139" i="1"/>
  <c r="N139" i="1"/>
  <c r="N138" i="1"/>
  <c r="G138" i="1"/>
  <c r="E138" i="1"/>
  <c r="P137" i="1"/>
  <c r="Q136" i="1"/>
  <c r="L135" i="1"/>
  <c r="G135" i="1"/>
  <c r="N133" i="1"/>
  <c r="I133" i="1"/>
  <c r="G133" i="1"/>
  <c r="E133" i="1"/>
  <c r="G132" i="1"/>
  <c r="G131" i="1"/>
  <c r="Q125" i="1"/>
  <c r="P125" i="1"/>
  <c r="N125" i="1"/>
  <c r="L125" i="1"/>
  <c r="Q124" i="1"/>
  <c r="N124" i="1"/>
  <c r="L124" i="1"/>
  <c r="I124" i="1"/>
  <c r="L122" i="1"/>
  <c r="G122" i="1"/>
  <c r="E122" i="1"/>
  <c r="I119" i="1"/>
  <c r="L118" i="1"/>
  <c r="L113" i="1"/>
  <c r="I113" i="1"/>
  <c r="N111" i="1"/>
  <c r="G110" i="1"/>
  <c r="G108" i="1"/>
  <c r="N107" i="1"/>
  <c r="L107" i="1"/>
  <c r="Q106" i="1"/>
  <c r="P105" i="1"/>
  <c r="N105" i="1"/>
  <c r="Q103" i="1"/>
  <c r="Q101" i="1"/>
  <c r="E97" i="1"/>
  <c r="P95" i="1"/>
  <c r="N95" i="1"/>
  <c r="P94" i="1"/>
  <c r="Q93" i="1"/>
  <c r="Q92" i="1"/>
  <c r="N92" i="1"/>
  <c r="E92" i="1"/>
  <c r="Q91" i="1"/>
  <c r="L91" i="1"/>
  <c r="G91" i="1"/>
  <c r="N89" i="1"/>
  <c r="N88" i="1"/>
  <c r="L88" i="1"/>
  <c r="G88" i="1"/>
  <c r="G86" i="1"/>
  <c r="Q85" i="1"/>
  <c r="I84" i="1"/>
  <c r="Q82" i="1"/>
  <c r="L82" i="1"/>
  <c r="I82" i="1"/>
  <c r="G80" i="1"/>
  <c r="P79" i="1"/>
  <c r="E78" i="1"/>
  <c r="L77" i="1"/>
  <c r="I77" i="1"/>
  <c r="N73" i="1"/>
  <c r="I71" i="1"/>
  <c r="N69" i="1"/>
  <c r="G68" i="1"/>
  <c r="E68" i="1"/>
  <c r="Q67" i="1"/>
  <c r="Q66" i="1"/>
  <c r="G66" i="1"/>
  <c r="E66" i="1"/>
  <c r="Q65" i="1"/>
  <c r="P65" i="1"/>
  <c r="N65" i="1"/>
  <c r="N64" i="1"/>
  <c r="G63" i="1"/>
  <c r="E62" i="1"/>
  <c r="Q61" i="1"/>
  <c r="I61" i="1"/>
  <c r="Q60" i="1"/>
  <c r="P60" i="1"/>
  <c r="E59" i="1"/>
  <c r="P58" i="1"/>
  <c r="E50" i="1"/>
  <c r="P49" i="1"/>
  <c r="L49" i="1"/>
  <c r="I49" i="1"/>
  <c r="G48" i="1"/>
  <c r="G47" i="1"/>
  <c r="Q45" i="1"/>
  <c r="N45" i="1"/>
  <c r="L45" i="1"/>
  <c r="E45" i="1"/>
  <c r="P44" i="1"/>
  <c r="N44" i="1"/>
  <c r="L43" i="1"/>
  <c r="G43" i="1"/>
  <c r="E40" i="1"/>
  <c r="I39" i="1"/>
  <c r="E39" i="1"/>
  <c r="P38" i="1"/>
  <c r="L38" i="1"/>
  <c r="G38" i="1"/>
  <c r="L37" i="1"/>
  <c r="I37" i="1"/>
  <c r="N36" i="1"/>
  <c r="I36" i="1"/>
  <c r="G36" i="1"/>
  <c r="G35" i="1"/>
  <c r="Q34" i="1"/>
  <c r="N33" i="1"/>
  <c r="I33" i="1"/>
  <c r="G33" i="1"/>
  <c r="P28" i="1"/>
  <c r="L27" i="1"/>
  <c r="E27" i="1"/>
  <c r="L24" i="1"/>
  <c r="N23" i="1"/>
  <c r="L23" i="1"/>
  <c r="P22" i="1"/>
  <c r="Q19" i="1"/>
  <c r="Q215" i="1"/>
  <c r="P215" i="1"/>
  <c r="N215" i="1"/>
  <c r="L215" i="1"/>
  <c r="I215" i="1"/>
  <c r="G215" i="1"/>
  <c r="E215" i="1"/>
  <c r="Q214" i="1"/>
  <c r="P214" i="1"/>
  <c r="N214" i="1"/>
  <c r="L214" i="1"/>
  <c r="I214" i="1"/>
  <c r="E212" i="1"/>
  <c r="Q211" i="1"/>
  <c r="P211" i="1"/>
  <c r="I210" i="1"/>
  <c r="G197" i="1"/>
  <c r="E197" i="1"/>
  <c r="Q189" i="1"/>
  <c r="P168" i="1"/>
  <c r="N164" i="1"/>
  <c r="G152" i="1"/>
  <c r="E152" i="1"/>
  <c r="E151" i="1"/>
  <c r="L140" i="1"/>
  <c r="E139" i="1"/>
  <c r="I137" i="1"/>
  <c r="L136" i="1"/>
  <c r="L133" i="1"/>
  <c r="I131" i="1"/>
  <c r="E131" i="1"/>
  <c r="I127" i="1"/>
  <c r="I121" i="1"/>
  <c r="L120" i="1"/>
  <c r="E117" i="1"/>
  <c r="L110" i="1"/>
  <c r="E108" i="1"/>
  <c r="E84" i="1"/>
  <c r="G81" i="1"/>
  <c r="L75" i="1"/>
  <c r="Q74" i="1"/>
  <c r="G71" i="1"/>
  <c r="I70" i="1"/>
  <c r="G69" i="1"/>
  <c r="Q68" i="1"/>
  <c r="L63" i="1"/>
  <c r="Q36" i="1"/>
  <c r="I34" i="1"/>
  <c r="I32" i="1"/>
  <c r="N31" i="1"/>
  <c r="L31" i="1"/>
  <c r="I31" i="1"/>
  <c r="G31" i="1"/>
  <c r="I30" i="1"/>
  <c r="I29" i="1"/>
  <c r="G29" i="1"/>
  <c r="E29" i="1"/>
  <c r="N28" i="1"/>
  <c r="L25" i="1"/>
  <c r="I24" i="1"/>
  <c r="Q23" i="1"/>
  <c r="G22" i="1"/>
  <c r="Q20" i="1"/>
  <c r="N201" i="1"/>
  <c r="L201" i="1"/>
  <c r="I201" i="1"/>
  <c r="G201" i="1"/>
  <c r="E201" i="1"/>
  <c r="Q200" i="1"/>
  <c r="P200" i="1"/>
  <c r="N200" i="1"/>
  <c r="L200" i="1"/>
  <c r="I200" i="1"/>
  <c r="G200" i="1"/>
  <c r="E200" i="1"/>
  <c r="Q199" i="1"/>
  <c r="P199" i="1"/>
  <c r="N199" i="1"/>
  <c r="L199" i="1"/>
  <c r="I199" i="1"/>
  <c r="G199" i="1"/>
  <c r="E199" i="1"/>
  <c r="Q198" i="1"/>
  <c r="P198" i="1"/>
  <c r="N165" i="1"/>
  <c r="I161" i="1"/>
  <c r="E156" i="1"/>
  <c r="N155" i="1"/>
  <c r="L138" i="1"/>
  <c r="I122" i="1"/>
  <c r="I120" i="1"/>
  <c r="I110" i="1"/>
  <c r="L109" i="1"/>
  <c r="E104" i="1"/>
  <c r="I92" i="1"/>
  <c r="E86" i="1"/>
  <c r="I85" i="1"/>
  <c r="I78" i="1"/>
  <c r="Q73" i="1"/>
  <c r="E69" i="1"/>
  <c r="I68" i="1"/>
  <c r="Q63" i="1"/>
  <c r="L60" i="1"/>
  <c r="G60" i="1"/>
  <c r="Q49" i="1"/>
  <c r="Q40" i="1"/>
  <c r="P34" i="1"/>
  <c r="P31" i="1"/>
  <c r="E30" i="1"/>
  <c r="Q28" i="1"/>
  <c r="E28" i="1"/>
  <c r="Q26" i="1"/>
  <c r="G26" i="1"/>
  <c r="I25" i="1"/>
  <c r="N21" i="1"/>
  <c r="I21" i="1"/>
  <c r="P20" i="1"/>
  <c r="E20" i="1"/>
  <c r="I19" i="1"/>
  <c r="E19" i="1"/>
  <c r="I187" i="1"/>
  <c r="G187" i="1"/>
  <c r="E187" i="1"/>
  <c r="Q186" i="1"/>
  <c r="P186" i="1"/>
  <c r="N186" i="1"/>
  <c r="L186" i="1"/>
  <c r="I186" i="1"/>
  <c r="G186" i="1"/>
  <c r="E186" i="1"/>
  <c r="Q185" i="1"/>
  <c r="P185" i="1"/>
  <c r="N185" i="1"/>
  <c r="L185" i="1"/>
  <c r="I185" i="1"/>
  <c r="G185" i="1"/>
  <c r="E185" i="1"/>
  <c r="Q184" i="1"/>
  <c r="P184" i="1"/>
  <c r="N184" i="1"/>
  <c r="L184" i="1"/>
  <c r="I184" i="1"/>
  <c r="G184" i="1"/>
  <c r="E184" i="1"/>
  <c r="Q183" i="1"/>
  <c r="P183" i="1"/>
  <c r="N183" i="1"/>
  <c r="L183" i="1"/>
  <c r="I183" i="1"/>
  <c r="G183" i="1"/>
  <c r="E183" i="1"/>
  <c r="Q182" i="1"/>
  <c r="P182" i="1"/>
  <c r="N182" i="1"/>
  <c r="L182" i="1"/>
  <c r="I182" i="1"/>
  <c r="G182" i="1"/>
  <c r="E182" i="1"/>
  <c r="Q181" i="1"/>
  <c r="P181" i="1"/>
  <c r="N181" i="1"/>
  <c r="L181" i="1"/>
  <c r="I181" i="1"/>
  <c r="G181" i="1"/>
  <c r="E181" i="1"/>
  <c r="Q180" i="1"/>
  <c r="P180" i="1"/>
  <c r="N180" i="1"/>
  <c r="L180" i="1"/>
  <c r="I180" i="1"/>
  <c r="G180" i="1"/>
  <c r="E180" i="1"/>
  <c r="Q179" i="1"/>
  <c r="P179" i="1"/>
  <c r="N179" i="1"/>
  <c r="L179" i="1"/>
  <c r="I179" i="1"/>
  <c r="G179" i="1"/>
  <c r="E179" i="1"/>
  <c r="P178" i="1"/>
  <c r="N178" i="1"/>
  <c r="L178" i="1"/>
  <c r="I178" i="1"/>
  <c r="G178" i="1"/>
  <c r="E178" i="1"/>
  <c r="Q177" i="1"/>
  <c r="P177" i="1"/>
  <c r="N177" i="1"/>
  <c r="L177" i="1"/>
  <c r="I177" i="1"/>
  <c r="G177" i="1"/>
  <c r="E177" i="1"/>
  <c r="Q176" i="1"/>
  <c r="P176" i="1"/>
  <c r="N176" i="1"/>
  <c r="L176" i="1"/>
  <c r="I176" i="1"/>
  <c r="G176" i="1"/>
  <c r="E176" i="1"/>
  <c r="Q175" i="1"/>
  <c r="P175" i="1"/>
  <c r="N175" i="1"/>
  <c r="L175" i="1"/>
  <c r="I175" i="1"/>
  <c r="G175" i="1"/>
  <c r="E175" i="1"/>
  <c r="Q174" i="1"/>
  <c r="P174" i="1"/>
  <c r="N174" i="1"/>
  <c r="L174" i="1"/>
  <c r="I174" i="1"/>
  <c r="G174" i="1"/>
  <c r="E174" i="1"/>
  <c r="Q173" i="1"/>
  <c r="P173" i="1"/>
  <c r="N173" i="1"/>
  <c r="L173" i="1"/>
  <c r="I173" i="1"/>
  <c r="G173" i="1"/>
  <c r="E173" i="1"/>
  <c r="Q172" i="1"/>
  <c r="P172" i="1"/>
  <c r="N172" i="1"/>
  <c r="L172" i="1"/>
  <c r="I172" i="1"/>
  <c r="G172" i="1"/>
  <c r="E172" i="1"/>
  <c r="Q171" i="1"/>
  <c r="P171" i="1"/>
  <c r="N171" i="1"/>
  <c r="L171" i="1"/>
  <c r="I171" i="1"/>
  <c r="G171" i="1"/>
  <c r="E171" i="1"/>
  <c r="Q170" i="1"/>
  <c r="P170" i="1"/>
  <c r="L169" i="1"/>
  <c r="I164" i="1"/>
  <c r="G164" i="1"/>
  <c r="E164" i="1"/>
  <c r="Q163" i="1"/>
  <c r="P163" i="1"/>
  <c r="N163" i="1"/>
  <c r="G162" i="1"/>
  <c r="E162" i="1"/>
  <c r="G161" i="1"/>
  <c r="E161" i="1"/>
  <c r="I159" i="1"/>
  <c r="Q158" i="1"/>
  <c r="Q155" i="1"/>
  <c r="L155" i="1"/>
  <c r="Q153" i="1"/>
  <c r="N153" i="1"/>
  <c r="L153" i="1"/>
  <c r="P152" i="1"/>
  <c r="L152" i="1"/>
  <c r="I152" i="1"/>
  <c r="Q150" i="1"/>
  <c r="P149" i="1"/>
  <c r="N149" i="1"/>
  <c r="E149" i="1"/>
  <c r="Q148" i="1"/>
  <c r="E148" i="1"/>
  <c r="I146" i="1"/>
  <c r="G146" i="1"/>
  <c r="E146" i="1"/>
  <c r="Q145" i="1"/>
  <c r="L145" i="1"/>
  <c r="I145" i="1"/>
  <c r="I141" i="1"/>
  <c r="G139" i="1"/>
  <c r="E137" i="1"/>
  <c r="P136" i="1"/>
  <c r="E135" i="1"/>
  <c r="P134" i="1"/>
  <c r="N134" i="1"/>
  <c r="L131" i="1"/>
  <c r="I123" i="1"/>
  <c r="Q122" i="1"/>
  <c r="P122" i="1"/>
  <c r="N122" i="1"/>
  <c r="N121" i="1"/>
  <c r="P117" i="1"/>
  <c r="N117" i="1"/>
  <c r="Q116" i="1"/>
  <c r="G116" i="1"/>
  <c r="N112" i="1"/>
  <c r="L112" i="1"/>
  <c r="Q111" i="1"/>
  <c r="P111" i="1"/>
  <c r="Q109" i="1"/>
  <c r="N109" i="1"/>
  <c r="I109" i="1"/>
  <c r="P107" i="1"/>
  <c r="I107" i="1"/>
  <c r="N106" i="1"/>
  <c r="L106" i="1"/>
  <c r="I106" i="1"/>
  <c r="N104" i="1"/>
  <c r="P103" i="1"/>
  <c r="L103" i="1"/>
  <c r="N102" i="1"/>
  <c r="L102" i="1"/>
  <c r="P101" i="1"/>
  <c r="L101" i="1"/>
  <c r="G96" i="1"/>
  <c r="L95" i="1"/>
  <c r="P93" i="1"/>
  <c r="N93" i="1"/>
  <c r="L93" i="1"/>
  <c r="I93" i="1"/>
  <c r="G93" i="1"/>
  <c r="E93" i="1"/>
  <c r="P88" i="1"/>
  <c r="I87" i="1"/>
  <c r="G87" i="1"/>
  <c r="P86" i="1"/>
  <c r="N85" i="1"/>
  <c r="N84" i="1"/>
  <c r="L84" i="1"/>
  <c r="P83" i="1"/>
  <c r="E83" i="1"/>
  <c r="L81" i="1"/>
  <c r="I80" i="1"/>
  <c r="I79" i="1"/>
  <c r="G79" i="1"/>
  <c r="E79" i="1"/>
  <c r="Q77" i="1"/>
  <c r="Q76" i="1"/>
  <c r="E76" i="1"/>
  <c r="Q75" i="1"/>
  <c r="N75" i="1"/>
  <c r="E75" i="1"/>
  <c r="P74" i="1"/>
  <c r="G73" i="1"/>
  <c r="P69" i="1"/>
  <c r="L69" i="1"/>
  <c r="P67" i="1"/>
  <c r="L67" i="1"/>
  <c r="I67" i="1"/>
  <c r="G65" i="1"/>
  <c r="L64" i="1"/>
  <c r="Q62" i="1"/>
  <c r="P61" i="1"/>
  <c r="G61" i="1"/>
  <c r="E60" i="1"/>
  <c r="Q59" i="1"/>
  <c r="G59" i="1"/>
  <c r="Q58" i="1"/>
  <c r="N58" i="1"/>
  <c r="G50" i="1"/>
  <c r="E49" i="1"/>
  <c r="Q48" i="1"/>
  <c r="I48" i="1"/>
  <c r="N47" i="1"/>
  <c r="L47" i="1"/>
  <c r="I47" i="1"/>
  <c r="P46" i="1"/>
  <c r="E46" i="1"/>
  <c r="I45" i="1"/>
  <c r="G44" i="1"/>
  <c r="Q42" i="1"/>
  <c r="E41" i="1"/>
  <c r="I40" i="1"/>
  <c r="N39" i="1"/>
  <c r="G39" i="1"/>
  <c r="Q38" i="1"/>
  <c r="L36" i="1"/>
  <c r="G34" i="1"/>
  <c r="E34" i="1"/>
  <c r="Q33" i="1"/>
  <c r="L33" i="1"/>
  <c r="E33" i="1"/>
  <c r="Q32" i="1"/>
  <c r="E32" i="1"/>
  <c r="E31" i="1"/>
  <c r="Q30" i="1"/>
  <c r="L28" i="1"/>
  <c r="G27" i="1"/>
  <c r="I26" i="1"/>
  <c r="N25" i="1"/>
  <c r="P23" i="1"/>
  <c r="Q22" i="1"/>
  <c r="I22" i="1"/>
  <c r="P21" i="1"/>
  <c r="N20" i="1"/>
  <c r="P19" i="1"/>
  <c r="L19" i="1"/>
  <c r="G19" i="1"/>
  <c r="N158" i="1"/>
  <c r="L158" i="1"/>
  <c r="I158" i="1"/>
  <c r="G158" i="1"/>
  <c r="E158" i="1"/>
  <c r="Q157" i="1"/>
  <c r="P157" i="1"/>
  <c r="N157" i="1"/>
  <c r="L157" i="1"/>
  <c r="I157" i="1"/>
  <c r="E155" i="1"/>
  <c r="Q144" i="1"/>
  <c r="N137" i="1"/>
  <c r="Q134" i="1"/>
  <c r="I125" i="1"/>
  <c r="L117" i="1"/>
  <c r="P29" i="1"/>
  <c r="I144" i="1"/>
  <c r="G144" i="1"/>
  <c r="E144" i="1"/>
  <c r="Q143" i="1"/>
  <c r="P143" i="1"/>
  <c r="N143" i="1"/>
  <c r="L143" i="1"/>
  <c r="I143" i="1"/>
  <c r="G143" i="1"/>
  <c r="E143" i="1"/>
  <c r="Q142" i="1"/>
  <c r="P142" i="1"/>
  <c r="N142" i="1"/>
  <c r="L142" i="1"/>
  <c r="Q129" i="1"/>
  <c r="P129" i="1"/>
  <c r="N129" i="1"/>
  <c r="L129" i="1"/>
  <c r="I129" i="1"/>
  <c r="G129" i="1"/>
  <c r="E129" i="1"/>
  <c r="Q128" i="1"/>
  <c r="P128" i="1"/>
  <c r="N128" i="1"/>
  <c r="L128" i="1"/>
  <c r="I128" i="1"/>
  <c r="G128" i="1"/>
  <c r="E128" i="1"/>
  <c r="Q127" i="1"/>
  <c r="P127" i="1"/>
  <c r="N127" i="1"/>
  <c r="P30" i="1"/>
  <c r="N115" i="1"/>
  <c r="L115" i="1"/>
  <c r="I115" i="1"/>
  <c r="G115" i="1"/>
  <c r="E115" i="1"/>
  <c r="P114" i="1"/>
  <c r="N114" i="1"/>
  <c r="L114" i="1"/>
  <c r="I114" i="1"/>
  <c r="G114" i="1"/>
  <c r="E114" i="1"/>
  <c r="Q113" i="1"/>
  <c r="P113" i="1"/>
  <c r="Q27" i="1"/>
  <c r="G101" i="1"/>
  <c r="E101" i="1"/>
  <c r="Q100" i="1"/>
  <c r="P100" i="1"/>
  <c r="N100" i="1"/>
  <c r="L100" i="1"/>
  <c r="I100" i="1"/>
  <c r="G100" i="1"/>
  <c r="E100" i="1"/>
  <c r="Q99" i="1"/>
  <c r="P99" i="1"/>
  <c r="N99" i="1"/>
  <c r="L99" i="1"/>
  <c r="I99" i="1"/>
  <c r="G99" i="1"/>
  <c r="E99" i="1"/>
  <c r="Q98" i="1"/>
  <c r="P98" i="1"/>
  <c r="N98" i="1"/>
  <c r="L98" i="1"/>
  <c r="I98" i="1"/>
  <c r="G98" i="1"/>
  <c r="E98" i="1"/>
  <c r="Q97" i="1"/>
  <c r="P97" i="1"/>
  <c r="N97" i="1"/>
  <c r="L97" i="1"/>
  <c r="I97" i="1"/>
  <c r="Q70" i="1"/>
  <c r="G58" i="1"/>
  <c r="E58" i="1"/>
  <c r="Q57" i="1"/>
  <c r="P57" i="1"/>
  <c r="N57" i="1"/>
  <c r="L57" i="1"/>
  <c r="I57" i="1"/>
  <c r="G57" i="1"/>
  <c r="E57" i="1"/>
  <c r="Q56" i="1"/>
  <c r="P56" i="1"/>
  <c r="N56" i="1"/>
  <c r="L56" i="1"/>
  <c r="I56" i="1"/>
  <c r="G56" i="1"/>
  <c r="E56" i="1"/>
  <c r="Q55" i="1"/>
  <c r="P55" i="1"/>
  <c r="N55" i="1"/>
  <c r="L55" i="1"/>
  <c r="I55" i="1"/>
  <c r="G55" i="1"/>
  <c r="E55" i="1"/>
  <c r="Q54" i="1"/>
  <c r="P54" i="1"/>
  <c r="N54" i="1"/>
  <c r="L54" i="1"/>
  <c r="I54" i="1"/>
  <c r="G54" i="1"/>
  <c r="E54" i="1"/>
  <c r="Q53" i="1"/>
  <c r="P53" i="1"/>
  <c r="N53" i="1"/>
  <c r="L53" i="1"/>
  <c r="I53" i="1"/>
  <c r="G53" i="1"/>
  <c r="E53" i="1"/>
  <c r="Q52" i="1"/>
  <c r="P52" i="1"/>
  <c r="N52" i="1"/>
  <c r="L52" i="1"/>
  <c r="I52" i="1"/>
  <c r="G52" i="1"/>
  <c r="E52" i="1"/>
  <c r="Q51" i="1"/>
  <c r="P51" i="1"/>
  <c r="N51" i="1"/>
  <c r="L51" i="1"/>
  <c r="I51" i="1"/>
  <c r="G51" i="1"/>
  <c r="E51" i="1"/>
  <c r="Q50" i="1"/>
  <c r="P50" i="1"/>
  <c r="N50" i="1"/>
  <c r="L50" i="1"/>
  <c r="I50" i="1"/>
  <c r="Q18" i="1"/>
  <c r="P18" i="1"/>
  <c r="N18" i="1"/>
  <c r="L18" i="1"/>
  <c r="I18" i="1"/>
  <c r="G18" i="1"/>
  <c r="E18" i="1"/>
  <c r="Q17" i="1"/>
  <c r="P17" i="1"/>
  <c r="N17" i="1"/>
  <c r="L17" i="1"/>
  <c r="I17" i="1"/>
  <c r="G17" i="1"/>
  <c r="E17" i="1"/>
  <c r="Q16" i="1"/>
  <c r="P16" i="1"/>
  <c r="N16" i="1"/>
  <c r="L16" i="1"/>
  <c r="I16" i="1"/>
  <c r="G16" i="1"/>
  <c r="E16" i="1"/>
  <c r="Q15" i="1"/>
  <c r="P15" i="1"/>
  <c r="N15" i="1"/>
  <c r="L15" i="1"/>
  <c r="I15" i="1"/>
  <c r="G15" i="1"/>
  <c r="E15" i="1"/>
  <c r="Q14" i="1"/>
  <c r="P14" i="1"/>
  <c r="N14" i="1"/>
  <c r="L14" i="1"/>
  <c r="I14" i="1"/>
  <c r="G14" i="1"/>
  <c r="E14" i="1"/>
  <c r="Q13" i="1"/>
  <c r="P13" i="1"/>
  <c r="N13" i="1"/>
  <c r="L13" i="1"/>
  <c r="I13" i="1"/>
  <c r="G13" i="1"/>
  <c r="E13" i="1"/>
  <c r="Q12" i="1"/>
  <c r="P12" i="1"/>
  <c r="N12" i="1"/>
  <c r="L12" i="1"/>
  <c r="I12" i="1"/>
  <c r="G12" i="1"/>
  <c r="E12" i="1"/>
  <c r="Q11" i="1"/>
  <c r="P11" i="1"/>
  <c r="N11" i="1"/>
  <c r="L11" i="1"/>
  <c r="I11" i="1"/>
  <c r="G11" i="1"/>
  <c r="E11" i="1"/>
  <c r="Q10" i="1"/>
  <c r="P10" i="1"/>
  <c r="N10" i="1"/>
  <c r="L10" i="1"/>
  <c r="I10" i="1"/>
  <c r="G10" i="1"/>
  <c r="E10" i="1"/>
  <c r="Q9" i="1"/>
  <c r="P9" i="1"/>
  <c r="N9" i="1"/>
  <c r="L9" i="1"/>
  <c r="I9" i="1"/>
  <c r="G9" i="1"/>
  <c r="E9" i="1"/>
  <c r="Q8" i="1"/>
  <c r="P8" i="1"/>
  <c r="N8" i="1"/>
  <c r="L8" i="1"/>
  <c r="I8" i="1"/>
  <c r="G8" i="1"/>
  <c r="E8" i="1"/>
  <c r="Q7" i="1"/>
  <c r="P7" i="1"/>
  <c r="N7" i="1"/>
  <c r="I7" i="1"/>
  <c r="G7" i="1"/>
  <c r="E7" i="1"/>
  <c r="Q6" i="1"/>
  <c r="P6" i="1"/>
  <c r="N6" i="1"/>
  <c r="L6" i="1"/>
  <c r="I6" i="1"/>
  <c r="G6" i="1"/>
  <c r="E6" i="1"/>
  <c r="Q5" i="1"/>
  <c r="P5" i="1"/>
  <c r="N5" i="1"/>
  <c r="L5" i="1"/>
  <c r="I5" i="1"/>
  <c r="G5" i="1"/>
  <c r="E5" i="1"/>
  <c r="Q4" i="1"/>
  <c r="P4" i="1"/>
  <c r="N4" i="1"/>
  <c r="L4" i="1"/>
  <c r="I4" i="1"/>
  <c r="G4" i="1"/>
  <c r="E4" i="1"/>
  <c r="L30" i="1"/>
  <c r="P27" i="1"/>
  <c r="Q251" i="1"/>
  <c r="P251" i="1"/>
  <c r="N249" i="1"/>
  <c r="E205" i="1"/>
  <c r="L204" i="1"/>
  <c r="L164" i="1"/>
  <c r="N22" i="1"/>
  <c r="E249" i="1"/>
  <c r="N248" i="1"/>
  <c r="L248" i="1"/>
  <c r="N204" i="1"/>
  <c r="L192" i="1"/>
  <c r="I192" i="1"/>
  <c r="E192" i="1"/>
  <c r="N191" i="1"/>
  <c r="L191" i="1"/>
  <c r="G191" i="1"/>
  <c r="E191" i="1"/>
  <c r="N190" i="1"/>
  <c r="L190" i="1"/>
  <c r="G190" i="1"/>
  <c r="L162" i="1"/>
  <c r="L134" i="1"/>
  <c r="N67" i="1"/>
  <c r="Q24" i="1"/>
  <c r="G252" i="1"/>
  <c r="E252" i="1"/>
  <c r="E250" i="1"/>
  <c r="E246" i="1"/>
  <c r="N245" i="1"/>
  <c r="G196" i="1"/>
  <c r="N187" i="1"/>
  <c r="N169" i="1"/>
  <c r="L168" i="1"/>
  <c r="L167" i="1"/>
  <c r="G121" i="1"/>
  <c r="Q105" i="1"/>
  <c r="N251" i="1"/>
  <c r="L251" i="1"/>
  <c r="I251" i="1"/>
  <c r="G251" i="1"/>
  <c r="E251" i="1"/>
  <c r="Q250" i="1"/>
  <c r="P250" i="1"/>
  <c r="N250" i="1"/>
  <c r="L250" i="1"/>
  <c r="G250" i="1"/>
  <c r="P249" i="1"/>
  <c r="I249" i="1"/>
  <c r="G249" i="1"/>
  <c r="Q248" i="1"/>
  <c r="P248" i="1"/>
  <c r="I248" i="1"/>
  <c r="E248" i="1"/>
  <c r="N247" i="1"/>
  <c r="I247" i="1"/>
  <c r="E247" i="1"/>
  <c r="N246" i="1"/>
  <c r="I246" i="1"/>
  <c r="L245" i="1"/>
  <c r="I245" i="1"/>
  <c r="E245" i="1"/>
  <c r="G207" i="1"/>
  <c r="E207" i="1"/>
  <c r="N205" i="1"/>
  <c r="L205" i="1"/>
  <c r="Q204" i="1"/>
  <c r="P204" i="1"/>
  <c r="G203" i="1"/>
  <c r="L202" i="1"/>
  <c r="Q201" i="1"/>
  <c r="P201" i="1"/>
  <c r="G198" i="1"/>
  <c r="L197" i="1"/>
  <c r="Q196" i="1"/>
  <c r="E196" i="1"/>
  <c r="Q195" i="1"/>
  <c r="G195" i="1"/>
  <c r="E195" i="1"/>
  <c r="Q193" i="1"/>
  <c r="N193" i="1"/>
  <c r="N192" i="1"/>
  <c r="Q191" i="1"/>
  <c r="P191" i="1"/>
  <c r="N189" i="1"/>
  <c r="L189" i="1"/>
  <c r="Q188" i="1"/>
  <c r="N188" i="1"/>
  <c r="G188" i="1"/>
  <c r="E188" i="1"/>
  <c r="E170" i="1"/>
  <c r="Q169" i="1"/>
  <c r="P169" i="1"/>
  <c r="E168" i="1"/>
  <c r="I167" i="1"/>
  <c r="G167" i="1"/>
  <c r="E167" i="1"/>
  <c r="Q166" i="1"/>
  <c r="P166" i="1"/>
  <c r="N166" i="1"/>
  <c r="L166" i="1"/>
  <c r="G165" i="1"/>
  <c r="E165" i="1"/>
  <c r="N161" i="1"/>
  <c r="L161" i="1"/>
  <c r="P159" i="1"/>
  <c r="N159" i="1"/>
  <c r="L159" i="1"/>
  <c r="P158" i="1"/>
  <c r="G157" i="1"/>
  <c r="E157" i="1"/>
  <c r="Q156" i="1"/>
  <c r="P156" i="1"/>
  <c r="P155" i="1"/>
  <c r="P154" i="1"/>
  <c r="N154" i="1"/>
  <c r="L154" i="1"/>
  <c r="N152" i="1"/>
  <c r="P150" i="1"/>
  <c r="Q149" i="1"/>
  <c r="G148" i="1"/>
  <c r="I147" i="1"/>
  <c r="G147" i="1"/>
  <c r="E147" i="1"/>
  <c r="G145" i="1"/>
  <c r="N144" i="1"/>
  <c r="L144" i="1"/>
  <c r="I142" i="1"/>
  <c r="G142" i="1"/>
  <c r="L141" i="1"/>
  <c r="G141" i="1"/>
  <c r="E141" i="1"/>
  <c r="Q140" i="1"/>
  <c r="N140" i="1"/>
  <c r="I140" i="1"/>
  <c r="G140" i="1"/>
  <c r="I138" i="1"/>
  <c r="Q137" i="1"/>
  <c r="G137" i="1"/>
  <c r="I136" i="1"/>
  <c r="G136" i="1"/>
  <c r="E136" i="1"/>
  <c r="P135" i="1"/>
  <c r="I135" i="1"/>
  <c r="P133" i="1"/>
  <c r="P132" i="1"/>
  <c r="L132" i="1"/>
  <c r="I132" i="1"/>
  <c r="P131" i="1"/>
  <c r="N131" i="1"/>
  <c r="P130" i="1"/>
  <c r="G127" i="1"/>
  <c r="N126" i="1"/>
  <c r="L126" i="1"/>
  <c r="I126" i="1"/>
  <c r="E125" i="1"/>
  <c r="P124" i="1"/>
  <c r="E124" i="1"/>
  <c r="P123" i="1"/>
  <c r="N123" i="1"/>
  <c r="L123" i="1"/>
  <c r="P121" i="1"/>
  <c r="L121" i="1"/>
  <c r="E120" i="1"/>
  <c r="L119" i="1"/>
  <c r="P118" i="1"/>
  <c r="I118" i="1"/>
  <c r="I117" i="1"/>
  <c r="G117" i="1"/>
  <c r="N116" i="1"/>
  <c r="G113" i="1"/>
  <c r="E113" i="1"/>
  <c r="Q112" i="1"/>
  <c r="I111" i="1"/>
  <c r="G111" i="1"/>
  <c r="E111" i="1"/>
  <c r="Q110" i="1"/>
  <c r="E110" i="1"/>
  <c r="P109" i="1"/>
  <c r="G109" i="1"/>
  <c r="Q108" i="1"/>
  <c r="G107" i="1"/>
  <c r="E107" i="1"/>
  <c r="G106" i="1"/>
  <c r="L105" i="1"/>
  <c r="G105" i="1"/>
  <c r="N103" i="1"/>
  <c r="Q95" i="1"/>
  <c r="N94" i="1"/>
  <c r="L94" i="1"/>
  <c r="I94" i="1"/>
  <c r="G94" i="1"/>
  <c r="E94" i="1"/>
  <c r="P92" i="1"/>
  <c r="L92" i="1"/>
  <c r="P91" i="1"/>
  <c r="I91" i="1"/>
  <c r="I90" i="1"/>
  <c r="G90" i="1"/>
  <c r="E90" i="1"/>
  <c r="P89" i="1"/>
  <c r="L89" i="1"/>
  <c r="E89" i="1"/>
  <c r="Q88" i="1"/>
  <c r="P87" i="1"/>
  <c r="L86" i="1"/>
  <c r="Q84" i="1"/>
  <c r="N83" i="1"/>
  <c r="I83" i="1"/>
  <c r="G83" i="1"/>
  <c r="P82" i="1"/>
  <c r="G82" i="1"/>
  <c r="E82" i="1"/>
  <c r="Q81" i="1"/>
  <c r="N79" i="1"/>
  <c r="P78" i="1"/>
  <c r="L78" i="1"/>
  <c r="G77" i="1"/>
  <c r="L76" i="1"/>
  <c r="I76" i="1"/>
  <c r="G76" i="1"/>
  <c r="P75" i="1"/>
  <c r="I75" i="1"/>
  <c r="G74" i="1"/>
  <c r="L73" i="1"/>
  <c r="I73" i="1"/>
  <c r="P72" i="1"/>
  <c r="P71" i="1"/>
  <c r="L71" i="1"/>
  <c r="P70" i="1"/>
  <c r="L70" i="1"/>
  <c r="Q69" i="1"/>
  <c r="N68" i="1"/>
  <c r="I65" i="1"/>
  <c r="E65" i="1"/>
  <c r="S65" i="1" s="1"/>
  <c r="E64" i="1"/>
  <c r="P63" i="1"/>
  <c r="G62" i="1"/>
  <c r="N61" i="1"/>
  <c r="L61" i="1"/>
  <c r="N60" i="1"/>
  <c r="P59" i="1"/>
  <c r="N59" i="1"/>
  <c r="L59" i="1"/>
  <c r="P48" i="1"/>
  <c r="E48" i="1"/>
  <c r="Q47" i="1"/>
  <c r="Q46" i="1"/>
  <c r="L46" i="1"/>
  <c r="G46" i="1"/>
  <c r="Q44" i="1"/>
  <c r="E44" i="1"/>
  <c r="P43" i="1"/>
  <c r="N42" i="1"/>
  <c r="I42" i="1"/>
  <c r="Q41" i="1"/>
  <c r="N41" i="1"/>
  <c r="G40" i="1"/>
  <c r="L39" i="1"/>
  <c r="Q37" i="1"/>
  <c r="G37" i="1"/>
  <c r="E37" i="1"/>
  <c r="P36" i="1"/>
  <c r="L35" i="1"/>
  <c r="N32" i="1"/>
  <c r="L32" i="1"/>
  <c r="G32" i="1"/>
  <c r="I28" i="1"/>
  <c r="N27" i="1"/>
  <c r="P26" i="1"/>
  <c r="N26" i="1"/>
  <c r="L22" i="1"/>
  <c r="Q21" i="1"/>
  <c r="E21" i="1"/>
  <c r="L20" i="1"/>
  <c r="I20" i="1"/>
  <c r="R140" i="1" l="1"/>
  <c r="R137" i="1"/>
  <c r="J258" i="1"/>
  <c r="S258" i="1"/>
  <c r="J257" i="1"/>
  <c r="S257" i="1"/>
  <c r="J256" i="1"/>
  <c r="S256" i="1"/>
  <c r="J255" i="1"/>
  <c r="S255" i="1"/>
  <c r="J254" i="1"/>
  <c r="S254" i="1"/>
  <c r="J253" i="1"/>
  <c r="S253" i="1"/>
  <c r="J202" i="1"/>
  <c r="S202" i="1"/>
  <c r="J160" i="1"/>
  <c r="S160" i="1"/>
  <c r="J145" i="1"/>
  <c r="S145" i="1"/>
  <c r="S127" i="1"/>
  <c r="J127" i="1"/>
  <c r="J123" i="1"/>
  <c r="S123" i="1"/>
  <c r="S121" i="1"/>
  <c r="J121" i="1"/>
  <c r="J119" i="1"/>
  <c r="S119" i="1"/>
  <c r="J118" i="1"/>
  <c r="S118" i="1"/>
  <c r="S116" i="1"/>
  <c r="J116" i="1"/>
  <c r="S112" i="1"/>
  <c r="J112" i="1"/>
  <c r="J103" i="1"/>
  <c r="S103" i="1"/>
  <c r="S91" i="1"/>
  <c r="J91" i="1"/>
  <c r="S87" i="1"/>
  <c r="J87" i="1"/>
  <c r="S81" i="1"/>
  <c r="J81" i="1"/>
  <c r="J80" i="1"/>
  <c r="S80" i="1"/>
  <c r="J77" i="1"/>
  <c r="S77" i="1"/>
  <c r="S72" i="1"/>
  <c r="J72" i="1"/>
  <c r="S71" i="1"/>
  <c r="J71" i="1"/>
  <c r="J67" i="1"/>
  <c r="S67" i="1"/>
  <c r="S63" i="1"/>
  <c r="J63" i="1"/>
  <c r="J47" i="1"/>
  <c r="S47" i="1"/>
  <c r="J42" i="1"/>
  <c r="S42" i="1"/>
  <c r="S35" i="1"/>
  <c r="J35" i="1"/>
  <c r="S26" i="1"/>
  <c r="J26" i="1"/>
  <c r="J25" i="1"/>
  <c r="S25" i="1"/>
  <c r="J23" i="1"/>
  <c r="S23" i="1"/>
  <c r="S22" i="1"/>
  <c r="J22" i="1"/>
  <c r="J244" i="1"/>
  <c r="S244" i="1"/>
  <c r="J243" i="1"/>
  <c r="S243" i="1"/>
  <c r="J242" i="1"/>
  <c r="S242" i="1"/>
  <c r="J241" i="1"/>
  <c r="S241" i="1"/>
  <c r="J240" i="1"/>
  <c r="S240" i="1"/>
  <c r="J239" i="1"/>
  <c r="S239" i="1"/>
  <c r="J238" i="1"/>
  <c r="S238" i="1"/>
  <c r="J237" i="1"/>
  <c r="S237" i="1"/>
  <c r="J236" i="1"/>
  <c r="S236" i="1"/>
  <c r="J235" i="1"/>
  <c r="S235" i="1"/>
  <c r="J234" i="1"/>
  <c r="S234" i="1"/>
  <c r="J233" i="1"/>
  <c r="S233" i="1"/>
  <c r="J232" i="1"/>
  <c r="S232" i="1"/>
  <c r="J231" i="1"/>
  <c r="S231" i="1"/>
  <c r="S213" i="1"/>
  <c r="J213" i="1"/>
  <c r="J211" i="1"/>
  <c r="S211" i="1"/>
  <c r="J210" i="1"/>
  <c r="S210" i="1"/>
  <c r="J209" i="1"/>
  <c r="S209" i="1"/>
  <c r="J204" i="1"/>
  <c r="S204" i="1"/>
  <c r="S203" i="1"/>
  <c r="J203" i="1"/>
  <c r="J198" i="1"/>
  <c r="S198" i="1"/>
  <c r="S194" i="1"/>
  <c r="J194" i="1"/>
  <c r="J193" i="1"/>
  <c r="S193" i="1"/>
  <c r="S190" i="1"/>
  <c r="J190" i="1"/>
  <c r="S189" i="1"/>
  <c r="J189" i="1"/>
  <c r="J154" i="1"/>
  <c r="S154" i="1"/>
  <c r="J153" i="1"/>
  <c r="S153" i="1"/>
  <c r="J150" i="1"/>
  <c r="S150" i="1"/>
  <c r="J134" i="1"/>
  <c r="S134" i="1"/>
  <c r="S132" i="1"/>
  <c r="J132" i="1"/>
  <c r="J126" i="1"/>
  <c r="S126" i="1"/>
  <c r="S109" i="1"/>
  <c r="J109" i="1"/>
  <c r="J106" i="1"/>
  <c r="S106" i="1"/>
  <c r="J105" i="1"/>
  <c r="S105" i="1"/>
  <c r="J102" i="1"/>
  <c r="S102" i="1"/>
  <c r="J96" i="1"/>
  <c r="S96" i="1"/>
  <c r="J95" i="1"/>
  <c r="S95" i="1"/>
  <c r="S88" i="1"/>
  <c r="J88" i="1"/>
  <c r="J85" i="1"/>
  <c r="S85" i="1"/>
  <c r="J74" i="1"/>
  <c r="S74" i="1"/>
  <c r="S73" i="1"/>
  <c r="J73" i="1"/>
  <c r="J70" i="1"/>
  <c r="S70" i="1"/>
  <c r="J61" i="1"/>
  <c r="S61" i="1"/>
  <c r="J43" i="1"/>
  <c r="S43" i="1"/>
  <c r="J38" i="1"/>
  <c r="S38" i="1"/>
  <c r="S36" i="1"/>
  <c r="J36" i="1"/>
  <c r="J24" i="1"/>
  <c r="S24" i="1"/>
  <c r="J230" i="1"/>
  <c r="S230" i="1"/>
  <c r="J229" i="1"/>
  <c r="S229" i="1"/>
  <c r="J228" i="1"/>
  <c r="S228" i="1"/>
  <c r="J227" i="1"/>
  <c r="S227" i="1"/>
  <c r="J226" i="1"/>
  <c r="S226" i="1"/>
  <c r="J225" i="1"/>
  <c r="S225" i="1"/>
  <c r="J224" i="1"/>
  <c r="S224" i="1"/>
  <c r="J223" i="1"/>
  <c r="S223" i="1"/>
  <c r="J222" i="1"/>
  <c r="S222" i="1"/>
  <c r="J221" i="1"/>
  <c r="S221" i="1"/>
  <c r="J220" i="1"/>
  <c r="S220" i="1"/>
  <c r="J219" i="1"/>
  <c r="S219" i="1"/>
  <c r="J218" i="1"/>
  <c r="S218" i="1"/>
  <c r="J217" i="1"/>
  <c r="S217" i="1"/>
  <c r="J214" i="1"/>
  <c r="S214" i="1"/>
  <c r="J208" i="1"/>
  <c r="S208" i="1"/>
  <c r="J206" i="1"/>
  <c r="S206" i="1"/>
  <c r="S169" i="1"/>
  <c r="J169" i="1"/>
  <c r="J166" i="1"/>
  <c r="S166" i="1"/>
  <c r="J163" i="1"/>
  <c r="S163" i="1"/>
  <c r="S159" i="1"/>
  <c r="J159" i="1"/>
  <c r="J142" i="1"/>
  <c r="S142" i="1"/>
  <c r="S140" i="1"/>
  <c r="J140" i="1"/>
  <c r="J138" i="1"/>
  <c r="S138" i="1"/>
  <c r="S133" i="1"/>
  <c r="J133" i="1"/>
  <c r="S122" i="1"/>
  <c r="J122" i="1"/>
  <c r="J97" i="1"/>
  <c r="S97" i="1"/>
  <c r="J92" i="1"/>
  <c r="S92" i="1"/>
  <c r="J78" i="1"/>
  <c r="S78" i="1"/>
  <c r="S68" i="1"/>
  <c r="J68" i="1"/>
  <c r="S66" i="1"/>
  <c r="J66" i="1"/>
  <c r="S62" i="1"/>
  <c r="J62" i="1"/>
  <c r="S59" i="1"/>
  <c r="J59" i="1"/>
  <c r="J50" i="1"/>
  <c r="S50" i="1"/>
  <c r="J45" i="1"/>
  <c r="S45" i="1"/>
  <c r="J40" i="1"/>
  <c r="S40" i="1"/>
  <c r="S39" i="1"/>
  <c r="J39" i="1"/>
  <c r="S27" i="1"/>
  <c r="J27" i="1"/>
  <c r="J215" i="1"/>
  <c r="S215" i="1"/>
  <c r="J212" i="1"/>
  <c r="S212" i="1"/>
  <c r="J197" i="1"/>
  <c r="S197" i="1"/>
  <c r="J152" i="1"/>
  <c r="S152" i="1"/>
  <c r="J151" i="1"/>
  <c r="S151" i="1"/>
  <c r="S139" i="1"/>
  <c r="J139" i="1"/>
  <c r="S131" i="1"/>
  <c r="J131" i="1"/>
  <c r="J117" i="1"/>
  <c r="S117" i="1"/>
  <c r="J108" i="1"/>
  <c r="S108" i="1"/>
  <c r="S84" i="1"/>
  <c r="J84" i="1"/>
  <c r="S29" i="1"/>
  <c r="J29" i="1"/>
  <c r="J201" i="1"/>
  <c r="S201" i="1"/>
  <c r="J200" i="1"/>
  <c r="S200" i="1"/>
  <c r="J199" i="1"/>
  <c r="S199" i="1"/>
  <c r="J156" i="1"/>
  <c r="S156" i="1"/>
  <c r="J104" i="1"/>
  <c r="S104" i="1"/>
  <c r="J86" i="1"/>
  <c r="S86" i="1"/>
  <c r="J69" i="1"/>
  <c r="S69" i="1"/>
  <c r="J30" i="1"/>
  <c r="S30" i="1"/>
  <c r="S28" i="1"/>
  <c r="J28" i="1"/>
  <c r="S20" i="1"/>
  <c r="J20" i="1"/>
  <c r="J19" i="1"/>
  <c r="S19" i="1"/>
  <c r="J187" i="1"/>
  <c r="S187" i="1"/>
  <c r="J186" i="1"/>
  <c r="S186" i="1"/>
  <c r="J185" i="1"/>
  <c r="S185" i="1"/>
  <c r="J184" i="1"/>
  <c r="S184" i="1"/>
  <c r="J183" i="1"/>
  <c r="S183" i="1"/>
  <c r="J182" i="1"/>
  <c r="S182" i="1"/>
  <c r="J181" i="1"/>
  <c r="S181" i="1"/>
  <c r="J180" i="1"/>
  <c r="S180" i="1"/>
  <c r="J179" i="1"/>
  <c r="S179" i="1"/>
  <c r="J178" i="1"/>
  <c r="S178" i="1"/>
  <c r="J177" i="1"/>
  <c r="S177" i="1"/>
  <c r="J176" i="1"/>
  <c r="S176" i="1"/>
  <c r="J175" i="1"/>
  <c r="S175" i="1"/>
  <c r="J174" i="1"/>
  <c r="S174" i="1"/>
  <c r="J173" i="1"/>
  <c r="S173" i="1"/>
  <c r="J172" i="1"/>
  <c r="S172" i="1"/>
  <c r="J171" i="1"/>
  <c r="S171" i="1"/>
  <c r="J164" i="1"/>
  <c r="S164" i="1"/>
  <c r="S162" i="1"/>
  <c r="J162" i="1"/>
  <c r="S161" i="1"/>
  <c r="J161" i="1"/>
  <c r="S149" i="1"/>
  <c r="J149" i="1"/>
  <c r="S148" i="1"/>
  <c r="J148" i="1"/>
  <c r="J146" i="1"/>
  <c r="S146" i="1"/>
  <c r="J137" i="1"/>
  <c r="S137" i="1"/>
  <c r="J135" i="1"/>
  <c r="S135" i="1"/>
  <c r="J93" i="1"/>
  <c r="S93" i="1"/>
  <c r="S83" i="1"/>
  <c r="J83" i="1"/>
  <c r="S79" i="1"/>
  <c r="J79" i="1"/>
  <c r="J76" i="1"/>
  <c r="S76" i="1"/>
  <c r="S75" i="1"/>
  <c r="J75" i="1"/>
  <c r="J60" i="1"/>
  <c r="S60" i="1"/>
  <c r="J49" i="1"/>
  <c r="S49" i="1"/>
  <c r="S46" i="1"/>
  <c r="J46" i="1"/>
  <c r="S41" i="1"/>
  <c r="J41" i="1"/>
  <c r="J34" i="1"/>
  <c r="S34" i="1"/>
  <c r="J33" i="1"/>
  <c r="S33" i="1"/>
  <c r="J32" i="1"/>
  <c r="S32" i="1"/>
  <c r="J31" i="1"/>
  <c r="S31" i="1"/>
  <c r="J158" i="1"/>
  <c r="S158" i="1"/>
  <c r="J155" i="1"/>
  <c r="S155" i="1"/>
  <c r="S144" i="1"/>
  <c r="J144" i="1"/>
  <c r="J143" i="1"/>
  <c r="S143" i="1"/>
  <c r="J129" i="1"/>
  <c r="S129" i="1"/>
  <c r="J128" i="1"/>
  <c r="S128" i="1"/>
  <c r="J115" i="1"/>
  <c r="S115" i="1"/>
  <c r="J114" i="1"/>
  <c r="S114" i="1"/>
  <c r="S101" i="1"/>
  <c r="J101" i="1"/>
  <c r="J100" i="1"/>
  <c r="S100" i="1"/>
  <c r="J99" i="1"/>
  <c r="S99" i="1"/>
  <c r="J98" i="1"/>
  <c r="S98" i="1"/>
  <c r="S58" i="1"/>
  <c r="J58" i="1"/>
  <c r="J57" i="1"/>
  <c r="S57" i="1"/>
  <c r="J56" i="1"/>
  <c r="S56" i="1"/>
  <c r="J55" i="1"/>
  <c r="S55" i="1"/>
  <c r="J54" i="1"/>
  <c r="S54" i="1"/>
  <c r="J53" i="1"/>
  <c r="S53" i="1"/>
  <c r="J52" i="1"/>
  <c r="S52" i="1"/>
  <c r="J51" i="1"/>
  <c r="S51" i="1"/>
  <c r="J18" i="1"/>
  <c r="S18" i="1"/>
  <c r="J17" i="1"/>
  <c r="S17" i="1"/>
  <c r="J16" i="1"/>
  <c r="S16" i="1"/>
  <c r="J15" i="1"/>
  <c r="S15" i="1"/>
  <c r="J14" i="1"/>
  <c r="S14" i="1"/>
  <c r="J13" i="1"/>
  <c r="S13" i="1"/>
  <c r="J12" i="1"/>
  <c r="S12" i="1"/>
  <c r="J11" i="1"/>
  <c r="S11" i="1"/>
  <c r="J10" i="1"/>
  <c r="S10" i="1"/>
  <c r="J9" i="1"/>
  <c r="S9" i="1"/>
  <c r="J8" i="1"/>
  <c r="S8" i="1"/>
  <c r="J7" i="1"/>
  <c r="S7" i="1"/>
  <c r="J6" i="1"/>
  <c r="S6" i="1"/>
  <c r="J5" i="1"/>
  <c r="S5" i="1"/>
  <c r="R4" i="1"/>
  <c r="R114" i="1"/>
  <c r="R135" i="1"/>
  <c r="R178" i="1"/>
  <c r="R160" i="1"/>
  <c r="R212" i="1"/>
  <c r="R90" i="1"/>
  <c r="R104" i="1"/>
  <c r="R249" i="1"/>
  <c r="AB4" i="1"/>
  <c r="AB5" i="1"/>
  <c r="AB6" i="1"/>
  <c r="AB7" i="1"/>
  <c r="AB8" i="1"/>
  <c r="AB9" i="1"/>
  <c r="AB10" i="1"/>
  <c r="AB11" i="1"/>
  <c r="AB12" i="1"/>
  <c r="AA4" i="1"/>
  <c r="AA5" i="1"/>
  <c r="AA6" i="1"/>
  <c r="AA7" i="1"/>
  <c r="AA8" i="1"/>
  <c r="AA9" i="1"/>
  <c r="AA10" i="1"/>
  <c r="AA11" i="1"/>
  <c r="AA12" i="1"/>
  <c r="Z4" i="1"/>
  <c r="Z5" i="1"/>
  <c r="Z6" i="1"/>
  <c r="Z7" i="1"/>
  <c r="Z8" i="1"/>
  <c r="Z9" i="1"/>
  <c r="Z10" i="1"/>
  <c r="Z11" i="1"/>
  <c r="Z12" i="1"/>
  <c r="Y4" i="1"/>
  <c r="Y5" i="1"/>
  <c r="Y6" i="1"/>
  <c r="Y7" i="1"/>
  <c r="Y8" i="1"/>
  <c r="Y9" i="1"/>
  <c r="Y10" i="1"/>
  <c r="Y11" i="1"/>
  <c r="Y12" i="1"/>
  <c r="X4" i="1"/>
  <c r="X5" i="1"/>
  <c r="X6" i="1"/>
  <c r="X7" i="1"/>
  <c r="X8" i="1"/>
  <c r="X9" i="1"/>
  <c r="X10" i="1"/>
  <c r="X11" i="1"/>
  <c r="X12" i="1"/>
  <c r="J4" i="1"/>
  <c r="S4" i="1"/>
  <c r="W4" i="1"/>
  <c r="W5" i="1"/>
  <c r="W6" i="1"/>
  <c r="W7" i="1"/>
  <c r="W8" i="1"/>
  <c r="W9" i="1"/>
  <c r="W10" i="1"/>
  <c r="W11" i="1"/>
  <c r="W12" i="1"/>
  <c r="J205" i="1"/>
  <c r="S205" i="1"/>
  <c r="J249" i="1"/>
  <c r="S249" i="1"/>
  <c r="S192" i="1"/>
  <c r="J192" i="1"/>
  <c r="J191" i="1"/>
  <c r="S191" i="1"/>
  <c r="J252" i="1"/>
  <c r="S252" i="1"/>
  <c r="J250" i="1"/>
  <c r="S250" i="1"/>
  <c r="S246" i="1"/>
  <c r="J246" i="1"/>
  <c r="J251" i="1"/>
  <c r="S251" i="1"/>
  <c r="J248" i="1"/>
  <c r="S248" i="1"/>
  <c r="J247" i="1"/>
  <c r="S247" i="1"/>
  <c r="J245" i="1"/>
  <c r="S245" i="1"/>
  <c r="J207" i="1"/>
  <c r="S207" i="1"/>
  <c r="S196" i="1"/>
  <c r="J196" i="1"/>
  <c r="S195" i="1"/>
  <c r="J195" i="1"/>
  <c r="S188" i="1"/>
  <c r="J188" i="1"/>
  <c r="J170" i="1"/>
  <c r="S170" i="1"/>
  <c r="S168" i="1"/>
  <c r="J168" i="1"/>
  <c r="S167" i="1"/>
  <c r="J167" i="1"/>
  <c r="S165" i="1"/>
  <c r="J165" i="1"/>
  <c r="J157" i="1"/>
  <c r="S157" i="1"/>
  <c r="J147" i="1"/>
  <c r="S147" i="1"/>
  <c r="J141" i="1"/>
  <c r="S141" i="1"/>
  <c r="S136" i="1"/>
  <c r="J136" i="1"/>
  <c r="J125" i="1"/>
  <c r="S125" i="1"/>
  <c r="S124" i="1"/>
  <c r="J124" i="1"/>
  <c r="J120" i="1"/>
  <c r="S120" i="1"/>
  <c r="S113" i="1"/>
  <c r="J113" i="1"/>
  <c r="S111" i="1"/>
  <c r="J111" i="1"/>
  <c r="J110" i="1"/>
  <c r="S110" i="1"/>
  <c r="S107" i="1"/>
  <c r="J107" i="1"/>
  <c r="J94" i="1"/>
  <c r="S94" i="1"/>
  <c r="J90" i="1"/>
  <c r="S90" i="1"/>
  <c r="S89" i="1"/>
  <c r="J89" i="1"/>
  <c r="S82" i="1"/>
  <c r="J82" i="1"/>
  <c r="J64" i="1"/>
  <c r="S64" i="1"/>
  <c r="S48" i="1"/>
  <c r="J48" i="1"/>
  <c r="S44" i="1"/>
  <c r="J44" i="1"/>
  <c r="J37" i="1"/>
  <c r="S37" i="1"/>
  <c r="J21" i="1"/>
  <c r="S21" i="1"/>
  <c r="R258" i="1"/>
  <c r="R257" i="1"/>
  <c r="R256" i="1"/>
  <c r="R255" i="1"/>
  <c r="R254" i="1"/>
  <c r="R253" i="1"/>
  <c r="R252" i="1"/>
  <c r="R247" i="1"/>
  <c r="R246" i="1"/>
  <c r="R245" i="1"/>
  <c r="R244" i="1"/>
  <c r="R205" i="1"/>
  <c r="R187" i="1"/>
  <c r="R167" i="1"/>
  <c r="R151" i="1"/>
  <c r="R147" i="1"/>
  <c r="R133" i="1"/>
  <c r="R132" i="1"/>
  <c r="R126" i="1"/>
  <c r="R121" i="1"/>
  <c r="R120" i="1"/>
  <c r="R118" i="1"/>
  <c r="R117" i="1"/>
  <c r="R241" i="1"/>
  <c r="R240" i="1"/>
  <c r="R239" i="1"/>
  <c r="R233" i="1"/>
  <c r="R232" i="1"/>
  <c r="S216" i="1"/>
  <c r="R213" i="1"/>
  <c r="R203" i="1"/>
  <c r="R194" i="1"/>
  <c r="R159" i="1"/>
  <c r="S130" i="1"/>
  <c r="R130" i="1"/>
  <c r="R115" i="1"/>
  <c r="R25" i="1"/>
  <c r="R228" i="1"/>
  <c r="R227" i="1"/>
  <c r="R223" i="1"/>
  <c r="R219" i="1"/>
  <c r="J216" i="1"/>
  <c r="R141" i="1"/>
  <c r="R124" i="1"/>
  <c r="R11" i="1"/>
  <c r="R107" i="1"/>
  <c r="R102" i="1"/>
  <c r="R89" i="1"/>
  <c r="R87" i="1"/>
  <c r="R86" i="1"/>
  <c r="R83" i="1"/>
  <c r="R80" i="1"/>
  <c r="R79" i="1"/>
  <c r="R78" i="1"/>
  <c r="R72" i="1"/>
  <c r="R71" i="1"/>
  <c r="R43" i="1"/>
  <c r="R39" i="1"/>
  <c r="R35" i="1"/>
  <c r="R31" i="1"/>
  <c r="R243" i="1"/>
  <c r="R242" i="1"/>
  <c r="R238" i="1"/>
  <c r="R237" i="1"/>
  <c r="R236" i="1"/>
  <c r="R235" i="1"/>
  <c r="R234" i="1"/>
  <c r="R231" i="1"/>
  <c r="R230" i="1"/>
  <c r="R217" i="1"/>
  <c r="R216" i="1"/>
  <c r="R207" i="1"/>
  <c r="R202" i="1"/>
  <c r="R190" i="1"/>
  <c r="R138" i="1"/>
  <c r="R131" i="1"/>
  <c r="R123" i="1"/>
  <c r="R119" i="1"/>
  <c r="R96" i="1"/>
  <c r="R94" i="1"/>
  <c r="R226" i="1"/>
  <c r="R224" i="1"/>
  <c r="R209" i="1"/>
  <c r="R197" i="1"/>
  <c r="R168" i="1"/>
  <c r="R152" i="1"/>
  <c r="R146" i="1"/>
  <c r="R15" i="1"/>
  <c r="R229" i="1"/>
  <c r="R162" i="1"/>
  <c r="R154" i="1"/>
  <c r="R50" i="1"/>
  <c r="R8" i="1"/>
  <c r="R218" i="1"/>
  <c r="R208" i="1"/>
  <c r="R165" i="1"/>
  <c r="R139" i="1"/>
  <c r="R222" i="1"/>
  <c r="R221" i="1"/>
  <c r="R220" i="1"/>
  <c r="R161" i="1"/>
  <c r="R17" i="1"/>
  <c r="R106" i="1"/>
  <c r="R103" i="1"/>
  <c r="R101" i="1"/>
  <c r="R93" i="1"/>
  <c r="R92" i="1"/>
  <c r="R91" i="1"/>
  <c r="R85" i="1"/>
  <c r="R82" i="1"/>
  <c r="R67" i="1"/>
  <c r="R66" i="1"/>
  <c r="R65" i="1"/>
  <c r="R61" i="1"/>
  <c r="R60" i="1"/>
  <c r="R45" i="1"/>
  <c r="R34" i="1"/>
  <c r="R19" i="1"/>
  <c r="R215" i="1"/>
  <c r="R214" i="1"/>
  <c r="R211" i="1"/>
  <c r="R189" i="1"/>
  <c r="R74" i="1"/>
  <c r="R68" i="1"/>
  <c r="R36" i="1"/>
  <c r="R49" i="1"/>
  <c r="R26" i="1"/>
  <c r="R185" i="1"/>
  <c r="R180" i="1"/>
  <c r="R179" i="1"/>
  <c r="R177" i="1"/>
  <c r="R176" i="1"/>
  <c r="R111" i="1"/>
  <c r="R77" i="1"/>
  <c r="R38" i="1"/>
  <c r="R33" i="1"/>
  <c r="R30" i="1"/>
  <c r="R22" i="1"/>
  <c r="R134" i="1"/>
  <c r="R128" i="1"/>
  <c r="R100" i="1"/>
  <c r="R97" i="1"/>
  <c r="R18" i="1"/>
  <c r="R23" i="1"/>
  <c r="R20" i="1"/>
  <c r="R200" i="1"/>
  <c r="R199" i="1"/>
  <c r="R198" i="1"/>
  <c r="R73" i="1"/>
  <c r="R63" i="1"/>
  <c r="R40" i="1"/>
  <c r="R28" i="1"/>
  <c r="R186" i="1"/>
  <c r="R184" i="1"/>
  <c r="R183" i="1"/>
  <c r="R182" i="1"/>
  <c r="R181" i="1"/>
  <c r="R145" i="1"/>
  <c r="R76" i="1"/>
  <c r="R59" i="1"/>
  <c r="R48" i="1"/>
  <c r="R42" i="1"/>
  <c r="R32" i="1"/>
  <c r="R129" i="1"/>
  <c r="R27" i="1"/>
  <c r="R98" i="1"/>
  <c r="R70" i="1"/>
  <c r="R56" i="1"/>
  <c r="R10" i="1"/>
  <c r="R175" i="1"/>
  <c r="R174" i="1"/>
  <c r="R173" i="1"/>
  <c r="R172" i="1"/>
  <c r="R171" i="1"/>
  <c r="R170" i="1"/>
  <c r="R163" i="1"/>
  <c r="R158" i="1"/>
  <c r="R155" i="1"/>
  <c r="R153" i="1"/>
  <c r="R150" i="1"/>
  <c r="R148" i="1"/>
  <c r="R122" i="1"/>
  <c r="R116" i="1"/>
  <c r="R109" i="1"/>
  <c r="R75" i="1"/>
  <c r="R62" i="1"/>
  <c r="R58" i="1"/>
  <c r="R157" i="1"/>
  <c r="R144" i="1"/>
  <c r="R143" i="1"/>
  <c r="R127" i="1"/>
  <c r="R113" i="1"/>
  <c r="R99" i="1"/>
  <c r="R57" i="1"/>
  <c r="R6" i="1"/>
  <c r="R142" i="1"/>
  <c r="R55" i="1"/>
  <c r="R54" i="1"/>
  <c r="R53" i="1"/>
  <c r="R52" i="1"/>
  <c r="R9" i="1"/>
  <c r="R251" i="1"/>
  <c r="R24" i="1"/>
  <c r="R105" i="1"/>
  <c r="R250" i="1"/>
  <c r="R248" i="1"/>
  <c r="R204" i="1"/>
  <c r="R201" i="1"/>
  <c r="R196" i="1"/>
  <c r="R195" i="1"/>
  <c r="R193" i="1"/>
  <c r="R191" i="1"/>
  <c r="R188" i="1"/>
  <c r="R169" i="1"/>
  <c r="R166" i="1"/>
  <c r="R156" i="1"/>
  <c r="R149" i="1"/>
  <c r="J130" i="1"/>
  <c r="R112" i="1"/>
  <c r="R110" i="1"/>
  <c r="R108" i="1"/>
  <c r="R95" i="1"/>
  <c r="R88" i="1"/>
  <c r="R84" i="1"/>
  <c r="R81" i="1"/>
  <c r="R69" i="1"/>
  <c r="R47" i="1"/>
  <c r="R46" i="1"/>
  <c r="R44" i="1"/>
  <c r="R41" i="1"/>
  <c r="R37" i="1"/>
  <c r="R21" i="1"/>
  <c r="R14" i="1"/>
  <c r="R16" i="1"/>
  <c r="R7" i="1"/>
  <c r="R12" i="1"/>
  <c r="R13" i="1"/>
  <c r="R64" i="1"/>
  <c r="R29" i="1"/>
  <c r="R210" i="1"/>
  <c r="R164" i="1"/>
  <c r="R125" i="1"/>
  <c r="R225" i="1"/>
  <c r="R206" i="1"/>
  <c r="R192" i="1"/>
  <c r="R136" i="1"/>
  <c r="R51" i="1"/>
  <c r="R5" i="1"/>
  <c r="AB13" i="1" l="1"/>
  <c r="AB18" i="1"/>
  <c r="AA13" i="1"/>
  <c r="AA18" i="1"/>
  <c r="Z13" i="1"/>
  <c r="Z18" i="1"/>
  <c r="Y13" i="1"/>
  <c r="Y18" i="1"/>
  <c r="X13" i="1"/>
  <c r="X18" i="1"/>
  <c r="W13" i="1"/>
  <c r="W18" i="1"/>
  <c r="AB24" i="1" l="1"/>
  <c r="AB19" i="1"/>
  <c r="AB21" i="1"/>
  <c r="AB26" i="1"/>
  <c r="AB25" i="1"/>
  <c r="AB23" i="1"/>
  <c r="AB20" i="1"/>
  <c r="AB22" i="1"/>
  <c r="AA25" i="1"/>
  <c r="AA22" i="1"/>
  <c r="AA23" i="1"/>
  <c r="AA20" i="1"/>
  <c r="AA19" i="1"/>
  <c r="AA26" i="1"/>
  <c r="AA24" i="1"/>
  <c r="AA21" i="1"/>
  <c r="Z26" i="1"/>
  <c r="Z20" i="1"/>
  <c r="Z22" i="1"/>
  <c r="Z19" i="1"/>
  <c r="Z25" i="1"/>
  <c r="Z24" i="1"/>
  <c r="Z23" i="1"/>
  <c r="Z21" i="1"/>
  <c r="Y21" i="1"/>
  <c r="Y24" i="1"/>
  <c r="Y20" i="1"/>
  <c r="Y25" i="1"/>
  <c r="Y26" i="1"/>
  <c r="Y19" i="1"/>
  <c r="Y23" i="1"/>
  <c r="Y22" i="1"/>
  <c r="X20" i="1"/>
  <c r="X24" i="1"/>
  <c r="X22" i="1"/>
  <c r="X19" i="1"/>
  <c r="X23" i="1"/>
  <c r="X21" i="1"/>
  <c r="X26" i="1"/>
  <c r="X25" i="1"/>
  <c r="W24" i="1"/>
  <c r="W19" i="1"/>
  <c r="W23" i="1"/>
  <c r="W20" i="1"/>
  <c r="W22" i="1"/>
  <c r="W26" i="1"/>
  <c r="W21" i="1"/>
  <c r="W25" i="1"/>
  <c r="AB27" i="1" l="1"/>
  <c r="AA27" i="1"/>
  <c r="Z27" i="1"/>
  <c r="Y27" i="1"/>
  <c r="X27" i="1"/>
  <c r="W27" i="1"/>
</calcChain>
</file>

<file path=xl/sharedStrings.xml><?xml version="1.0" encoding="utf-8"?>
<sst xmlns="http://schemas.openxmlformats.org/spreadsheetml/2006/main" count="327" uniqueCount="288">
  <si>
    <t>학급</t>
    <phoneticPr fontId="8" type="noConversion"/>
  </si>
  <si>
    <t>학번</t>
    <phoneticPr fontId="8" type="noConversion"/>
  </si>
  <si>
    <t>이름</t>
    <phoneticPr fontId="8" type="noConversion"/>
  </si>
  <si>
    <t>국어</t>
    <phoneticPr fontId="8" type="noConversion"/>
  </si>
  <si>
    <t>수학</t>
    <phoneticPr fontId="8" type="noConversion"/>
  </si>
  <si>
    <r>
      <rPr>
        <b/>
        <sz val="10"/>
        <color rgb="FF000000"/>
        <rFont val="굴림"/>
        <family val="3"/>
        <charset val="129"/>
      </rPr>
      <t>영</t>
    </r>
    <r>
      <rPr>
        <b/>
        <sz val="10"/>
        <color rgb="FF000000"/>
        <rFont val="굴림"/>
        <family val="3"/>
        <charset val="129"/>
      </rPr>
      <t>어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</si>
  <si>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국수영
등급
평균</t>
    <phoneticPr fontId="8" type="noConversion"/>
  </si>
  <si>
    <r>
      <rPr>
        <b/>
        <sz val="8"/>
        <color rgb="FF000000"/>
        <rFont val="굴림"/>
        <family val="3"/>
        <charset val="129"/>
      </rPr>
      <t>한국사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</si>
  <si>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사회탐구</t>
    <phoneticPr fontId="17" type="noConversion"/>
  </si>
  <si>
    <t>과학탐구</t>
    <phoneticPr fontId="17" type="noConversion"/>
  </si>
  <si>
    <t>점수
합</t>
    <phoneticPr fontId="8" type="noConversion"/>
  </si>
  <si>
    <t>점수합
순위</t>
    <phoneticPr fontId="17" type="noConversion"/>
  </si>
  <si>
    <t>등급평균
(국영수+탐구)</t>
    <phoneticPr fontId="8" type="noConversion"/>
  </si>
  <si>
    <t>원점수</t>
    <phoneticPr fontId="8" type="noConversion"/>
  </si>
  <si>
    <t>등급</t>
    <phoneticPr fontId="8" type="noConversion"/>
  </si>
  <si>
    <t>점수</t>
    <phoneticPr fontId="7" type="noConversion"/>
  </si>
  <si>
    <t>점수</t>
    <phoneticPr fontId="8" type="noConversion"/>
  </si>
  <si>
    <t>예상
등급</t>
    <phoneticPr fontId="17" type="noConversion"/>
  </si>
  <si>
    <t>국어</t>
    <phoneticPr fontId="17" type="noConversion"/>
  </si>
  <si>
    <t>수학</t>
    <phoneticPr fontId="17" type="noConversion"/>
  </si>
  <si>
    <t>영어</t>
    <phoneticPr fontId="17" type="noConversion"/>
  </si>
  <si>
    <t>한국사</t>
    <phoneticPr fontId="17" type="noConversion"/>
  </si>
  <si>
    <t>과학탐구</t>
    <phoneticPr fontId="7" type="noConversion"/>
  </si>
  <si>
    <t>고태윤</t>
  </si>
  <si>
    <t>등급</t>
    <phoneticPr fontId="17" type="noConversion"/>
  </si>
  <si>
    <t>김동빈</t>
  </si>
  <si>
    <t>김동하</t>
  </si>
  <si>
    <t>김위영</t>
  </si>
  <si>
    <t>김유민</t>
  </si>
  <si>
    <t>김정훈</t>
  </si>
  <si>
    <t>김지견</t>
  </si>
  <si>
    <t>김진서</t>
  </si>
  <si>
    <t>김하율</t>
  </si>
  <si>
    <t>남서진</t>
  </si>
  <si>
    <t>응시자</t>
    <phoneticPr fontId="17" type="noConversion"/>
  </si>
  <si>
    <t>노경빈</t>
  </si>
  <si>
    <t>문주성</t>
  </si>
  <si>
    <t>송하림</t>
  </si>
  <si>
    <t>예상
등급</t>
  </si>
  <si>
    <t>국어</t>
  </si>
  <si>
    <t>신예율</t>
  </si>
  <si>
    <t>양민규</t>
  </si>
  <si>
    <t>양하민</t>
  </si>
  <si>
    <t>오태규</t>
  </si>
  <si>
    <t>이도훈</t>
  </si>
  <si>
    <t>이여명</t>
  </si>
  <si>
    <t>이윤찬</t>
  </si>
  <si>
    <t>임지후</t>
  </si>
  <si>
    <t>장선우</t>
  </si>
  <si>
    <t>전재웅</t>
  </si>
  <si>
    <t>정주호</t>
  </si>
  <si>
    <t>권정우</t>
  </si>
  <si>
    <t>김건우</t>
  </si>
  <si>
    <t>김도현</t>
  </si>
  <si>
    <t>등급</t>
    <phoneticPr fontId="7" type="noConversion"/>
  </si>
  <si>
    <t>김동영</t>
  </si>
  <si>
    <t>국어</t>
    <phoneticPr fontId="7" type="noConversion"/>
  </si>
  <si>
    <t>김륜환</t>
  </si>
  <si>
    <t>김산</t>
  </si>
  <si>
    <t>김지훈</t>
  </si>
  <si>
    <t>김태현</t>
  </si>
  <si>
    <t>노승원</t>
  </si>
  <si>
    <t>류동하</t>
  </si>
  <si>
    <t>박세현</t>
  </si>
  <si>
    <t>배주현</t>
  </si>
  <si>
    <t>배진우</t>
  </si>
  <si>
    <t>수학</t>
    <phoneticPr fontId="7" type="noConversion"/>
  </si>
  <si>
    <t>백헌우</t>
  </si>
  <si>
    <t>서희</t>
  </si>
  <si>
    <t>석지훈</t>
  </si>
  <si>
    <t>송지안</t>
  </si>
  <si>
    <t>유건후</t>
  </si>
  <si>
    <t>이민재</t>
  </si>
  <si>
    <t>이성원</t>
  </si>
  <si>
    <t>이준빈</t>
  </si>
  <si>
    <t>임희재</t>
  </si>
  <si>
    <t>영어</t>
    <phoneticPr fontId="7" type="noConversion"/>
  </si>
  <si>
    <t>전현승</t>
  </si>
  <si>
    <t>조찬형</t>
  </si>
  <si>
    <t>한승현</t>
  </si>
  <si>
    <t>황강현</t>
  </si>
  <si>
    <t>강승수</t>
  </si>
  <si>
    <t>강태훈</t>
  </si>
  <si>
    <t>권유세</t>
  </si>
  <si>
    <t>김상언</t>
  </si>
  <si>
    <t>한국사</t>
    <phoneticPr fontId="7" type="noConversion"/>
  </si>
  <si>
    <t>김의엽</t>
  </si>
  <si>
    <t>김지호</t>
  </si>
  <si>
    <t>김태연</t>
  </si>
  <si>
    <t>김하준</t>
  </si>
  <si>
    <t>나상원</t>
  </si>
  <si>
    <t>류승엽</t>
  </si>
  <si>
    <t>박주영</t>
  </si>
  <si>
    <t>박지호</t>
  </si>
  <si>
    <t>송시영</t>
  </si>
  <si>
    <t>사회탐구</t>
    <phoneticPr fontId="7" type="noConversion"/>
  </si>
  <si>
    <t>신재민</t>
  </si>
  <si>
    <t>심재준</t>
  </si>
  <si>
    <t>양하율</t>
  </si>
  <si>
    <t>이윤건</t>
  </si>
  <si>
    <t>이의찬</t>
  </si>
  <si>
    <t>이지후</t>
  </si>
  <si>
    <t>임도윤</t>
  </si>
  <si>
    <t>임우진</t>
  </si>
  <si>
    <t>정건</t>
  </si>
  <si>
    <t>최경호</t>
  </si>
  <si>
    <t>최종윤</t>
  </si>
  <si>
    <t>최현빈</t>
  </si>
  <si>
    <t>강경모</t>
  </si>
  <si>
    <t>김도건</t>
  </si>
  <si>
    <t>김도경</t>
  </si>
  <si>
    <t>김여량</t>
  </si>
  <si>
    <t>김율</t>
  </si>
  <si>
    <t>김재원</t>
  </si>
  <si>
    <t>김재하</t>
  </si>
  <si>
    <t>김준서</t>
  </si>
  <si>
    <t>노은우</t>
  </si>
  <si>
    <t>박도영</t>
  </si>
  <si>
    <t>배준원</t>
  </si>
  <si>
    <t>유준환</t>
  </si>
  <si>
    <t>윤성현</t>
  </si>
  <si>
    <t>이강민</t>
  </si>
  <si>
    <t>이건호</t>
  </si>
  <si>
    <t>이민우</t>
  </si>
  <si>
    <t>이승문</t>
  </si>
  <si>
    <t>이유태</t>
  </si>
  <si>
    <t>이재화</t>
  </si>
  <si>
    <t>이지환</t>
  </si>
  <si>
    <t>장재원</t>
  </si>
  <si>
    <t>장희원</t>
  </si>
  <si>
    <t>최지훈</t>
  </si>
  <si>
    <t>피민우</t>
  </si>
  <si>
    <t>한서준</t>
  </si>
  <si>
    <t>허단</t>
  </si>
  <si>
    <t>강민수</t>
  </si>
  <si>
    <t>권도겸</t>
  </si>
  <si>
    <t>김가온</t>
  </si>
  <si>
    <t>김상진</t>
  </si>
  <si>
    <t>김영현</t>
  </si>
  <si>
    <t>김우진</t>
  </si>
  <si>
    <t>김운</t>
  </si>
  <si>
    <t>김주호</t>
  </si>
  <si>
    <t>류현수</t>
  </si>
  <si>
    <t>백솔진</t>
  </si>
  <si>
    <t>서범국</t>
  </si>
  <si>
    <t>오민재</t>
  </si>
  <si>
    <t>유현준</t>
  </si>
  <si>
    <t>유휘연</t>
  </si>
  <si>
    <t>이담이</t>
  </si>
  <si>
    <t>이서진</t>
  </si>
  <si>
    <t>장석원</t>
  </si>
  <si>
    <t>장예준</t>
  </si>
  <si>
    <t>조민석</t>
  </si>
  <si>
    <t>조영준</t>
  </si>
  <si>
    <t>조재형</t>
  </si>
  <si>
    <t>조호근</t>
  </si>
  <si>
    <t>최창인</t>
  </si>
  <si>
    <t>함기선</t>
  </si>
  <si>
    <t>홍건준</t>
  </si>
  <si>
    <t>황인우</t>
  </si>
  <si>
    <t>황해성</t>
  </si>
  <si>
    <t>김나연</t>
  </si>
  <si>
    <t>김민채</t>
  </si>
  <si>
    <t>김서정</t>
  </si>
  <si>
    <t>김승아</t>
  </si>
  <si>
    <t>나하선</t>
  </si>
  <si>
    <t>문서을</t>
  </si>
  <si>
    <t>박예리</t>
  </si>
  <si>
    <t>박윤주</t>
  </si>
  <si>
    <t>배자람</t>
  </si>
  <si>
    <t>서지영</t>
  </si>
  <si>
    <t>소하연</t>
  </si>
  <si>
    <t>신이솔</t>
  </si>
  <si>
    <t>엄세민</t>
  </si>
  <si>
    <t>오솔미</t>
  </si>
  <si>
    <t>오송연</t>
  </si>
  <si>
    <t>유신비</t>
  </si>
  <si>
    <t>윤다경</t>
  </si>
  <si>
    <t>이예진</t>
  </si>
  <si>
    <t>이주아</t>
  </si>
  <si>
    <t>이지은</t>
  </si>
  <si>
    <t>임희경</t>
  </si>
  <si>
    <t>장지현</t>
  </si>
  <si>
    <t>조아람</t>
  </si>
  <si>
    <t>최서윤</t>
  </si>
  <si>
    <t>홍지우</t>
  </si>
  <si>
    <t>권시은</t>
  </si>
  <si>
    <t>김영선</t>
  </si>
  <si>
    <t>김예리</t>
  </si>
  <si>
    <t>김은혜</t>
  </si>
  <si>
    <t>박서연</t>
  </si>
  <si>
    <t>서효민</t>
  </si>
  <si>
    <t>서효원</t>
  </si>
  <si>
    <t>선윤아</t>
  </si>
  <si>
    <t>손정원</t>
  </si>
  <si>
    <t>심서연</t>
  </si>
  <si>
    <t>안채연</t>
  </si>
  <si>
    <t>오가영</t>
  </si>
  <si>
    <t>오소정</t>
  </si>
  <si>
    <t>유채원</t>
  </si>
  <si>
    <t>윤이현</t>
  </si>
  <si>
    <t>이루미</t>
  </si>
  <si>
    <t>이송현</t>
  </si>
  <si>
    <t>이정원</t>
  </si>
  <si>
    <t>임규란</t>
  </si>
  <si>
    <t>장서현</t>
  </si>
  <si>
    <t>장은서</t>
  </si>
  <si>
    <t>최서연</t>
  </si>
  <si>
    <t>최예서</t>
  </si>
  <si>
    <t>편다은</t>
  </si>
  <si>
    <t>한가희</t>
  </si>
  <si>
    <t>강윤하</t>
  </si>
  <si>
    <t>김보경</t>
  </si>
  <si>
    <t>김선중</t>
  </si>
  <si>
    <t>김시현</t>
  </si>
  <si>
    <t>김예빈</t>
  </si>
  <si>
    <t>김정수</t>
  </si>
  <si>
    <t>김채령</t>
  </si>
  <si>
    <t>노새빛</t>
  </si>
  <si>
    <t>문채연</t>
  </si>
  <si>
    <t>박송린</t>
  </si>
  <si>
    <t>박재은</t>
  </si>
  <si>
    <t>박정하</t>
  </si>
  <si>
    <t>방서윤</t>
  </si>
  <si>
    <t>양지영</t>
  </si>
  <si>
    <t>유다미</t>
  </si>
  <si>
    <t>유서영</t>
  </si>
  <si>
    <t>이수인</t>
  </si>
  <si>
    <t>이시윤</t>
  </si>
  <si>
    <t>이하은</t>
  </si>
  <si>
    <t>임서정</t>
  </si>
  <si>
    <t>전수민</t>
  </si>
  <si>
    <t>정가인</t>
  </si>
  <si>
    <t>조윤지</t>
  </si>
  <si>
    <t>홍지민</t>
  </si>
  <si>
    <t>김가연</t>
  </si>
  <si>
    <t>김나경</t>
  </si>
  <si>
    <t>김도연</t>
  </si>
  <si>
    <t>김빛나</t>
  </si>
  <si>
    <t>김수현</t>
  </si>
  <si>
    <t>김지민</t>
  </si>
  <si>
    <t>남여령</t>
  </si>
  <si>
    <t>박수민</t>
  </si>
  <si>
    <t>박지수</t>
  </si>
  <si>
    <t>서예선</t>
  </si>
  <si>
    <t>서예은</t>
  </si>
  <si>
    <t>송효민</t>
  </si>
  <si>
    <t>신연우</t>
  </si>
  <si>
    <t>신유민</t>
  </si>
  <si>
    <t>안나경</t>
  </si>
  <si>
    <t>안시은</t>
  </si>
  <si>
    <t>이세희</t>
  </si>
  <si>
    <t>이수연</t>
  </si>
  <si>
    <t>이시현</t>
  </si>
  <si>
    <t>이윤이나</t>
  </si>
  <si>
    <t>정다혜</t>
  </si>
  <si>
    <t>정혜현</t>
  </si>
  <si>
    <t>최한결</t>
  </si>
  <si>
    <t>한예소</t>
  </si>
  <si>
    <t>홍승아</t>
  </si>
  <si>
    <t>황채현</t>
  </si>
  <si>
    <t>곽의현</t>
  </si>
  <si>
    <t>권유주</t>
  </si>
  <si>
    <t>김가빈</t>
  </si>
  <si>
    <t>김다인</t>
  </si>
  <si>
    <t>김하윤</t>
  </si>
  <si>
    <t>도은호</t>
  </si>
  <si>
    <t>박수현</t>
  </si>
  <si>
    <t>박예나</t>
  </si>
  <si>
    <t>박유민</t>
  </si>
  <si>
    <t>송섬결</t>
  </si>
  <si>
    <t>송예원</t>
  </si>
  <si>
    <t>송채원</t>
  </si>
  <si>
    <t>오서영</t>
  </si>
  <si>
    <t>우솜귤</t>
  </si>
  <si>
    <t>유지효</t>
  </si>
  <si>
    <t>이가현</t>
  </si>
  <si>
    <t>이보영</t>
  </si>
  <si>
    <t>이세연</t>
  </si>
  <si>
    <t>이수민</t>
  </si>
  <si>
    <t>이채연</t>
  </si>
  <si>
    <t>정세아</t>
  </si>
  <si>
    <t>한다연</t>
  </si>
  <si>
    <t>한은지</t>
  </si>
  <si>
    <t>미응시</t>
  </si>
  <si>
    <r>
      <rPr>
        <b/>
        <sz val="16"/>
        <color rgb="FF000000"/>
        <rFont val="Calibri"/>
        <family val="3"/>
      </rPr>
      <t>2026</t>
    </r>
    <r>
      <rPr>
        <b/>
        <sz val="16"/>
        <color rgb="FF000000"/>
        <rFont val="돋움"/>
        <family val="3"/>
        <charset val="134"/>
      </rPr>
      <t>학년도</t>
    </r>
    <r>
      <rPr>
        <b/>
        <sz val="15"/>
        <color theme="1"/>
        <rFont val="Calibri"/>
        <family val="2"/>
      </rPr>
      <t xml:space="preserve"> 6</t>
    </r>
    <r>
      <rPr>
        <b/>
        <sz val="15"/>
        <color theme="1"/>
        <rFont val="맑은 고딕"/>
        <family val="3"/>
        <charset val="129"/>
      </rPr>
      <t>월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전국연합학력평가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성적일람표(2학년)</t>
    </r>
    <phoneticPr fontId="8" type="noConversion"/>
  </si>
  <si>
    <t xml:space="preserve">ebsi기준 </t>
    <phoneticPr fontId="7" type="noConversion"/>
  </si>
  <si>
    <t>등급컷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</si>
</sst>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_ "/>
    <numFmt numFmtId="178" formatCode="0.00_ "/>
    <numFmt numFmtId="179" formatCode="0_ "/>
    <numFmt numFmtId="180" formatCode="0.0%"/>
    <numFmt numFmtId="181" formatCode="#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b/>
      <sz val="10"/>
      <color rgb="FF000000"/>
      <name val="Calibri"/>
      <family val="3"/>
      <charset val="134"/>
    </font>
    <font>
      <b/>
      <sz val="16"/>
      <color rgb="FF000000"/>
      <name val="Calibri"/>
      <family val="3"/>
    </font>
    <font>
      <b/>
      <sz val="16"/>
      <color rgb="FF000000"/>
      <name val="돋움"/>
      <family val="3"/>
      <charset val="134"/>
    </font>
    <font>
      <b/>
      <sz val="15"/>
      <color theme="1"/>
      <name val="Calibri"/>
      <family val="2"/>
    </font>
    <font>
      <b/>
      <sz val="15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3"/>
      <charset val="134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맑은 고딕"/>
      <family val="2"/>
      <charset val="134"/>
      <scheme val="minor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 vertical="top"/>
    </xf>
    <xf numFmtId="0" fontId="10" fillId="0" borderId="0" xfId="2" applyFont="1">
      <alignment vertical="center"/>
    </xf>
    <xf numFmtId="0" fontId="11" fillId="2" borderId="1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176" fontId="12" fillId="2" borderId="6" xfId="1" applyNumberFormat="1" applyFont="1" applyFill="1" applyBorder="1" applyAlignment="1">
      <alignment horizontal="center" vertical="center"/>
    </xf>
    <xf numFmtId="176" fontId="12" fillId="2" borderId="7" xfId="1" applyNumberFormat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 wrapText="1"/>
    </xf>
    <xf numFmtId="176" fontId="15" fillId="2" borderId="6" xfId="1" applyNumberFormat="1" applyFont="1" applyFill="1" applyBorder="1" applyAlignment="1">
      <alignment horizontal="center" vertical="center"/>
    </xf>
    <xf numFmtId="176" fontId="15" fillId="2" borderId="7" xfId="1" applyNumberFormat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176" fontId="13" fillId="2" borderId="10" xfId="1" applyNumberFormat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 wrapText="1"/>
    </xf>
    <xf numFmtId="176" fontId="13" fillId="2" borderId="17" xfId="1" applyNumberFormat="1" applyFont="1" applyFill="1" applyBorder="1" applyAlignment="1">
      <alignment horizontal="center" vertical="center"/>
    </xf>
    <xf numFmtId="176" fontId="13" fillId="2" borderId="18" xfId="1" applyNumberFormat="1" applyFont="1" applyFill="1" applyBorder="1" applyAlignment="1">
      <alignment horizontal="center" vertical="center"/>
    </xf>
    <xf numFmtId="176" fontId="13" fillId="2" borderId="19" xfId="1" applyNumberFormat="1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 wrapText="1"/>
    </xf>
    <xf numFmtId="176" fontId="13" fillId="2" borderId="16" xfId="1" applyNumberFormat="1" applyFont="1" applyFill="1" applyBorder="1" applyAlignment="1">
      <alignment horizontal="center" vertical="center"/>
    </xf>
    <xf numFmtId="176" fontId="13" fillId="2" borderId="21" xfId="1" applyNumberFormat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176" fontId="13" fillId="2" borderId="23" xfId="1" applyNumberFormat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27" xfId="2" applyFont="1" applyFill="1" applyBorder="1" applyAlignment="1">
      <alignment horizontal="center" vertical="center"/>
    </xf>
    <xf numFmtId="0" fontId="10" fillId="3" borderId="28" xfId="2" applyFont="1" applyFill="1" applyBorder="1" applyAlignment="1">
      <alignment horizontal="center" vertical="center" wrapText="1" shrinkToFit="1"/>
    </xf>
    <xf numFmtId="177" fontId="9" fillId="3" borderId="28" xfId="2" applyNumberFormat="1" applyFill="1" applyBorder="1" applyAlignment="1">
      <alignment horizontal="center" vertical="center" wrapText="1" shrinkToFit="1"/>
    </xf>
    <xf numFmtId="0" fontId="10" fillId="3" borderId="29" xfId="2" applyFont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30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  <xf numFmtId="0" fontId="11" fillId="0" borderId="13" xfId="1" applyFont="1" applyBorder="1" applyAlignment="1">
      <alignment horizontal="center" vertical="center"/>
    </xf>
    <xf numFmtId="0" fontId="9" fillId="4" borderId="31" xfId="2" applyFill="1" applyBorder="1" applyAlignment="1">
      <alignment horizontal="center" vertical="center"/>
    </xf>
    <xf numFmtId="0" fontId="18" fillId="5" borderId="32" xfId="2" applyFont="1" applyFill="1" applyBorder="1" applyAlignment="1">
      <alignment horizontal="center" vertical="center" wrapText="1"/>
    </xf>
    <xf numFmtId="178" fontId="12" fillId="3" borderId="20" xfId="1" applyNumberFormat="1" applyFont="1" applyFill="1" applyBorder="1" applyAlignment="1">
      <alignment horizontal="center" vertical="center"/>
    </xf>
    <xf numFmtId="0" fontId="9" fillId="0" borderId="31" xfId="2" applyBorder="1" applyAlignment="1">
      <alignment horizontal="center" vertical="center"/>
    </xf>
    <xf numFmtId="176" fontId="12" fillId="3" borderId="23" xfId="1" applyNumberFormat="1" applyFont="1" applyFill="1" applyBorder="1" applyAlignment="1">
      <alignment horizontal="center" vertical="center"/>
    </xf>
    <xf numFmtId="179" fontId="12" fillId="3" borderId="24" xfId="1" applyNumberFormat="1" applyFont="1" applyFill="1" applyBorder="1" applyAlignment="1">
      <alignment horizontal="center" vertical="center"/>
    </xf>
    <xf numFmtId="178" fontId="1" fillId="3" borderId="25" xfId="1" applyNumberFormat="1" applyFill="1" applyBorder="1" applyAlignment="1">
      <alignment horizontal="center" vertical="center"/>
    </xf>
    <xf numFmtId="0" fontId="19" fillId="0" borderId="33" xfId="2" applyFont="1" applyBorder="1" applyAlignment="1">
      <alignment horizontal="right" vertical="center"/>
    </xf>
    <xf numFmtId="0" fontId="19" fillId="0" borderId="23" xfId="2" applyFont="1" applyBorder="1" applyAlignment="1">
      <alignment horizontal="left" vertical="center"/>
    </xf>
    <xf numFmtId="0" fontId="19" fillId="0" borderId="13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33" xfId="2" applyFont="1" applyBorder="1" applyAlignment="1">
      <alignment horizontal="center" vertical="center"/>
    </xf>
    <xf numFmtId="0" fontId="19" fillId="6" borderId="34" xfId="2" applyFont="1" applyFill="1" applyBorder="1" applyAlignment="1">
      <alignment horizontal="right" vertical="center"/>
    </xf>
    <xf numFmtId="0" fontId="19" fillId="6" borderId="35" xfId="2" applyFont="1" applyFill="1" applyBorder="1" applyAlignment="1">
      <alignment horizontal="left" vertical="center"/>
    </xf>
    <xf numFmtId="0" fontId="19" fillId="6" borderId="13" xfId="2" applyFont="1" applyFill="1" applyBorder="1" applyAlignment="1">
      <alignment horizontal="center" vertical="center"/>
    </xf>
    <xf numFmtId="0" fontId="19" fillId="6" borderId="24" xfId="2" applyFont="1" applyFill="1" applyBorder="1" applyAlignment="1">
      <alignment horizontal="center" vertical="center"/>
    </xf>
    <xf numFmtId="0" fontId="19" fillId="6" borderId="33" xfId="2" applyFont="1" applyFill="1" applyBorder="1" applyAlignment="1">
      <alignment horizontal="center" vertical="center"/>
    </xf>
    <xf numFmtId="0" fontId="19" fillId="0" borderId="34" xfId="2" applyFont="1" applyBorder="1" applyAlignment="1">
      <alignment horizontal="right" vertical="center"/>
    </xf>
    <xf numFmtId="0" fontId="19" fillId="0" borderId="35" xfId="2" applyFont="1" applyBorder="1" applyAlignment="1">
      <alignment horizontal="left" vertical="center"/>
    </xf>
    <xf numFmtId="0" fontId="19" fillId="0" borderId="36" xfId="2" applyFont="1" applyBorder="1" applyAlignment="1">
      <alignment horizontal="right" vertical="center"/>
    </xf>
    <xf numFmtId="0" fontId="19" fillId="0" borderId="37" xfId="2" applyFont="1" applyBorder="1" applyAlignment="1">
      <alignment horizontal="left" vertical="center"/>
    </xf>
    <xf numFmtId="0" fontId="19" fillId="0" borderId="38" xfId="2" applyFont="1" applyBorder="1" applyAlignment="1">
      <alignment horizontal="center" vertical="center"/>
    </xf>
    <xf numFmtId="0" fontId="19" fillId="0" borderId="39" xfId="2" applyFont="1" applyBorder="1" applyAlignment="1">
      <alignment horizontal="center" vertical="center"/>
    </xf>
    <xf numFmtId="0" fontId="19" fillId="0" borderId="40" xfId="2" applyFont="1" applyBorder="1" applyAlignment="1">
      <alignment horizontal="center" vertical="center"/>
    </xf>
    <xf numFmtId="0" fontId="19" fillId="0" borderId="41" xfId="2" applyFont="1" applyBorder="1" applyAlignment="1">
      <alignment horizontal="center" vertical="center"/>
    </xf>
    <xf numFmtId="0" fontId="19" fillId="0" borderId="42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43" xfId="2" applyFont="1" applyBorder="1" applyAlignment="1">
      <alignment horizontal="center" vertical="center"/>
    </xf>
    <xf numFmtId="0" fontId="19" fillId="0" borderId="44" xfId="2" applyFont="1" applyBorder="1" applyAlignment="1">
      <alignment horizontal="center" vertical="center"/>
    </xf>
    <xf numFmtId="0" fontId="19" fillId="0" borderId="45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0" fontId="10" fillId="3" borderId="46" xfId="2" applyFont="1" applyFill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 wrapText="1" shrinkToFit="1"/>
    </xf>
    <xf numFmtId="177" fontId="9" fillId="3" borderId="11" xfId="2" applyNumberFormat="1" applyFill="1" applyBorder="1" applyAlignment="1">
      <alignment horizontal="center" vertical="center" wrapText="1" shrinkToFit="1"/>
    </xf>
    <xf numFmtId="0" fontId="10" fillId="3" borderId="1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 shrinkToFit="1"/>
    </xf>
    <xf numFmtId="0" fontId="10" fillId="3" borderId="47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  <xf numFmtId="0" fontId="10" fillId="3" borderId="48" xfId="2" applyFont="1" applyFill="1" applyBorder="1" applyAlignment="1">
      <alignment horizontal="center" vertical="center"/>
    </xf>
    <xf numFmtId="0" fontId="10" fillId="3" borderId="49" xfId="2" applyFont="1" applyFill="1" applyBorder="1" applyAlignment="1">
      <alignment horizontal="center" vertical="center"/>
    </xf>
    <xf numFmtId="0" fontId="10" fillId="3" borderId="50" xfId="2" applyFont="1" applyFill="1" applyBorder="1" applyAlignment="1">
      <alignment horizontal="center" vertical="center" wrapText="1" shrinkToFit="1"/>
    </xf>
    <xf numFmtId="177" fontId="9" fillId="3" borderId="45" xfId="2" applyNumberFormat="1" applyFill="1" applyBorder="1" applyAlignment="1">
      <alignment horizontal="center" vertical="center" wrapText="1" shrinkToFit="1"/>
    </xf>
    <xf numFmtId="0" fontId="10" fillId="3" borderId="45" xfId="2" applyFont="1" applyFill="1" applyBorder="1" applyAlignment="1">
      <alignment horizontal="center" vertical="center" wrapText="1"/>
    </xf>
    <xf numFmtId="0" fontId="10" fillId="3" borderId="51" xfId="2" applyFont="1" applyFill="1" applyBorder="1" applyAlignment="1">
      <alignment horizontal="center" vertical="center" wrapText="1" shrinkToFit="1"/>
    </xf>
    <xf numFmtId="0" fontId="10" fillId="3" borderId="52" xfId="2" applyFont="1" applyFill="1" applyBorder="1" applyAlignment="1">
      <alignment horizontal="center" vertical="center" wrapText="1" shrinkToFit="1"/>
    </xf>
    <xf numFmtId="180" fontId="19" fillId="0" borderId="13" xfId="2" applyNumberFormat="1" applyFont="1" applyBorder="1" applyAlignment="1">
      <alignment horizontal="center" vertical="center"/>
    </xf>
    <xf numFmtId="180" fontId="19" fillId="6" borderId="13" xfId="2" applyNumberFormat="1" applyFont="1" applyFill="1" applyBorder="1" applyAlignment="1">
      <alignment horizontal="center" vertical="center"/>
    </xf>
    <xf numFmtId="181" fontId="19" fillId="0" borderId="11" xfId="2" applyNumberFormat="1" applyFont="1" applyBorder="1" applyAlignment="1">
      <alignment horizontal="center" vertical="center"/>
    </xf>
    <xf numFmtId="181" fontId="19" fillId="0" borderId="45" xfId="2" applyNumberFormat="1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 shrinkToFit="1"/>
    </xf>
    <xf numFmtId="0" fontId="21" fillId="7" borderId="54" xfId="0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1" fillId="7" borderId="9" xfId="0" applyFont="1" applyFill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 shrinkToFit="1"/>
    </xf>
    <xf numFmtId="0" fontId="21" fillId="7" borderId="14" xfId="0" applyFont="1" applyFill="1" applyBorder="1" applyAlignment="1">
      <alignment horizontal="center" vertical="center" shrinkToFit="1"/>
    </xf>
    <xf numFmtId="0" fontId="21" fillId="7" borderId="55" xfId="0" applyFont="1" applyFill="1" applyBorder="1" applyAlignment="1">
      <alignment horizontal="center" vertical="center" shrinkToFit="1"/>
    </xf>
    <xf numFmtId="0" fontId="20" fillId="0" borderId="51" xfId="0" applyFont="1" applyBorder="1" applyAlignment="1">
      <alignment horizontal="center" vertical="center" shrinkToFit="1"/>
    </xf>
    <xf numFmtId="0" fontId="21" fillId="7" borderId="56" xfId="0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center" vertical="center"/>
    </xf>
  </cellXfs>
  <cellStyles count="3">
    <cellStyle name="표준" xfId="0" builtinId="0"/>
    <cellStyle name="표준 3" xfId="2" xr:uid="{0FBD5F65-CA48-4C9C-8358-CA47C2E6D4FD}"/>
    <cellStyle name="표준 8" xfId="1" xr:uid="{E630D692-6B6F-4973-8076-CAF2E36D0BA4}"/>
  </cellStyles>
  <dxfs count="1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1.63\ftp_home\Util\&#45824;&#44368;&#54801;\&#51088;&#47308;&#48372;&#45253;&#45768;&#45796;-&#48149;&#54217;\&#47784;&#51032;&#44256;&#49324;\3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점수입력"/>
      <sheetName val="선택과목명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8291-307A-487D-85E6-82251428DDA4}">
  <sheetPr codeName="Sheet34"/>
  <dimension ref="A1:AM258"/>
  <sheetViews>
    <sheetView tabSelected="1" topLeftCell="A24" workbookViewId="0">
      <selection activeCell="X36" sqref="X36"/>
    </sheetView>
  </sheetViews>
  <sheetFormatPr defaultRowHeight="16.5"/>
  <cols>
    <col min="1" max="1" width="3.375" style="102" customWidth="1"/>
    <col min="2" max="2" width="5.875" style="102" customWidth="1"/>
    <col min="3" max="3" width="7" style="102" customWidth="1"/>
    <col min="4" max="4" width="9" style="102" customWidth="1"/>
    <col min="5" max="5" width="9" style="103" bestFit="1" customWidth="1"/>
    <col min="6" max="6" width="9.5" style="102" customWidth="1"/>
    <col min="7" max="7" width="9" style="103" bestFit="1" customWidth="1"/>
    <col min="8" max="8" width="8.875" style="103" customWidth="1"/>
    <col min="9" max="9" width="4.25" style="103" customWidth="1"/>
    <col min="10" max="10" width="6.625" style="102" customWidth="1"/>
    <col min="11" max="11" width="10.75" style="103" bestFit="1" customWidth="1"/>
    <col min="12" max="12" width="6.625" style="103" customWidth="1"/>
    <col min="13" max="13" width="10.25" style="102" customWidth="1"/>
    <col min="14" max="14" width="4.25" style="103" customWidth="1"/>
    <col min="15" max="15" width="10.25" style="102" customWidth="1"/>
    <col min="16" max="16" width="4.25" style="103" customWidth="1"/>
    <col min="17" max="17" width="6.25" style="103" customWidth="1"/>
    <col min="18" max="18" width="8" style="102" bestFit="1" customWidth="1"/>
    <col min="19" max="19" width="8.125" style="102" customWidth="1"/>
    <col min="20" max="20" width="1.75" style="2" customWidth="1"/>
    <col min="21" max="21" width="2.75" style="3" customWidth="1"/>
    <col min="22" max="22" width="4.5" style="3" customWidth="1"/>
    <col min="23" max="26" width="7.625" style="3" customWidth="1"/>
    <col min="27" max="28" width="9" style="3" bestFit="1" customWidth="1"/>
    <col min="29" max="31" width="7.625" style="3" customWidth="1"/>
    <col min="32" max="39" width="4.375" style="3" customWidth="1"/>
    <col min="40" max="16384" width="9" style="2"/>
  </cols>
  <sheetData>
    <row r="1" spans="1:39" ht="38.25" customHeight="1" thickBot="1">
      <c r="A1" s="1" t="s">
        <v>285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9" ht="24" customHeight="1" thickBot="1">
      <c r="A2" s="4" t="s">
        <v>0</v>
      </c>
      <c r="B2" s="5" t="s">
        <v>1</v>
      </c>
      <c r="C2" s="6" t="s">
        <v>2</v>
      </c>
      <c r="D2" s="7" t="s">
        <v>3</v>
      </c>
      <c r="E2" s="8"/>
      <c r="F2" s="7" t="s">
        <v>4</v>
      </c>
      <c r="G2" s="8"/>
      <c r="H2" s="9" t="s">
        <v>5</v>
      </c>
      <c r="I2" s="10"/>
      <c r="J2" s="11" t="s">
        <v>6</v>
      </c>
      <c r="K2" s="12" t="s">
        <v>7</v>
      </c>
      <c r="L2" s="13"/>
      <c r="M2" s="14" t="s">
        <v>8</v>
      </c>
      <c r="N2" s="15"/>
      <c r="O2" s="14" t="s">
        <v>9</v>
      </c>
      <c r="P2" s="15"/>
      <c r="Q2" s="16" t="s">
        <v>10</v>
      </c>
      <c r="R2" s="17" t="s">
        <v>11</v>
      </c>
      <c r="S2" s="18" t="s">
        <v>12</v>
      </c>
    </row>
    <row r="3" spans="1:39" ht="41.25" customHeight="1" thickBot="1">
      <c r="A3" s="19"/>
      <c r="B3" s="20"/>
      <c r="C3" s="21"/>
      <c r="D3" s="22" t="s">
        <v>13</v>
      </c>
      <c r="E3" s="23" t="s">
        <v>14</v>
      </c>
      <c r="F3" s="22" t="s">
        <v>13</v>
      </c>
      <c r="G3" s="23" t="s">
        <v>14</v>
      </c>
      <c r="H3" s="24" t="s">
        <v>15</v>
      </c>
      <c r="I3" s="25" t="s">
        <v>14</v>
      </c>
      <c r="J3" s="26"/>
      <c r="K3" s="27" t="s">
        <v>16</v>
      </c>
      <c r="L3" s="28" t="s">
        <v>14</v>
      </c>
      <c r="M3" s="29" t="s">
        <v>16</v>
      </c>
      <c r="N3" s="23" t="s">
        <v>14</v>
      </c>
      <c r="O3" s="29" t="s">
        <v>16</v>
      </c>
      <c r="P3" s="23" t="s">
        <v>14</v>
      </c>
      <c r="Q3" s="30"/>
      <c r="R3" s="31"/>
      <c r="S3" s="32"/>
      <c r="U3" s="33" t="s">
        <v>17</v>
      </c>
      <c r="V3" s="34"/>
      <c r="W3" s="35" t="s">
        <v>18</v>
      </c>
      <c r="X3" s="36" t="s">
        <v>19</v>
      </c>
      <c r="Y3" s="37" t="s">
        <v>20</v>
      </c>
      <c r="Z3" s="38" t="s">
        <v>21</v>
      </c>
      <c r="AA3" s="35" t="s">
        <v>8</v>
      </c>
      <c r="AB3" s="39" t="s">
        <v>22</v>
      </c>
      <c r="AC3" s="40"/>
      <c r="AD3" s="40"/>
    </row>
    <row r="4" spans="1:39" ht="20.100000000000001" customHeight="1">
      <c r="A4" s="41">
        <v>1</v>
      </c>
      <c r="B4">
        <v>20101</v>
      </c>
      <c r="C4" t="s">
        <v>23</v>
      </c>
      <c r="D4" s="42">
        <v>35</v>
      </c>
      <c r="E4" s="43">
        <f ca="1">IF(D4="","",VLOOKUP(D4,INDIRECT($D$2&amp;6),2,TRUE))</f>
        <v>6</v>
      </c>
      <c r="F4" s="42">
        <v>55</v>
      </c>
      <c r="G4" s="43">
        <f ca="1">IF(F4="","",VLOOKUP(F4,INDIRECT($F$2&amp;6),2,TRUE))</f>
        <v>4</v>
      </c>
      <c r="H4" s="42">
        <v>43</v>
      </c>
      <c r="I4" s="43">
        <f ca="1">IF(H4="","",VLOOKUP(H4,INDIRECT($H$2&amp;6),2,TRUE))</f>
        <v>6</v>
      </c>
      <c r="J4" s="44">
        <f ca="1">(E4+G4+I4)/3</f>
        <v>5.333333333333333</v>
      </c>
      <c r="K4" s="45">
        <v>20</v>
      </c>
      <c r="L4" s="43">
        <f ca="1">IF(K4="","",VLOOKUP(K4,INDIRECT($K$2&amp;6),2,TRUE))</f>
        <v>5</v>
      </c>
      <c r="M4" s="42">
        <v>14</v>
      </c>
      <c r="N4" s="43">
        <f ca="1">IF(M4="","",VLOOKUP(M4,INDIRECT($M$2&amp;6),2,TRUE))</f>
        <v>6</v>
      </c>
      <c r="O4" s="42">
        <v>21.5</v>
      </c>
      <c r="P4" s="43">
        <f ca="1">IF(O4="","",VLOOKUP(O4,INDIRECT($O$2&amp;6),2,TRUE))</f>
        <v>4</v>
      </c>
      <c r="Q4" s="46">
        <f>D4+F4+H4+K4+M4+O4</f>
        <v>188.5</v>
      </c>
      <c r="R4" s="47">
        <f>RANK(Q4,$Q$4:$Q$260,0)</f>
        <v>175</v>
      </c>
      <c r="S4" s="48">
        <f ca="1">(E4+G4+I4+((N4+P4)/2))/4</f>
        <v>5.25</v>
      </c>
      <c r="U4" s="49">
        <v>1</v>
      </c>
      <c r="V4" s="50" t="s">
        <v>24</v>
      </c>
      <c r="W4" s="51">
        <f t="shared" ref="W4:W12" ca="1" si="0">COUNTIF($E$4:$E$327,U4)</f>
        <v>8</v>
      </c>
      <c r="X4" s="51">
        <f t="shared" ref="X4:X12" ca="1" si="1">COUNTIF($G$4:$G$327,U4)</f>
        <v>12</v>
      </c>
      <c r="Y4" s="52">
        <f t="shared" ref="Y4:Y12" ca="1" si="2">COUNTIF($I$4:$I$327,U4)</f>
        <v>16</v>
      </c>
      <c r="Z4" s="53">
        <f t="shared" ref="Z4:Z12" ca="1" si="3">COUNTIF($L$4:$L$327,U4)</f>
        <v>53</v>
      </c>
      <c r="AA4" s="53">
        <f t="shared" ref="AA4:AA12" ca="1" si="4">COUNTIF($N$4:$N$327,U4)</f>
        <v>11</v>
      </c>
      <c r="AB4" s="52">
        <f t="shared" ref="AB4:AB12" ca="1" si="5">COUNTIF($P$4:$P$327,U4)</f>
        <v>9</v>
      </c>
      <c r="AC4" s="40"/>
      <c r="AD4" s="40"/>
    </row>
    <row r="5" spans="1:39" ht="20.100000000000001" customHeight="1">
      <c r="A5" s="41">
        <v>1</v>
      </c>
      <c r="B5">
        <v>20102</v>
      </c>
      <c r="C5" t="s">
        <v>25</v>
      </c>
      <c r="D5" s="42">
        <v>41</v>
      </c>
      <c r="E5" s="43">
        <f ca="1">IF(D5="","",VLOOKUP(D5,INDIRECT($D$2&amp;6),2,TRUE))</f>
        <v>6</v>
      </c>
      <c r="F5" s="42">
        <v>34</v>
      </c>
      <c r="G5" s="43">
        <f ca="1">IF(F5="","",VLOOKUP(F5,INDIRECT($F$2&amp;6),2,TRUE))</f>
        <v>5</v>
      </c>
      <c r="H5" s="42">
        <v>41</v>
      </c>
      <c r="I5" s="43">
        <f ca="1">IF(H5="","",VLOOKUP(H5,INDIRECT($H$2&amp;6),2,TRUE))</f>
        <v>6</v>
      </c>
      <c r="J5" s="44">
        <f ca="1">(E5+G5+I5)/3</f>
        <v>5.666666666666667</v>
      </c>
      <c r="K5" s="45">
        <v>18</v>
      </c>
      <c r="L5" s="43">
        <f ca="1">IF(K5="","",VLOOKUP(K5,INDIRECT($K$2&amp;6),2,TRUE))</f>
        <v>6</v>
      </c>
      <c r="M5" s="42">
        <v>17.5</v>
      </c>
      <c r="N5" s="43">
        <f ca="1">IF(M5="","",VLOOKUP(M5,INDIRECT($M$2&amp;6),2,TRUE))</f>
        <v>6</v>
      </c>
      <c r="O5" s="42">
        <v>11</v>
      </c>
      <c r="P5" s="43">
        <f ca="1">IF(O5="","",VLOOKUP(O5,INDIRECT($O$2&amp;6),2,TRUE))</f>
        <v>7</v>
      </c>
      <c r="Q5" s="46">
        <f>D5+F5+H5+K5+M5+O5</f>
        <v>162.5</v>
      </c>
      <c r="R5" s="47">
        <f>RANK(Q5,$Q$4:$Q$260,0)</f>
        <v>198</v>
      </c>
      <c r="S5" s="48">
        <f ca="1">(E5+G5+I5+((N5+P5)/2))/4</f>
        <v>5.875</v>
      </c>
      <c r="U5" s="54">
        <v>2</v>
      </c>
      <c r="V5" s="55" t="s">
        <v>24</v>
      </c>
      <c r="W5" s="56">
        <f t="shared" ca="1" si="0"/>
        <v>21</v>
      </c>
      <c r="X5" s="56">
        <f t="shared" ca="1" si="1"/>
        <v>15</v>
      </c>
      <c r="Y5" s="57">
        <f t="shared" ca="1" si="2"/>
        <v>35</v>
      </c>
      <c r="Z5" s="58">
        <f t="shared" ca="1" si="3"/>
        <v>30</v>
      </c>
      <c r="AA5" s="58">
        <f t="shared" ca="1" si="4"/>
        <v>32</v>
      </c>
      <c r="AB5" s="57">
        <f t="shared" ca="1" si="5"/>
        <v>31</v>
      </c>
      <c r="AC5" s="40"/>
      <c r="AD5" s="40"/>
    </row>
    <row r="6" spans="1:39" ht="20.100000000000001" customHeight="1">
      <c r="A6" s="41">
        <v>1</v>
      </c>
      <c r="B6">
        <v>20103</v>
      </c>
      <c r="C6" t="s">
        <v>26</v>
      </c>
      <c r="D6" s="42">
        <v>36</v>
      </c>
      <c r="E6" s="43">
        <f ca="1">IF(D6="","",VLOOKUP(D6,INDIRECT($D$2&amp;6),2,TRUE))</f>
        <v>6</v>
      </c>
      <c r="F6" s="42">
        <v>23</v>
      </c>
      <c r="G6" s="43">
        <f ca="1">IF(F6="","",VLOOKUP(F6,INDIRECT($F$2&amp;6),2,TRUE))</f>
        <v>6</v>
      </c>
      <c r="H6" s="42">
        <v>49</v>
      </c>
      <c r="I6" s="43">
        <f ca="1">IF(H6="","",VLOOKUP(H6,INDIRECT($H$2&amp;6),2,TRUE))</f>
        <v>6</v>
      </c>
      <c r="J6" s="44">
        <f ca="1">(E6+G6+I6)/3</f>
        <v>6</v>
      </c>
      <c r="K6" s="45">
        <v>19</v>
      </c>
      <c r="L6" s="43">
        <f ca="1">IF(K6="","",VLOOKUP(K6,INDIRECT($K$2&amp;6),2,TRUE))</f>
        <v>6</v>
      </c>
      <c r="M6" s="42">
        <v>27</v>
      </c>
      <c r="N6" s="43">
        <f ca="1">IF(M6="","",VLOOKUP(M6,INDIRECT($M$2&amp;6),2,TRUE))</f>
        <v>4</v>
      </c>
      <c r="O6" s="42">
        <v>17</v>
      </c>
      <c r="P6" s="43">
        <f ca="1">IF(O6="","",VLOOKUP(O6,INDIRECT($O$2&amp;6),2,TRUE))</f>
        <v>5</v>
      </c>
      <c r="Q6" s="46">
        <f>D6+F6+H6+K6+M6+O6</f>
        <v>171</v>
      </c>
      <c r="R6" s="47">
        <f>RANK(Q6,$Q$4:$Q$260,0)</f>
        <v>185</v>
      </c>
      <c r="S6" s="48">
        <f ca="1">(E6+G6+I6+((N6+P6)/2))/4</f>
        <v>5.625</v>
      </c>
      <c r="U6" s="59">
        <v>3</v>
      </c>
      <c r="V6" s="60" t="s">
        <v>24</v>
      </c>
      <c r="W6" s="51">
        <f t="shared" ca="1" si="0"/>
        <v>38</v>
      </c>
      <c r="X6" s="51">
        <f t="shared" ca="1" si="1"/>
        <v>33</v>
      </c>
      <c r="Y6" s="52">
        <f t="shared" ca="1" si="2"/>
        <v>48</v>
      </c>
      <c r="Z6" s="53">
        <f t="shared" ca="1" si="3"/>
        <v>29</v>
      </c>
      <c r="AA6" s="53">
        <f t="shared" ca="1" si="4"/>
        <v>26</v>
      </c>
      <c r="AB6" s="52">
        <f t="shared" ca="1" si="5"/>
        <v>26</v>
      </c>
      <c r="AC6" s="40"/>
      <c r="AD6" s="40"/>
    </row>
    <row r="7" spans="1:39" ht="20.100000000000001" customHeight="1">
      <c r="A7" s="41">
        <v>1</v>
      </c>
      <c r="B7">
        <v>20104</v>
      </c>
      <c r="C7" t="s">
        <v>27</v>
      </c>
      <c r="D7" s="42">
        <v>31</v>
      </c>
      <c r="E7" s="43">
        <f ca="1">IF(D7="","",VLOOKUP(D7,INDIRECT($D$2&amp;6),2,TRUE))</f>
        <v>6</v>
      </c>
      <c r="F7" s="42">
        <v>38</v>
      </c>
      <c r="G7" s="43">
        <f ca="1">IF(F7="","",VLOOKUP(F7,INDIRECT($F$2&amp;6),2,TRUE))</f>
        <v>5</v>
      </c>
      <c r="H7" s="42">
        <v>73</v>
      </c>
      <c r="I7" s="43">
        <f ca="1">IF(H7="","",VLOOKUP(H7,INDIRECT($H$2&amp;6),2,TRUE))</f>
        <v>3</v>
      </c>
      <c r="J7" s="44">
        <f ca="1">(E7+G7+I7)/3</f>
        <v>4.666666666666667</v>
      </c>
      <c r="K7" s="45">
        <v>27</v>
      </c>
      <c r="L7" s="43">
        <f ca="1">IF(K7="","",VLOOKUP(K7,INDIRECT($K$2&amp;6),2,TRUE))</f>
        <v>4</v>
      </c>
      <c r="M7" s="42">
        <v>26</v>
      </c>
      <c r="N7" s="43">
        <f ca="1">IF(M7="","",VLOOKUP(M7,INDIRECT($M$2&amp;6),2,TRUE))</f>
        <v>4</v>
      </c>
      <c r="O7" s="42">
        <v>16.5</v>
      </c>
      <c r="P7" s="43">
        <f ca="1">IF(O7="","",VLOOKUP(O7,INDIRECT($O$2&amp;6),2,TRUE))</f>
        <v>5</v>
      </c>
      <c r="Q7" s="46">
        <f>D7+F7+H7+K7+M7+O7</f>
        <v>211.5</v>
      </c>
      <c r="R7" s="47">
        <f>RANK(Q7,$Q$4:$Q$260,0)</f>
        <v>145</v>
      </c>
      <c r="S7" s="48">
        <f ca="1">(E7+G7+I7+((N7+P7)/2))/4</f>
        <v>4.625</v>
      </c>
      <c r="U7" s="54">
        <v>4</v>
      </c>
      <c r="V7" s="55" t="s">
        <v>24</v>
      </c>
      <c r="W7" s="56">
        <f t="shared" ca="1" si="0"/>
        <v>39</v>
      </c>
      <c r="X7" s="56">
        <f t="shared" ca="1" si="1"/>
        <v>76</v>
      </c>
      <c r="Y7" s="57">
        <f t="shared" ca="1" si="2"/>
        <v>54</v>
      </c>
      <c r="Z7" s="58">
        <f t="shared" ca="1" si="3"/>
        <v>34</v>
      </c>
      <c r="AA7" s="58">
        <f t="shared" ca="1" si="4"/>
        <v>53</v>
      </c>
      <c r="AB7" s="57">
        <f t="shared" ca="1" si="5"/>
        <v>42</v>
      </c>
      <c r="AC7" s="40"/>
      <c r="AD7" s="40"/>
    </row>
    <row r="8" spans="1:39" ht="20.100000000000001" customHeight="1">
      <c r="A8" s="41">
        <v>1</v>
      </c>
      <c r="B8">
        <v>20105</v>
      </c>
      <c r="C8" t="s">
        <v>28</v>
      </c>
      <c r="D8" s="42">
        <v>88</v>
      </c>
      <c r="E8" s="43">
        <f ca="1">IF(D8="","",VLOOKUP(D8,INDIRECT($D$2&amp;6),2,TRUE))</f>
        <v>2</v>
      </c>
      <c r="F8" s="42">
        <v>73</v>
      </c>
      <c r="G8" s="43">
        <f ca="1">IF(F8="","",VLOOKUP(F8,INDIRECT($F$2&amp;6),2,TRUE))</f>
        <v>2</v>
      </c>
      <c r="H8" s="42">
        <v>77</v>
      </c>
      <c r="I8" s="43">
        <f ca="1">IF(H8="","",VLOOKUP(H8,INDIRECT($H$2&amp;6),2,TRUE))</f>
        <v>3</v>
      </c>
      <c r="J8" s="44">
        <f ca="1">(E8+G8+I8)/3</f>
        <v>2.3333333333333335</v>
      </c>
      <c r="K8" s="45">
        <v>43</v>
      </c>
      <c r="L8" s="43">
        <f ca="1">IF(K8="","",VLOOKUP(K8,INDIRECT($K$2&amp;6),2,TRUE))</f>
        <v>1</v>
      </c>
      <c r="M8" s="42">
        <v>44</v>
      </c>
      <c r="N8" s="43">
        <f ca="1">IF(M8="","",VLOOKUP(M8,INDIRECT($M$2&amp;6),2,TRUE))</f>
        <v>1</v>
      </c>
      <c r="O8" s="42">
        <v>33.5</v>
      </c>
      <c r="P8" s="43">
        <f ca="1">IF(O8="","",VLOOKUP(O8,INDIRECT($O$2&amp;6),2,TRUE))</f>
        <v>3</v>
      </c>
      <c r="Q8" s="46">
        <f>D8+F8+H8+K8+M8+O8</f>
        <v>358.5</v>
      </c>
      <c r="R8" s="47">
        <f>RANK(Q8,$Q$4:$Q$260,0)</f>
        <v>19</v>
      </c>
      <c r="S8" s="48">
        <f ca="1">(E8+G8+I8+((N8+P8)/2))/4</f>
        <v>2.25</v>
      </c>
      <c r="U8" s="59">
        <v>5</v>
      </c>
      <c r="V8" s="60" t="s">
        <v>24</v>
      </c>
      <c r="W8" s="51">
        <f t="shared" ca="1" si="0"/>
        <v>46</v>
      </c>
      <c r="X8" s="51">
        <f t="shared" ca="1" si="1"/>
        <v>52</v>
      </c>
      <c r="Y8" s="52">
        <f t="shared" ca="1" si="2"/>
        <v>34</v>
      </c>
      <c r="Z8" s="53">
        <f t="shared" ca="1" si="3"/>
        <v>28</v>
      </c>
      <c r="AA8" s="53">
        <f t="shared" ca="1" si="4"/>
        <v>47</v>
      </c>
      <c r="AB8" s="52">
        <f t="shared" ca="1" si="5"/>
        <v>52</v>
      </c>
      <c r="AC8" s="40"/>
      <c r="AD8" s="40"/>
    </row>
    <row r="9" spans="1:39" ht="20.100000000000001" customHeight="1">
      <c r="A9" s="41">
        <v>1</v>
      </c>
      <c r="B9">
        <v>20106</v>
      </c>
      <c r="C9" t="s">
        <v>29</v>
      </c>
      <c r="D9" s="42">
        <v>25</v>
      </c>
      <c r="E9" s="43">
        <f ca="1">IF(D9="","",VLOOKUP(D9,INDIRECT($D$2&amp;6),2,TRUE))</f>
        <v>7</v>
      </c>
      <c r="F9" s="42">
        <v>57</v>
      </c>
      <c r="G9" s="43">
        <f ca="1">IF(F9="","",VLOOKUP(F9,INDIRECT($F$2&amp;6),2,TRUE))</f>
        <v>4</v>
      </c>
      <c r="H9" s="42">
        <v>63</v>
      </c>
      <c r="I9" s="43">
        <f ca="1">IF(H9="","",VLOOKUP(H9,INDIRECT($H$2&amp;6),2,TRUE))</f>
        <v>4</v>
      </c>
      <c r="J9" s="44">
        <f ca="1">(E9+G9+I9)/3</f>
        <v>5</v>
      </c>
      <c r="K9" s="45">
        <v>42</v>
      </c>
      <c r="L9" s="43">
        <f ca="1">IF(K9="","",VLOOKUP(K9,INDIRECT($K$2&amp;6),2,TRUE))</f>
        <v>1</v>
      </c>
      <c r="M9" s="42">
        <v>15</v>
      </c>
      <c r="N9" s="43">
        <f ca="1">IF(M9="","",VLOOKUP(M9,INDIRECT($M$2&amp;6),2,TRUE))</f>
        <v>6</v>
      </c>
      <c r="O9" s="42">
        <v>22.5</v>
      </c>
      <c r="P9" s="43">
        <f ca="1">IF(O9="","",VLOOKUP(O9,INDIRECT($O$2&amp;6),2,TRUE))</f>
        <v>4</v>
      </c>
      <c r="Q9" s="46">
        <f>D9+F9+H9+K9+M9+O9</f>
        <v>224.5</v>
      </c>
      <c r="R9" s="47">
        <f>RANK(Q9,$Q$4:$Q$260,0)</f>
        <v>131</v>
      </c>
      <c r="S9" s="48">
        <f ca="1">(E9+G9+I9+((N9+P9)/2))/4</f>
        <v>5</v>
      </c>
      <c r="U9" s="54">
        <v>6</v>
      </c>
      <c r="V9" s="55" t="s">
        <v>24</v>
      </c>
      <c r="W9" s="56">
        <f t="shared" ca="1" si="0"/>
        <v>48</v>
      </c>
      <c r="X9" s="56">
        <f t="shared" ca="1" si="1"/>
        <v>20</v>
      </c>
      <c r="Y9" s="57">
        <f t="shared" ca="1" si="2"/>
        <v>28</v>
      </c>
      <c r="Z9" s="58">
        <f t="shared" ca="1" si="3"/>
        <v>27</v>
      </c>
      <c r="AA9" s="58">
        <f t="shared" ca="1" si="4"/>
        <v>40</v>
      </c>
      <c r="AB9" s="57">
        <f t="shared" ca="1" si="5"/>
        <v>36</v>
      </c>
      <c r="AC9" s="40"/>
      <c r="AD9" s="40"/>
    </row>
    <row r="10" spans="1:39" ht="20.100000000000001" customHeight="1">
      <c r="A10" s="41">
        <v>1</v>
      </c>
      <c r="B10">
        <v>20107</v>
      </c>
      <c r="C10" t="s">
        <v>30</v>
      </c>
      <c r="D10" s="42">
        <v>69</v>
      </c>
      <c r="E10" s="43">
        <f ca="1">IF(D10="","",VLOOKUP(D10,INDIRECT($D$2&amp;6),2,TRUE))</f>
        <v>4</v>
      </c>
      <c r="F10" s="42">
        <v>72</v>
      </c>
      <c r="G10" s="43">
        <f ca="1">IF(F10="","",VLOOKUP(F10,INDIRECT($F$2&amp;6),2,TRUE))</f>
        <v>3</v>
      </c>
      <c r="H10" s="42">
        <v>35</v>
      </c>
      <c r="I10" s="43">
        <f ca="1">IF(H10="","",VLOOKUP(H10,INDIRECT($H$2&amp;6),2,TRUE))</f>
        <v>7</v>
      </c>
      <c r="J10" s="44">
        <f ca="1">(E10+G10+I10)/3</f>
        <v>4.666666666666667</v>
      </c>
      <c r="K10" s="45">
        <v>41</v>
      </c>
      <c r="L10" s="43">
        <f ca="1">IF(K10="","",VLOOKUP(K10,INDIRECT($K$2&amp;6),2,TRUE))</f>
        <v>1</v>
      </c>
      <c r="M10" s="42">
        <v>33</v>
      </c>
      <c r="N10" s="43">
        <f ca="1">IF(M10="","",VLOOKUP(M10,INDIRECT($M$2&amp;6),2,TRUE))</f>
        <v>3</v>
      </c>
      <c r="O10" s="42">
        <v>37</v>
      </c>
      <c r="P10" s="43">
        <f ca="1">IF(O10="","",VLOOKUP(O10,INDIRECT($O$2&amp;6),2,TRUE))</f>
        <v>2</v>
      </c>
      <c r="Q10" s="46">
        <f>D10+F10+H10+K10+M10+O10</f>
        <v>287</v>
      </c>
      <c r="R10" s="47">
        <f>RANK(Q10,$Q$4:$Q$260,0)</f>
        <v>71</v>
      </c>
      <c r="S10" s="48">
        <f ca="1">(E10+G10+I10+((N10+P10)/2))/4</f>
        <v>4.125</v>
      </c>
      <c r="U10" s="59">
        <v>7</v>
      </c>
      <c r="V10" s="60" t="s">
        <v>24</v>
      </c>
      <c r="W10" s="51">
        <f t="shared" ca="1" si="0"/>
        <v>30</v>
      </c>
      <c r="X10" s="51">
        <f t="shared" ca="1" si="1"/>
        <v>25</v>
      </c>
      <c r="Y10" s="52">
        <f t="shared" ca="1" si="2"/>
        <v>16</v>
      </c>
      <c r="Z10" s="53">
        <f t="shared" ca="1" si="3"/>
        <v>26</v>
      </c>
      <c r="AA10" s="53">
        <f t="shared" ca="1" si="4"/>
        <v>13</v>
      </c>
      <c r="AB10" s="52">
        <f t="shared" ca="1" si="5"/>
        <v>27</v>
      </c>
      <c r="AC10" s="40"/>
      <c r="AD10" s="40"/>
    </row>
    <row r="11" spans="1:39" ht="20.100000000000001" customHeight="1">
      <c r="A11" s="41">
        <v>1</v>
      </c>
      <c r="B11">
        <v>20108</v>
      </c>
      <c r="C11" t="s">
        <v>31</v>
      </c>
      <c r="D11" s="42">
        <v>82</v>
      </c>
      <c r="E11" s="43">
        <f ca="1">IF(D11="","",VLOOKUP(D11,INDIRECT($D$2&amp;6),2,TRUE))</f>
        <v>2</v>
      </c>
      <c r="F11" s="42">
        <v>65</v>
      </c>
      <c r="G11" s="43">
        <f ca="1">IF(F11="","",VLOOKUP(F11,INDIRECT($F$2&amp;6),2,TRUE))</f>
        <v>3</v>
      </c>
      <c r="H11" s="42">
        <v>68</v>
      </c>
      <c r="I11" s="43">
        <f ca="1">IF(H11="","",VLOOKUP(H11,INDIRECT($H$2&amp;6),2,TRUE))</f>
        <v>4</v>
      </c>
      <c r="J11" s="44">
        <f ca="1">(E11+G11+I11)/3</f>
        <v>3</v>
      </c>
      <c r="K11" s="45">
        <v>28</v>
      </c>
      <c r="L11" s="43">
        <f ca="1">IF(K11="","",VLOOKUP(K11,INDIRECT($K$2&amp;6),2,TRUE))</f>
        <v>4</v>
      </c>
      <c r="M11" s="42">
        <v>39.5</v>
      </c>
      <c r="N11" s="43">
        <f ca="1">IF(M11="","",VLOOKUP(M11,INDIRECT($M$2&amp;6),2,TRUE))</f>
        <v>2</v>
      </c>
      <c r="O11" s="42">
        <v>26.5</v>
      </c>
      <c r="P11" s="43">
        <f ca="1">IF(O11="","",VLOOKUP(O11,INDIRECT($O$2&amp;6),2,TRUE))</f>
        <v>4</v>
      </c>
      <c r="Q11" s="46">
        <f>D11+F11+H11+K11+M11+O11</f>
        <v>309</v>
      </c>
      <c r="R11" s="47">
        <f>RANK(Q11,$Q$4:$Q$260,0)</f>
        <v>57</v>
      </c>
      <c r="S11" s="48">
        <f ca="1">(E11+G11+I11+((N11+P11)/2))/4</f>
        <v>3</v>
      </c>
      <c r="U11" s="54">
        <v>8</v>
      </c>
      <c r="V11" s="55" t="s">
        <v>24</v>
      </c>
      <c r="W11" s="56">
        <f t="shared" ca="1" si="0"/>
        <v>13</v>
      </c>
      <c r="X11" s="56">
        <f t="shared" ca="1" si="1"/>
        <v>11</v>
      </c>
      <c r="Y11" s="57">
        <f t="shared" ca="1" si="2"/>
        <v>16</v>
      </c>
      <c r="Z11" s="58">
        <f t="shared" ca="1" si="3"/>
        <v>17</v>
      </c>
      <c r="AA11" s="58">
        <f t="shared" ca="1" si="4"/>
        <v>20</v>
      </c>
      <c r="AB11" s="57">
        <f t="shared" ca="1" si="5"/>
        <v>20</v>
      </c>
      <c r="AC11" s="40"/>
      <c r="AD11" s="40"/>
    </row>
    <row r="12" spans="1:39" ht="20.100000000000001" customHeight="1" thickBot="1">
      <c r="A12" s="41">
        <v>1</v>
      </c>
      <c r="B12">
        <v>20109</v>
      </c>
      <c r="C12" t="s">
        <v>32</v>
      </c>
      <c r="D12" s="42">
        <v>62</v>
      </c>
      <c r="E12" s="43">
        <f ca="1">IF(D12="","",VLOOKUP(D12,INDIRECT($D$2&amp;6),2,TRUE))</f>
        <v>4</v>
      </c>
      <c r="F12" s="42">
        <v>61</v>
      </c>
      <c r="G12" s="43">
        <f ca="1">IF(F12="","",VLOOKUP(F12,INDIRECT($F$2&amp;6),2,TRUE))</f>
        <v>4</v>
      </c>
      <c r="H12" s="42">
        <v>63</v>
      </c>
      <c r="I12" s="43">
        <f ca="1">IF(H12="","",VLOOKUP(H12,INDIRECT($H$2&amp;6),2,TRUE))</f>
        <v>4</v>
      </c>
      <c r="J12" s="44">
        <f ca="1">(E12+G12+I12)/3</f>
        <v>4</v>
      </c>
      <c r="K12" s="45">
        <v>34</v>
      </c>
      <c r="L12" s="43">
        <f ca="1">IF(K12="","",VLOOKUP(K12,INDIRECT($K$2&amp;6),2,TRUE))</f>
        <v>3</v>
      </c>
      <c r="M12" s="42">
        <v>28.5</v>
      </c>
      <c r="N12" s="43">
        <f ca="1">IF(M12="","",VLOOKUP(M12,INDIRECT($M$2&amp;6),2,TRUE))</f>
        <v>4</v>
      </c>
      <c r="O12" s="42">
        <v>28</v>
      </c>
      <c r="P12" s="43">
        <f ca="1">IF(O12="","",VLOOKUP(O12,INDIRECT($O$2&amp;6),2,TRUE))</f>
        <v>3</v>
      </c>
      <c r="Q12" s="46">
        <f>D12+F12+H12+K12+M12+O12</f>
        <v>276.5</v>
      </c>
      <c r="R12" s="47">
        <f>RANK(Q12,$Q$4:$Q$260,0)</f>
        <v>79</v>
      </c>
      <c r="S12" s="48">
        <f ca="1">(E12+G12+I12+((N12+P12)/2))/4</f>
        <v>3.875</v>
      </c>
      <c r="U12" s="61">
        <v>9</v>
      </c>
      <c r="V12" s="62" t="s">
        <v>24</v>
      </c>
      <c r="W12" s="63">
        <f t="shared" ca="1" si="0"/>
        <v>5</v>
      </c>
      <c r="X12" s="51">
        <f t="shared" ca="1" si="1"/>
        <v>4</v>
      </c>
      <c r="Y12" s="52">
        <f t="shared" ca="1" si="2"/>
        <v>1</v>
      </c>
      <c r="Z12" s="53">
        <f t="shared" ca="1" si="3"/>
        <v>4</v>
      </c>
      <c r="AA12" s="64">
        <f t="shared" ca="1" si="4"/>
        <v>5</v>
      </c>
      <c r="AB12" s="65">
        <f t="shared" ca="1" si="5"/>
        <v>4</v>
      </c>
      <c r="AC12" s="40"/>
      <c r="AD12" s="40"/>
    </row>
    <row r="13" spans="1:39" ht="20.100000000000001" customHeight="1">
      <c r="A13" s="41">
        <v>1</v>
      </c>
      <c r="B13">
        <v>20110</v>
      </c>
      <c r="C13" t="s">
        <v>33</v>
      </c>
      <c r="D13" s="42">
        <v>34</v>
      </c>
      <c r="E13" s="43">
        <f ca="1">IF(D13="","",VLOOKUP(D13,INDIRECT($D$2&amp;6),2,TRUE))</f>
        <v>6</v>
      </c>
      <c r="F13" s="42">
        <v>47</v>
      </c>
      <c r="G13" s="43">
        <f ca="1">IF(F13="","",VLOOKUP(F13,INDIRECT($F$2&amp;6),2,TRUE))</f>
        <v>4</v>
      </c>
      <c r="H13" s="42">
        <v>39</v>
      </c>
      <c r="I13" s="43">
        <f ca="1">IF(H13="","",VLOOKUP(H13,INDIRECT($H$2&amp;6),2,TRUE))</f>
        <v>7</v>
      </c>
      <c r="J13" s="44">
        <f ca="1">(E13+G13+I13)/3</f>
        <v>5.666666666666667</v>
      </c>
      <c r="K13" s="45">
        <v>8</v>
      </c>
      <c r="L13" s="43">
        <f ca="1">IF(K13="","",VLOOKUP(K13,INDIRECT($K$2&amp;6),2,TRUE))</f>
        <v>8</v>
      </c>
      <c r="M13" s="42">
        <v>19.5</v>
      </c>
      <c r="N13" s="43">
        <f ca="1">IF(M13="","",VLOOKUP(M13,INDIRECT($M$2&amp;6),2,TRUE))</f>
        <v>6</v>
      </c>
      <c r="O13" s="42">
        <v>17.5</v>
      </c>
      <c r="P13" s="43">
        <f ca="1">IF(O13="","",VLOOKUP(O13,INDIRECT($O$2&amp;6),2,TRUE))</f>
        <v>5</v>
      </c>
      <c r="Q13" s="46">
        <f>D13+F13+H13+K13+M13+O13</f>
        <v>165</v>
      </c>
      <c r="R13" s="47">
        <f>RANK(Q13,$Q$4:$Q$260,0)</f>
        <v>196</v>
      </c>
      <c r="S13" s="48">
        <f ca="1">(E13+G13+I13+((N13+P13)/2))/4</f>
        <v>5.625</v>
      </c>
      <c r="U13" s="66" t="s">
        <v>34</v>
      </c>
      <c r="V13" s="67"/>
      <c r="W13" s="68">
        <f ca="1">SUM(W4:W12)</f>
        <v>248</v>
      </c>
      <c r="X13" s="68">
        <f t="shared" ref="X13:AA13" ca="1" si="6">SUM(X4:X12)</f>
        <v>248</v>
      </c>
      <c r="Y13" s="68">
        <f ca="1">SUM(Y4:Y12)</f>
        <v>248</v>
      </c>
      <c r="Z13" s="68">
        <f t="shared" ca="1" si="6"/>
        <v>248</v>
      </c>
      <c r="AA13" s="68">
        <f t="shared" ca="1" si="6"/>
        <v>247</v>
      </c>
      <c r="AB13" s="68">
        <f ca="1">SUM(AB4:AB12)</f>
        <v>247</v>
      </c>
      <c r="AC13" s="40"/>
      <c r="AD13" s="40"/>
    </row>
    <row r="14" spans="1:39" ht="20.100000000000001" customHeight="1" thickBot="1">
      <c r="A14" s="41">
        <v>1</v>
      </c>
      <c r="B14">
        <v>20111</v>
      </c>
      <c r="C14" t="s">
        <v>35</v>
      </c>
      <c r="D14" s="42">
        <v>69</v>
      </c>
      <c r="E14" s="43">
        <f ca="1">IF(D14="","",VLOOKUP(D14,INDIRECT($D$2&amp;6),2,TRUE))</f>
        <v>4</v>
      </c>
      <c r="F14" s="42">
        <v>88</v>
      </c>
      <c r="G14" s="43">
        <f ca="1">IF(F14="","",VLOOKUP(F14,INDIRECT($F$2&amp;6),2,TRUE))</f>
        <v>1</v>
      </c>
      <c r="H14" s="42">
        <v>85</v>
      </c>
      <c r="I14" s="43">
        <f ca="1">IF(H14="","",VLOOKUP(H14,INDIRECT($H$2&amp;6),2,TRUE))</f>
        <v>2</v>
      </c>
      <c r="J14" s="44">
        <f ca="1">(E14+G14+I14)/3</f>
        <v>2.3333333333333335</v>
      </c>
      <c r="K14" s="45">
        <v>36</v>
      </c>
      <c r="L14" s="43">
        <f ca="1">IF(K14="","",VLOOKUP(K14,INDIRECT($K$2&amp;6),2,TRUE))</f>
        <v>2</v>
      </c>
      <c r="M14" s="42">
        <v>41.5</v>
      </c>
      <c r="N14" s="43">
        <f ca="1">IF(M14="","",VLOOKUP(M14,INDIRECT($M$2&amp;6),2,TRUE))</f>
        <v>2</v>
      </c>
      <c r="O14" s="42">
        <v>21.5</v>
      </c>
      <c r="P14" s="43">
        <f ca="1">IF(O14="","",VLOOKUP(O14,INDIRECT($O$2&amp;6),2,TRUE))</f>
        <v>4</v>
      </c>
      <c r="Q14" s="46">
        <f>D14+F14+H14+K14+M14+O14</f>
        <v>341</v>
      </c>
      <c r="R14" s="47">
        <f>RANK(Q14,$Q$4:$Q$260,0)</f>
        <v>31</v>
      </c>
      <c r="S14" s="48">
        <f ca="1">(E14+G14+I14+((N14+P14)/2))/4</f>
        <v>2.5</v>
      </c>
      <c r="U14" s="69"/>
      <c r="V14" s="70"/>
      <c r="W14" s="71"/>
      <c r="X14" s="71"/>
      <c r="Y14" s="71"/>
      <c r="Z14" s="71"/>
      <c r="AA14" s="71"/>
      <c r="AB14" s="71"/>
      <c r="AC14" s="40"/>
      <c r="AD14" s="40"/>
    </row>
    <row r="15" spans="1:39" ht="20.100000000000001" customHeight="1" thickBot="1">
      <c r="A15" s="41">
        <v>1</v>
      </c>
      <c r="B15">
        <v>20112</v>
      </c>
      <c r="C15" t="s">
        <v>36</v>
      </c>
      <c r="D15" s="42">
        <v>30</v>
      </c>
      <c r="E15" s="43">
        <f ca="1">IF(D15="","",VLOOKUP(D15,INDIRECT($D$2&amp;6),2,TRUE))</f>
        <v>7</v>
      </c>
      <c r="F15" s="42">
        <v>14</v>
      </c>
      <c r="G15" s="43">
        <f ca="1">IF(F15="","",VLOOKUP(F15,INDIRECT($F$2&amp;6),2,TRUE))</f>
        <v>7</v>
      </c>
      <c r="H15" s="42">
        <v>48</v>
      </c>
      <c r="I15" s="43">
        <f ca="1">IF(H15="","",VLOOKUP(H15,INDIRECT($H$2&amp;6),2,TRUE))</f>
        <v>6</v>
      </c>
      <c r="J15" s="44">
        <f ca="1">(E15+G15+I15)/3</f>
        <v>6.666666666666667</v>
      </c>
      <c r="K15" s="45">
        <v>6</v>
      </c>
      <c r="L15" s="43">
        <f ca="1">IF(K15="","",VLOOKUP(K15,INDIRECT($K$2&amp;6),2,TRUE))</f>
        <v>8</v>
      </c>
      <c r="M15" s="42">
        <v>13.5</v>
      </c>
      <c r="N15" s="43">
        <f ca="1">IF(M15="","",VLOOKUP(M15,INDIRECT($M$2&amp;6),2,TRUE))</f>
        <v>6</v>
      </c>
      <c r="O15" s="42">
        <v>3.5</v>
      </c>
      <c r="P15" s="43">
        <f ca="1">IF(O15="","",VLOOKUP(O15,INDIRECT($O$2&amp;6),2,TRUE))</f>
        <v>9</v>
      </c>
      <c r="Q15" s="46">
        <f>D15+F15+H15+K15+M15+O15</f>
        <v>115</v>
      </c>
      <c r="R15" s="47">
        <f>RANK(Q15,$Q$4:$Q$260,0)</f>
        <v>228</v>
      </c>
      <c r="S15" s="48">
        <f ca="1">(E15+G15+I15+((N15+P15)/2))/4</f>
        <v>6.875</v>
      </c>
      <c r="U15" s="72"/>
      <c r="V15" s="72"/>
      <c r="W15" s="72"/>
      <c r="X15" s="72"/>
      <c r="Y15" s="72"/>
      <c r="Z15" s="72"/>
      <c r="AA15" s="72"/>
      <c r="AB15" s="72"/>
      <c r="AC15" s="72"/>
      <c r="AD15" s="72"/>
      <c r="AF15" s="73"/>
      <c r="AG15" s="73"/>
      <c r="AH15" s="73"/>
      <c r="AI15" s="73"/>
      <c r="AJ15" s="73"/>
      <c r="AK15" s="73"/>
      <c r="AL15" s="73"/>
      <c r="AM15" s="73"/>
    </row>
    <row r="16" spans="1:39" ht="20.100000000000001" customHeight="1">
      <c r="A16" s="41">
        <v>1</v>
      </c>
      <c r="B16">
        <v>20113</v>
      </c>
      <c r="C16" t="s">
        <v>37</v>
      </c>
      <c r="D16" s="42">
        <v>36</v>
      </c>
      <c r="E16" s="43">
        <f ca="1">IF(D16="","",VLOOKUP(D16,INDIRECT($D$2&amp;6),2,TRUE))</f>
        <v>6</v>
      </c>
      <c r="F16" s="42">
        <v>19</v>
      </c>
      <c r="G16" s="43">
        <f ca="1">IF(F16="","",VLOOKUP(F16,INDIRECT($F$2&amp;6),2,TRUE))</f>
        <v>6</v>
      </c>
      <c r="H16" s="42">
        <v>28</v>
      </c>
      <c r="I16" s="43">
        <f ca="1">IF(H16="","",VLOOKUP(H16,INDIRECT($H$2&amp;6),2,TRUE))</f>
        <v>8</v>
      </c>
      <c r="J16" s="44">
        <f ca="1">(E16+G16+I16)/3</f>
        <v>6.666666666666667</v>
      </c>
      <c r="K16" s="45">
        <v>34</v>
      </c>
      <c r="L16" s="43">
        <f ca="1">IF(K16="","",VLOOKUP(K16,INDIRECT($K$2&amp;6),2,TRUE))</f>
        <v>3</v>
      </c>
      <c r="M16" s="42">
        <v>17.5</v>
      </c>
      <c r="N16" s="43">
        <f ca="1">IF(M16="","",VLOOKUP(M16,INDIRECT($M$2&amp;6),2,TRUE))</f>
        <v>6</v>
      </c>
      <c r="O16" s="42">
        <v>19.5</v>
      </c>
      <c r="P16" s="43">
        <f ca="1">IF(O16="","",VLOOKUP(O16,INDIRECT($O$2&amp;6),2,TRUE))</f>
        <v>5</v>
      </c>
      <c r="Q16" s="46">
        <f>D16+F16+H16+K16+M16+O16</f>
        <v>154</v>
      </c>
      <c r="R16" s="47">
        <f>RANK(Q16,$Q$4:$Q$260,0)</f>
        <v>203</v>
      </c>
      <c r="S16" s="48">
        <f ca="1">(E16+G16+I16+((N16+P16)/2))/4</f>
        <v>6.375</v>
      </c>
      <c r="U16" s="74" t="s">
        <v>38</v>
      </c>
      <c r="V16" s="75"/>
      <c r="W16" s="76" t="s">
        <v>39</v>
      </c>
      <c r="X16" s="77" t="s">
        <v>19</v>
      </c>
      <c r="Y16" s="78" t="s">
        <v>20</v>
      </c>
      <c r="Z16" s="78" t="s">
        <v>21</v>
      </c>
      <c r="AA16" s="79" t="s">
        <v>8</v>
      </c>
      <c r="AB16" s="80" t="s">
        <v>22</v>
      </c>
      <c r="AC16" s="81"/>
      <c r="AD16" s="81"/>
      <c r="AE16" s="81"/>
      <c r="AF16" s="73"/>
      <c r="AG16" s="73"/>
      <c r="AH16" s="73"/>
      <c r="AI16" s="73"/>
      <c r="AJ16" s="73"/>
      <c r="AK16" s="73"/>
      <c r="AL16" s="73"/>
      <c r="AM16" s="73"/>
    </row>
    <row r="17" spans="1:39" ht="20.100000000000001" customHeight="1" thickBot="1">
      <c r="A17" s="41">
        <v>1</v>
      </c>
      <c r="B17">
        <v>20114</v>
      </c>
      <c r="C17" t="s">
        <v>40</v>
      </c>
      <c r="D17" s="42">
        <v>43</v>
      </c>
      <c r="E17" s="43">
        <f ca="1">IF(D17="","",VLOOKUP(D17,INDIRECT($D$2&amp;6),2,TRUE))</f>
        <v>6</v>
      </c>
      <c r="F17" s="42">
        <v>57</v>
      </c>
      <c r="G17" s="43">
        <f ca="1">IF(F17="","",VLOOKUP(F17,INDIRECT($F$2&amp;6),2,TRUE))</f>
        <v>4</v>
      </c>
      <c r="H17" s="42">
        <v>52</v>
      </c>
      <c r="I17" s="43">
        <f ca="1">IF(H17="","",VLOOKUP(H17,INDIRECT($H$2&amp;6),2,TRUE))</f>
        <v>5</v>
      </c>
      <c r="J17" s="44">
        <f ca="1">(E17+G17+I17)/3</f>
        <v>5</v>
      </c>
      <c r="K17" s="45">
        <v>29</v>
      </c>
      <c r="L17" s="43">
        <f ca="1">IF(K17="","",VLOOKUP(K17,INDIRECT($K$2&amp;6),2,TRUE))</f>
        <v>4</v>
      </c>
      <c r="M17" s="42">
        <v>16.5</v>
      </c>
      <c r="N17" s="43">
        <f ca="1">IF(M17="","",VLOOKUP(M17,INDIRECT($M$2&amp;6),2,TRUE))</f>
        <v>6</v>
      </c>
      <c r="O17" s="42">
        <v>13</v>
      </c>
      <c r="P17" s="43">
        <f ca="1">IF(O17="","",VLOOKUP(O17,INDIRECT($O$2&amp;6),2,TRUE))</f>
        <v>6</v>
      </c>
      <c r="Q17" s="46">
        <f>D17+F17+H17+K17+M17+O17</f>
        <v>210.5</v>
      </c>
      <c r="R17" s="47">
        <f>RANK(Q17,$Q$4:$Q$260,0)</f>
        <v>149</v>
      </c>
      <c r="S17" s="48">
        <f ca="1">(E17+G17+I17+((N17+P17)/2))/4</f>
        <v>5.25</v>
      </c>
      <c r="U17" s="82"/>
      <c r="V17" s="83"/>
      <c r="W17" s="84"/>
      <c r="X17" s="85"/>
      <c r="Y17" s="86"/>
      <c r="Z17" s="86"/>
      <c r="AA17" s="87"/>
      <c r="AB17" s="88"/>
      <c r="AC17" s="81"/>
      <c r="AD17" s="81"/>
      <c r="AE17" s="81"/>
      <c r="AF17" s="73"/>
      <c r="AG17" s="73"/>
      <c r="AH17" s="73"/>
      <c r="AI17" s="73"/>
      <c r="AJ17" s="73"/>
      <c r="AK17" s="73"/>
      <c r="AL17" s="73"/>
      <c r="AM17" s="73"/>
    </row>
    <row r="18" spans="1:39" ht="20.100000000000001" customHeight="1">
      <c r="A18" s="41">
        <v>1</v>
      </c>
      <c r="B18">
        <v>20115</v>
      </c>
      <c r="C18" t="s">
        <v>41</v>
      </c>
      <c r="D18" s="42">
        <v>57</v>
      </c>
      <c r="E18" s="43">
        <f ca="1">IF(D18="","",VLOOKUP(D18,INDIRECT($D$2&amp;6),2,TRUE))</f>
        <v>5</v>
      </c>
      <c r="F18" s="42">
        <v>49</v>
      </c>
      <c r="G18" s="43">
        <f ca="1">IF(F18="","",VLOOKUP(F18,INDIRECT($F$2&amp;6),2,TRUE))</f>
        <v>4</v>
      </c>
      <c r="H18" s="42">
        <v>51</v>
      </c>
      <c r="I18" s="43">
        <f ca="1">IF(H18="","",VLOOKUP(H18,INDIRECT($H$2&amp;6),2,TRUE))</f>
        <v>5</v>
      </c>
      <c r="J18" s="44">
        <f ca="1">(E18+G18+I18)/3</f>
        <v>4.666666666666667</v>
      </c>
      <c r="K18" s="45">
        <v>35</v>
      </c>
      <c r="L18" s="43">
        <f ca="1">IF(K18="","",VLOOKUP(K18,INDIRECT($K$2&amp;6),2,TRUE))</f>
        <v>2</v>
      </c>
      <c r="M18" s="42">
        <v>21</v>
      </c>
      <c r="N18" s="43">
        <f ca="1">IF(M18="","",VLOOKUP(M18,INDIRECT($M$2&amp;6),2,TRUE))</f>
        <v>5</v>
      </c>
      <c r="O18" s="42">
        <v>42.5</v>
      </c>
      <c r="P18" s="43">
        <f ca="1">IF(O18="","",VLOOKUP(O18,INDIRECT($O$2&amp;6),2,TRUE))</f>
        <v>1</v>
      </c>
      <c r="Q18" s="46">
        <f>D18+F18+H18+K18+M18+O18</f>
        <v>255.5</v>
      </c>
      <c r="R18" s="47">
        <f>RANK(Q18,$Q$4:$Q$260,0)</f>
        <v>102</v>
      </c>
      <c r="S18" s="48">
        <f ca="1">(E18+G18+I18+((N18+P18)/2))/4</f>
        <v>4.25</v>
      </c>
      <c r="U18" s="49">
        <v>1</v>
      </c>
      <c r="V18" s="50" t="s">
        <v>24</v>
      </c>
      <c r="W18" s="89">
        <f ca="1">(W4/W$13)</f>
        <v>3.2258064516129031E-2</v>
      </c>
      <c r="X18" s="89">
        <f t="shared" ref="X18:AB18" ca="1" si="7">(X4/X$13)</f>
        <v>4.8387096774193547E-2</v>
      </c>
      <c r="Y18" s="89">
        <f t="shared" ca="1" si="7"/>
        <v>6.4516129032258063E-2</v>
      </c>
      <c r="Z18" s="89">
        <f t="shared" ca="1" si="7"/>
        <v>0.21370967741935484</v>
      </c>
      <c r="AA18" s="89">
        <f t="shared" ca="1" si="7"/>
        <v>4.4534412955465584E-2</v>
      </c>
      <c r="AB18" s="89">
        <f t="shared" ca="1" si="7"/>
        <v>3.643724696356275E-2</v>
      </c>
      <c r="AC18" s="40"/>
      <c r="AD18" s="40"/>
      <c r="AE18" s="40"/>
      <c r="AF18" s="73"/>
      <c r="AG18" s="73"/>
      <c r="AH18" s="73"/>
      <c r="AI18" s="73"/>
      <c r="AJ18" s="73"/>
      <c r="AK18" s="73"/>
      <c r="AL18" s="73"/>
      <c r="AM18" s="73"/>
    </row>
    <row r="19" spans="1:39" ht="20.100000000000001" customHeight="1">
      <c r="A19" s="41">
        <v>1</v>
      </c>
      <c r="B19">
        <v>20117</v>
      </c>
      <c r="C19" t="s">
        <v>42</v>
      </c>
      <c r="D19" s="42">
        <v>19</v>
      </c>
      <c r="E19" s="43">
        <f ca="1">IF(D19="","",VLOOKUP(D19,INDIRECT($D$2&amp;6),2,TRUE))</f>
        <v>8</v>
      </c>
      <c r="F19" s="42">
        <v>9</v>
      </c>
      <c r="G19" s="43">
        <f ca="1">IF(F19="","",VLOOKUP(F19,INDIRECT($F$2&amp;6),2,TRUE))</f>
        <v>8</v>
      </c>
      <c r="H19" s="42">
        <v>40</v>
      </c>
      <c r="I19" s="43">
        <f ca="1">IF(H19="","",VLOOKUP(H19,INDIRECT($H$2&amp;6),2,TRUE))</f>
        <v>6</v>
      </c>
      <c r="J19" s="44">
        <f ca="1">(E19+G19+I19)/3</f>
        <v>7.333333333333333</v>
      </c>
      <c r="K19" s="45">
        <v>14</v>
      </c>
      <c r="L19" s="43">
        <f ca="1">IF(K19="","",VLOOKUP(K19,INDIRECT($K$2&amp;6),2,TRUE))</f>
        <v>7</v>
      </c>
      <c r="M19" s="42">
        <v>8.5</v>
      </c>
      <c r="N19" s="43">
        <f ca="1">IF(M19="","",VLOOKUP(M19,INDIRECT($M$2&amp;6),2,TRUE))</f>
        <v>8</v>
      </c>
      <c r="O19" s="42">
        <v>11</v>
      </c>
      <c r="P19" s="43">
        <f ca="1">IF(O19="","",VLOOKUP(O19,INDIRECT($O$2&amp;6),2,TRUE))</f>
        <v>7</v>
      </c>
      <c r="Q19" s="46">
        <f>D19+F19+H19+K19+M19+O19</f>
        <v>101.5</v>
      </c>
      <c r="R19" s="47">
        <f>RANK(Q19,$Q$4:$Q$260,0)</f>
        <v>234</v>
      </c>
      <c r="S19" s="48">
        <f ca="1">(E19+G19+I19+((N19+P19)/2))/4</f>
        <v>7.375</v>
      </c>
      <c r="U19" s="54">
        <v>2</v>
      </c>
      <c r="V19" s="55" t="s">
        <v>24</v>
      </c>
      <c r="W19" s="90">
        <f t="shared" ref="W19:AB26" ca="1" si="8">(W5/W$13)</f>
        <v>8.4677419354838704E-2</v>
      </c>
      <c r="X19" s="90">
        <f t="shared" ca="1" si="8"/>
        <v>6.0483870967741937E-2</v>
      </c>
      <c r="Y19" s="90">
        <f t="shared" ca="1" si="8"/>
        <v>0.14112903225806453</v>
      </c>
      <c r="Z19" s="90">
        <f t="shared" ca="1" si="8"/>
        <v>0.12096774193548387</v>
      </c>
      <c r="AA19" s="90">
        <f t="shared" ca="1" si="8"/>
        <v>0.12955465587044535</v>
      </c>
      <c r="AB19" s="90">
        <f t="shared" ca="1" si="8"/>
        <v>0.12550607287449392</v>
      </c>
      <c r="AC19" s="40"/>
      <c r="AD19" s="40"/>
      <c r="AE19" s="40"/>
      <c r="AF19" s="73"/>
      <c r="AG19" s="73"/>
      <c r="AH19" s="73"/>
      <c r="AI19" s="73"/>
      <c r="AJ19" s="73"/>
      <c r="AK19" s="73"/>
      <c r="AL19" s="73"/>
      <c r="AM19" s="73"/>
    </row>
    <row r="20" spans="1:39" ht="20.100000000000001" customHeight="1">
      <c r="A20" s="41">
        <v>1</v>
      </c>
      <c r="B20">
        <v>20118</v>
      </c>
      <c r="C20" t="s">
        <v>43</v>
      </c>
      <c r="D20" s="42">
        <v>39</v>
      </c>
      <c r="E20" s="43">
        <f ca="1">IF(D20="","",VLOOKUP(D20,INDIRECT($D$2&amp;6),2,TRUE))</f>
        <v>6</v>
      </c>
      <c r="F20" s="42">
        <v>58</v>
      </c>
      <c r="G20" s="43">
        <f ca="1">IF(F20="","",VLOOKUP(F20,INDIRECT($F$2&amp;6),2,TRUE))</f>
        <v>4</v>
      </c>
      <c r="H20" s="42">
        <v>57</v>
      </c>
      <c r="I20" s="43">
        <f ca="1">IF(H20="","",VLOOKUP(H20,INDIRECT($H$2&amp;6),2,TRUE))</f>
        <v>5</v>
      </c>
      <c r="J20" s="44">
        <f ca="1">(E20+G20+I20)/3</f>
        <v>5</v>
      </c>
      <c r="K20" s="45">
        <v>25</v>
      </c>
      <c r="L20" s="43">
        <f ca="1">IF(K20="","",VLOOKUP(K20,INDIRECT($K$2&amp;6),2,TRUE))</f>
        <v>4</v>
      </c>
      <c r="M20" s="42">
        <v>22</v>
      </c>
      <c r="N20" s="43">
        <f ca="1">IF(M20="","",VLOOKUP(M20,INDIRECT($M$2&amp;6),2,TRUE))</f>
        <v>5</v>
      </c>
      <c r="O20" s="42">
        <v>28</v>
      </c>
      <c r="P20" s="43">
        <f ca="1">IF(O20="","",VLOOKUP(O20,INDIRECT($O$2&amp;6),2,TRUE))</f>
        <v>3</v>
      </c>
      <c r="Q20" s="46">
        <f>D20+F20+H20+K20+M20+O20</f>
        <v>229</v>
      </c>
      <c r="R20" s="47">
        <f>RANK(Q20,$Q$4:$Q$260,0)</f>
        <v>127</v>
      </c>
      <c r="S20" s="48">
        <f ca="1">(E20+G20+I20+((N20+P20)/2))/4</f>
        <v>4.75</v>
      </c>
      <c r="U20" s="59">
        <v>3</v>
      </c>
      <c r="V20" s="60" t="s">
        <v>24</v>
      </c>
      <c r="W20" s="89">
        <f t="shared" ca="1" si="8"/>
        <v>0.15322580645161291</v>
      </c>
      <c r="X20" s="89">
        <f t="shared" ca="1" si="8"/>
        <v>0.13306451612903225</v>
      </c>
      <c r="Y20" s="89">
        <f t="shared" ca="1" si="8"/>
        <v>0.19354838709677419</v>
      </c>
      <c r="Z20" s="89">
        <f t="shared" ca="1" si="8"/>
        <v>0.11693548387096774</v>
      </c>
      <c r="AA20" s="89">
        <f t="shared" ca="1" si="8"/>
        <v>0.10526315789473684</v>
      </c>
      <c r="AB20" s="89">
        <f t="shared" ca="1" si="8"/>
        <v>0.10526315789473684</v>
      </c>
      <c r="AC20" s="40"/>
      <c r="AD20" s="40"/>
      <c r="AE20" s="40"/>
      <c r="AF20" s="73"/>
      <c r="AG20" s="73"/>
      <c r="AH20" s="73"/>
      <c r="AI20" s="73"/>
      <c r="AJ20" s="73"/>
      <c r="AK20" s="73"/>
      <c r="AL20" s="73"/>
      <c r="AM20" s="73"/>
    </row>
    <row r="21" spans="1:39" ht="20.100000000000001" customHeight="1">
      <c r="A21" s="41">
        <v>1</v>
      </c>
      <c r="B21">
        <v>20119</v>
      </c>
      <c r="C21" t="s">
        <v>44</v>
      </c>
      <c r="D21" s="42">
        <v>31</v>
      </c>
      <c r="E21" s="43">
        <f ca="1">IF(D21="","",VLOOKUP(D21,INDIRECT($D$2&amp;6),2,TRUE))</f>
        <v>6</v>
      </c>
      <c r="F21" s="42">
        <v>60</v>
      </c>
      <c r="G21" s="43">
        <f ca="1">IF(F21="","",VLOOKUP(F21,INDIRECT($F$2&amp;6),2,TRUE))</f>
        <v>4</v>
      </c>
      <c r="H21" s="42">
        <v>73</v>
      </c>
      <c r="I21" s="43">
        <f ca="1">IF(H21="","",VLOOKUP(H21,INDIRECT($H$2&amp;6),2,TRUE))</f>
        <v>3</v>
      </c>
      <c r="J21" s="44">
        <f ca="1">(E21+G21+I21)/3</f>
        <v>4.333333333333333</v>
      </c>
      <c r="K21" s="45">
        <v>32</v>
      </c>
      <c r="L21" s="43">
        <f ca="1">IF(K21="","",VLOOKUP(K21,INDIRECT($K$2&amp;6),2,TRUE))</f>
        <v>3</v>
      </c>
      <c r="M21" s="42">
        <v>13.5</v>
      </c>
      <c r="N21" s="43">
        <f ca="1">IF(M21="","",VLOOKUP(M21,INDIRECT($M$2&amp;6),2,TRUE))</f>
        <v>6</v>
      </c>
      <c r="O21" s="42">
        <v>19</v>
      </c>
      <c r="P21" s="43">
        <f ca="1">IF(O21="","",VLOOKUP(O21,INDIRECT($O$2&amp;6),2,TRUE))</f>
        <v>5</v>
      </c>
      <c r="Q21" s="46">
        <f>D21+F21+H21+K21+M21+O21</f>
        <v>228.5</v>
      </c>
      <c r="R21" s="47">
        <f>RANK(Q21,$Q$4:$Q$260,0)</f>
        <v>128</v>
      </c>
      <c r="S21" s="48">
        <f ca="1">(E21+G21+I21+((N21+P21)/2))/4</f>
        <v>4.625</v>
      </c>
      <c r="U21" s="54">
        <v>4</v>
      </c>
      <c r="V21" s="55" t="s">
        <v>24</v>
      </c>
      <c r="W21" s="90">
        <f t="shared" ca="1" si="8"/>
        <v>0.15725806451612903</v>
      </c>
      <c r="X21" s="90">
        <f t="shared" ca="1" si="8"/>
        <v>0.30645161290322581</v>
      </c>
      <c r="Y21" s="90">
        <f t="shared" ca="1" si="8"/>
        <v>0.21774193548387097</v>
      </c>
      <c r="Z21" s="90">
        <f t="shared" ca="1" si="8"/>
        <v>0.13709677419354838</v>
      </c>
      <c r="AA21" s="90">
        <f t="shared" ca="1" si="8"/>
        <v>0.2145748987854251</v>
      </c>
      <c r="AB21" s="90">
        <f t="shared" ca="1" si="8"/>
        <v>0.17004048582995951</v>
      </c>
      <c r="AC21" s="40"/>
      <c r="AD21" s="40"/>
      <c r="AE21" s="40"/>
      <c r="AF21" s="73"/>
      <c r="AG21" s="73"/>
      <c r="AH21" s="73"/>
      <c r="AI21" s="73"/>
      <c r="AJ21" s="73"/>
      <c r="AK21" s="73"/>
      <c r="AL21" s="73"/>
      <c r="AM21" s="73"/>
    </row>
    <row r="22" spans="1:39" ht="20.100000000000001" customHeight="1">
      <c r="A22" s="41">
        <v>1</v>
      </c>
      <c r="B22">
        <v>20120</v>
      </c>
      <c r="C22" t="s">
        <v>45</v>
      </c>
      <c r="D22" s="42">
        <v>85</v>
      </c>
      <c r="E22" s="43">
        <f ca="1">IF(D22="","",VLOOKUP(D22,INDIRECT($D$2&amp;6),2,TRUE))</f>
        <v>2</v>
      </c>
      <c r="F22" s="42">
        <v>81</v>
      </c>
      <c r="G22" s="43">
        <f ca="1">IF(F22="","",VLOOKUP(F22,INDIRECT($F$2&amp;6),2,TRUE))</f>
        <v>2</v>
      </c>
      <c r="H22" s="42">
        <v>93</v>
      </c>
      <c r="I22" s="43">
        <f ca="1">IF(H22="","",VLOOKUP(H22,INDIRECT($H$2&amp;6),2,TRUE))</f>
        <v>1</v>
      </c>
      <c r="J22" s="44">
        <f ca="1">(E22+G22+I22)/3</f>
        <v>1.6666666666666667</v>
      </c>
      <c r="K22" s="45">
        <v>45</v>
      </c>
      <c r="L22" s="43">
        <f ca="1">IF(K22="","",VLOOKUP(K22,INDIRECT($K$2&amp;6),2,TRUE))</f>
        <v>1</v>
      </c>
      <c r="M22" s="42">
        <v>44</v>
      </c>
      <c r="N22" s="43">
        <f ca="1">IF(M22="","",VLOOKUP(M22,INDIRECT($M$2&amp;6),2,TRUE))</f>
        <v>1</v>
      </c>
      <c r="O22" s="42">
        <v>44</v>
      </c>
      <c r="P22" s="43">
        <f ca="1">IF(O22="","",VLOOKUP(O22,INDIRECT($O$2&amp;6),2,TRUE))</f>
        <v>1</v>
      </c>
      <c r="Q22" s="46">
        <f>D22+F22+H22+K22+M22+O22</f>
        <v>392</v>
      </c>
      <c r="R22" s="47">
        <f>RANK(Q22,$Q$4:$Q$260,0)</f>
        <v>4</v>
      </c>
      <c r="S22" s="48">
        <f ca="1">(E22+G22+I22+((N22+P22)/2))/4</f>
        <v>1.5</v>
      </c>
      <c r="U22" s="59">
        <v>5</v>
      </c>
      <c r="V22" s="60" t="s">
        <v>24</v>
      </c>
      <c r="W22" s="89">
        <f t="shared" ca="1" si="8"/>
        <v>0.18548387096774194</v>
      </c>
      <c r="X22" s="89">
        <f t="shared" ca="1" si="8"/>
        <v>0.20967741935483872</v>
      </c>
      <c r="Y22" s="89">
        <f t="shared" ca="1" si="8"/>
        <v>0.13709677419354838</v>
      </c>
      <c r="Z22" s="89">
        <f t="shared" ca="1" si="8"/>
        <v>0.11290322580645161</v>
      </c>
      <c r="AA22" s="89">
        <f t="shared" ca="1" si="8"/>
        <v>0.19028340080971659</v>
      </c>
      <c r="AB22" s="89">
        <f t="shared" ca="1" si="8"/>
        <v>0.21052631578947367</v>
      </c>
      <c r="AC22" s="40"/>
      <c r="AD22" s="40"/>
      <c r="AE22" s="40"/>
      <c r="AF22" s="73"/>
      <c r="AG22" s="73"/>
      <c r="AH22" s="73"/>
      <c r="AI22" s="73"/>
      <c r="AJ22" s="73"/>
      <c r="AK22" s="73"/>
      <c r="AL22" s="73"/>
      <c r="AM22" s="73"/>
    </row>
    <row r="23" spans="1:39" ht="20.100000000000001" customHeight="1">
      <c r="A23" s="41">
        <v>1</v>
      </c>
      <c r="B23">
        <v>20121</v>
      </c>
      <c r="C23" t="s">
        <v>46</v>
      </c>
      <c r="D23" s="42">
        <v>80</v>
      </c>
      <c r="E23" s="43">
        <f ca="1">IF(D23="","",VLOOKUP(D23,INDIRECT($D$2&amp;6),2,TRUE))</f>
        <v>3</v>
      </c>
      <c r="F23" s="42">
        <v>65</v>
      </c>
      <c r="G23" s="43">
        <f ca="1">IF(F23="","",VLOOKUP(F23,INDIRECT($F$2&amp;6),2,TRUE))</f>
        <v>3</v>
      </c>
      <c r="H23" s="42">
        <v>59</v>
      </c>
      <c r="I23" s="43">
        <f ca="1">IF(H23="","",VLOOKUP(H23,INDIRECT($H$2&amp;6),2,TRUE))</f>
        <v>5</v>
      </c>
      <c r="J23" s="44">
        <f ca="1">(E23+G23+I23)/3</f>
        <v>3.6666666666666665</v>
      </c>
      <c r="K23" s="45">
        <v>41</v>
      </c>
      <c r="L23" s="43">
        <f ca="1">IF(K23="","",VLOOKUP(K23,INDIRECT($K$2&amp;6),2,TRUE))</f>
        <v>1</v>
      </c>
      <c r="M23" s="42">
        <v>32</v>
      </c>
      <c r="N23" s="43">
        <f ca="1">IF(M23="","",VLOOKUP(M23,INDIRECT($M$2&amp;6),2,TRUE))</f>
        <v>4</v>
      </c>
      <c r="O23" s="42">
        <v>35.5</v>
      </c>
      <c r="P23" s="43">
        <f ca="1">IF(O23="","",VLOOKUP(O23,INDIRECT($O$2&amp;6),2,TRUE))</f>
        <v>2</v>
      </c>
      <c r="Q23" s="46">
        <f>D23+F23+H23+K23+M23+O23</f>
        <v>312.5</v>
      </c>
      <c r="R23" s="47">
        <f>RANK(Q23,$Q$4:$Q$260,0)</f>
        <v>53</v>
      </c>
      <c r="S23" s="48">
        <f ca="1">(E23+G23+I23+((N23+P23)/2))/4</f>
        <v>3.5</v>
      </c>
      <c r="U23" s="54">
        <v>6</v>
      </c>
      <c r="V23" s="55" t="s">
        <v>24</v>
      </c>
      <c r="W23" s="90">
        <f t="shared" ca="1" si="8"/>
        <v>0.19354838709677419</v>
      </c>
      <c r="X23" s="90">
        <f t="shared" ca="1" si="8"/>
        <v>8.0645161290322578E-2</v>
      </c>
      <c r="Y23" s="90">
        <f t="shared" ca="1" si="8"/>
        <v>0.11290322580645161</v>
      </c>
      <c r="Z23" s="90">
        <f t="shared" ca="1" si="8"/>
        <v>0.10887096774193548</v>
      </c>
      <c r="AA23" s="90">
        <f t="shared" ca="1" si="8"/>
        <v>0.16194331983805668</v>
      </c>
      <c r="AB23" s="90">
        <f t="shared" ca="1" si="8"/>
        <v>0.145748987854251</v>
      </c>
      <c r="AC23" s="40"/>
      <c r="AD23" s="40"/>
      <c r="AE23" s="40"/>
      <c r="AF23" s="73"/>
      <c r="AG23" s="73"/>
      <c r="AH23" s="73"/>
      <c r="AI23" s="73"/>
      <c r="AJ23" s="73"/>
      <c r="AK23" s="73"/>
      <c r="AL23" s="73"/>
      <c r="AM23" s="73"/>
    </row>
    <row r="24" spans="1:39" ht="20.100000000000001" customHeight="1">
      <c r="A24" s="41">
        <v>1</v>
      </c>
      <c r="B24">
        <v>20122</v>
      </c>
      <c r="C24" t="s">
        <v>47</v>
      </c>
      <c r="D24" s="42">
        <v>83</v>
      </c>
      <c r="E24" s="43">
        <f ca="1">IF(D24="","",VLOOKUP(D24,INDIRECT($D$2&amp;6),2,TRUE))</f>
        <v>2</v>
      </c>
      <c r="F24" s="42">
        <v>58</v>
      </c>
      <c r="G24" s="43">
        <f ca="1">IF(F24="","",VLOOKUP(F24,INDIRECT($F$2&amp;6),2,TRUE))</f>
        <v>4</v>
      </c>
      <c r="H24" s="42">
        <v>89</v>
      </c>
      <c r="I24" s="43">
        <f ca="1">IF(H24="","",VLOOKUP(H24,INDIRECT($H$2&amp;6),2,TRUE))</f>
        <v>2</v>
      </c>
      <c r="J24" s="44">
        <f ca="1">(E24+G24+I24)/3</f>
        <v>2.6666666666666665</v>
      </c>
      <c r="K24" s="45">
        <v>45</v>
      </c>
      <c r="L24" s="43">
        <f ca="1">IF(K24="","",VLOOKUP(K24,INDIRECT($K$2&amp;6),2,TRUE))</f>
        <v>1</v>
      </c>
      <c r="M24" s="42">
        <v>45</v>
      </c>
      <c r="N24" s="43">
        <f ca="1">IF(M24="","",VLOOKUP(M24,INDIRECT($M$2&amp;6),2,TRUE))</f>
        <v>1</v>
      </c>
      <c r="O24" s="42">
        <v>45.5</v>
      </c>
      <c r="P24" s="43">
        <f ca="1">IF(O24="","",VLOOKUP(O24,INDIRECT($O$2&amp;6),2,TRUE))</f>
        <v>1</v>
      </c>
      <c r="Q24" s="46">
        <f>D24+F24+H24+K24+M24+O24</f>
        <v>365.5</v>
      </c>
      <c r="R24" s="47">
        <f>RANK(Q24,$Q$4:$Q$260,0)</f>
        <v>16</v>
      </c>
      <c r="S24" s="48">
        <f ca="1">(E24+G24+I24+((N24+P24)/2))/4</f>
        <v>2.25</v>
      </c>
      <c r="U24" s="59">
        <v>7</v>
      </c>
      <c r="V24" s="60" t="s">
        <v>24</v>
      </c>
      <c r="W24" s="89">
        <f t="shared" ca="1" si="8"/>
        <v>0.12096774193548387</v>
      </c>
      <c r="X24" s="89">
        <f t="shared" ca="1" si="8"/>
        <v>0.10080645161290322</v>
      </c>
      <c r="Y24" s="89">
        <f t="shared" ca="1" si="8"/>
        <v>6.4516129032258063E-2</v>
      </c>
      <c r="Z24" s="89">
        <f t="shared" ca="1" si="8"/>
        <v>0.10483870967741936</v>
      </c>
      <c r="AA24" s="89">
        <f t="shared" ca="1" si="8"/>
        <v>5.2631578947368418E-2</v>
      </c>
      <c r="AB24" s="89">
        <f t="shared" ca="1" si="8"/>
        <v>0.10931174089068826</v>
      </c>
      <c r="AC24" s="40"/>
      <c r="AD24" s="40"/>
      <c r="AE24" s="40"/>
      <c r="AF24" s="73"/>
      <c r="AG24" s="73"/>
      <c r="AH24" s="73"/>
      <c r="AI24" s="73"/>
      <c r="AJ24" s="73"/>
      <c r="AK24" s="73"/>
      <c r="AL24" s="73"/>
      <c r="AM24" s="73"/>
    </row>
    <row r="25" spans="1:39" ht="20.100000000000001" customHeight="1">
      <c r="A25" s="41">
        <v>1</v>
      </c>
      <c r="B25">
        <v>20123</v>
      </c>
      <c r="C25" t="s">
        <v>48</v>
      </c>
      <c r="D25" s="42">
        <v>72</v>
      </c>
      <c r="E25" s="43">
        <f ca="1">IF(D25="","",VLOOKUP(D25,INDIRECT($D$2&amp;6),2,TRUE))</f>
        <v>3</v>
      </c>
      <c r="F25" s="42">
        <v>54</v>
      </c>
      <c r="G25" s="43">
        <f ca="1">IF(F25="","",VLOOKUP(F25,INDIRECT($F$2&amp;6),2,TRUE))</f>
        <v>4</v>
      </c>
      <c r="H25" s="42">
        <v>76</v>
      </c>
      <c r="I25" s="43">
        <f ca="1">IF(H25="","",VLOOKUP(H25,INDIRECT($H$2&amp;6),2,TRUE))</f>
        <v>3</v>
      </c>
      <c r="J25" s="44">
        <f ca="1">(E25+G25+I25)/3</f>
        <v>3.3333333333333335</v>
      </c>
      <c r="K25" s="45">
        <v>23</v>
      </c>
      <c r="L25" s="43">
        <f ca="1">IF(K25="","",VLOOKUP(K25,INDIRECT($K$2&amp;6),2,TRUE))</f>
        <v>5</v>
      </c>
      <c r="M25" s="42">
        <v>40</v>
      </c>
      <c r="N25" s="43">
        <f ca="1">IF(M25="","",VLOOKUP(M25,INDIRECT($M$2&amp;6),2,TRUE))</f>
        <v>2</v>
      </c>
      <c r="O25" s="42">
        <v>27</v>
      </c>
      <c r="P25" s="43">
        <f ca="1">IF(O25="","",VLOOKUP(O25,INDIRECT($O$2&amp;6),2,TRUE))</f>
        <v>4</v>
      </c>
      <c r="Q25" s="46">
        <f>D25+F25+H25+K25+M25+O25</f>
        <v>292</v>
      </c>
      <c r="R25" s="47">
        <f>RANK(Q25,$Q$4:$Q$260,0)</f>
        <v>67</v>
      </c>
      <c r="S25" s="48">
        <f ca="1">(E25+G25+I25+((N25+P25)/2))/4</f>
        <v>3.25</v>
      </c>
      <c r="U25" s="54">
        <v>8</v>
      </c>
      <c r="V25" s="55" t="s">
        <v>24</v>
      </c>
      <c r="W25" s="90">
        <f t="shared" ca="1" si="8"/>
        <v>5.2419354838709679E-2</v>
      </c>
      <c r="X25" s="90">
        <f t="shared" ca="1" si="8"/>
        <v>4.4354838709677422E-2</v>
      </c>
      <c r="Y25" s="90">
        <f t="shared" ca="1" si="8"/>
        <v>6.4516129032258063E-2</v>
      </c>
      <c r="Z25" s="90">
        <f t="shared" ca="1" si="8"/>
        <v>6.8548387096774188E-2</v>
      </c>
      <c r="AA25" s="90">
        <f t="shared" ca="1" si="8"/>
        <v>8.0971659919028341E-2</v>
      </c>
      <c r="AB25" s="90">
        <f t="shared" ca="1" si="8"/>
        <v>8.0971659919028341E-2</v>
      </c>
      <c r="AC25" s="40"/>
      <c r="AD25" s="40"/>
      <c r="AE25" s="40"/>
      <c r="AF25" s="73"/>
      <c r="AG25" s="73"/>
      <c r="AH25" s="73"/>
      <c r="AI25" s="73"/>
      <c r="AJ25" s="73"/>
      <c r="AK25" s="73"/>
      <c r="AL25" s="73"/>
      <c r="AM25" s="73"/>
    </row>
    <row r="26" spans="1:39" ht="20.100000000000001" customHeight="1" thickBot="1">
      <c r="A26" s="41">
        <v>1</v>
      </c>
      <c r="B26">
        <v>20124</v>
      </c>
      <c r="C26" t="s">
        <v>49</v>
      </c>
      <c r="D26" s="42">
        <v>78</v>
      </c>
      <c r="E26" s="43">
        <f ca="1">IF(D26="","",VLOOKUP(D26,INDIRECT($D$2&amp;6),2,TRUE))</f>
        <v>3</v>
      </c>
      <c r="F26" s="42">
        <v>65</v>
      </c>
      <c r="G26" s="43">
        <f ca="1">IF(F26="","",VLOOKUP(F26,INDIRECT($F$2&amp;6),2,TRUE))</f>
        <v>3</v>
      </c>
      <c r="H26" s="42">
        <v>68</v>
      </c>
      <c r="I26" s="43">
        <f ca="1">IF(H26="","",VLOOKUP(H26,INDIRECT($H$2&amp;6),2,TRUE))</f>
        <v>4</v>
      </c>
      <c r="J26" s="44">
        <f ca="1">(E26+G26+I26)/3</f>
        <v>3.3333333333333335</v>
      </c>
      <c r="K26" s="45">
        <v>44</v>
      </c>
      <c r="L26" s="43">
        <f ca="1">IF(K26="","",VLOOKUP(K26,INDIRECT($K$2&amp;6),2,TRUE))</f>
        <v>1</v>
      </c>
      <c r="M26" s="42">
        <v>32</v>
      </c>
      <c r="N26" s="43">
        <f ca="1">IF(M26="","",VLOOKUP(M26,INDIRECT($M$2&amp;6),2,TRUE))</f>
        <v>4</v>
      </c>
      <c r="O26" s="42">
        <v>28</v>
      </c>
      <c r="P26" s="43">
        <f ca="1">IF(O26="","",VLOOKUP(O26,INDIRECT($O$2&amp;6),2,TRUE))</f>
        <v>3</v>
      </c>
      <c r="Q26" s="46">
        <f>D26+F26+H26+K26+M26+O26</f>
        <v>315</v>
      </c>
      <c r="R26" s="47">
        <f>RANK(Q26,$Q$4:$Q$260,0)</f>
        <v>52</v>
      </c>
      <c r="S26" s="48">
        <f ca="1">(E26+G26+I26+((N26+P26)/2))/4</f>
        <v>3.375</v>
      </c>
      <c r="U26" s="61">
        <v>9</v>
      </c>
      <c r="V26" s="62" t="s">
        <v>24</v>
      </c>
      <c r="W26" s="89">
        <f t="shared" ca="1" si="8"/>
        <v>2.0161290322580645E-2</v>
      </c>
      <c r="X26" s="89">
        <f t="shared" ca="1" si="8"/>
        <v>1.6129032258064516E-2</v>
      </c>
      <c r="Y26" s="89">
        <f t="shared" ca="1" si="8"/>
        <v>4.0322580645161289E-3</v>
      </c>
      <c r="Z26" s="89">
        <f t="shared" ca="1" si="8"/>
        <v>1.6129032258064516E-2</v>
      </c>
      <c r="AA26" s="89">
        <f t="shared" ca="1" si="8"/>
        <v>2.0242914979757085E-2</v>
      </c>
      <c r="AB26" s="89">
        <f t="shared" ca="1" si="8"/>
        <v>1.6194331983805668E-2</v>
      </c>
      <c r="AC26" s="40"/>
      <c r="AD26" s="40"/>
      <c r="AE26" s="40"/>
      <c r="AF26" s="73"/>
      <c r="AG26" s="73"/>
      <c r="AH26" s="73"/>
      <c r="AI26" s="73"/>
      <c r="AJ26" s="73"/>
      <c r="AK26" s="73"/>
      <c r="AL26" s="73"/>
      <c r="AM26" s="73"/>
    </row>
    <row r="27" spans="1:39" ht="20.100000000000001" customHeight="1">
      <c r="A27" s="41">
        <v>1</v>
      </c>
      <c r="B27">
        <v>20125</v>
      </c>
      <c r="C27" t="s">
        <v>50</v>
      </c>
      <c r="D27" s="42">
        <v>33</v>
      </c>
      <c r="E27" s="43">
        <f ca="1">IF(D27="","",VLOOKUP(D27,INDIRECT($D$2&amp;6),2,TRUE))</f>
        <v>6</v>
      </c>
      <c r="F27" s="42">
        <v>54</v>
      </c>
      <c r="G27" s="43">
        <f ca="1">IF(F27="","",VLOOKUP(F27,INDIRECT($F$2&amp;6),2,TRUE))</f>
        <v>4</v>
      </c>
      <c r="H27" s="42">
        <v>55</v>
      </c>
      <c r="I27" s="43">
        <f ca="1">IF(H27="","",VLOOKUP(H27,INDIRECT($H$2&amp;6),2,TRUE))</f>
        <v>5</v>
      </c>
      <c r="J27" s="44">
        <f ca="1">(E27+G27+I27)/3</f>
        <v>5</v>
      </c>
      <c r="K27" s="45">
        <v>6</v>
      </c>
      <c r="L27" s="43">
        <f ca="1">IF(K27="","",VLOOKUP(K27,INDIRECT($K$2&amp;6),2,TRUE))</f>
        <v>8</v>
      </c>
      <c r="M27" s="42">
        <v>24.5</v>
      </c>
      <c r="N27" s="43">
        <f ca="1">IF(M27="","",VLOOKUP(M27,INDIRECT($M$2&amp;6),2,TRUE))</f>
        <v>5</v>
      </c>
      <c r="O27" s="42">
        <v>17.5</v>
      </c>
      <c r="P27" s="43">
        <f ca="1">IF(O27="","",VLOOKUP(O27,INDIRECT($O$2&amp;6),2,TRUE))</f>
        <v>5</v>
      </c>
      <c r="Q27" s="46">
        <f>D27+F27+H27+K27+M27+O27</f>
        <v>190</v>
      </c>
      <c r="R27" s="47">
        <f>RANK(Q27,$Q$4:$Q$260,0)</f>
        <v>172</v>
      </c>
      <c r="S27" s="48">
        <f ca="1">(E27+G27+I27+((N27+P27)/2))/4</f>
        <v>5</v>
      </c>
      <c r="U27" s="66" t="s">
        <v>34</v>
      </c>
      <c r="V27" s="67"/>
      <c r="W27" s="91">
        <f ca="1">SUM(W18:W26)</f>
        <v>0.99999999999999989</v>
      </c>
      <c r="X27" s="91">
        <f t="shared" ref="X27:AA27" ca="1" si="9">SUM(X18:X26)</f>
        <v>1</v>
      </c>
      <c r="Y27" s="91">
        <f t="shared" ca="1" si="9"/>
        <v>0.99999999999999989</v>
      </c>
      <c r="Z27" s="91">
        <f t="shared" ca="1" si="9"/>
        <v>1</v>
      </c>
      <c r="AA27" s="91">
        <f t="shared" ca="1" si="9"/>
        <v>1</v>
      </c>
      <c r="AB27" s="91">
        <f ca="1">SUM(AB18:AB26)</f>
        <v>1</v>
      </c>
      <c r="AC27" s="40"/>
      <c r="AD27" s="40"/>
      <c r="AE27" s="40"/>
      <c r="AF27" s="73"/>
      <c r="AG27" s="73"/>
      <c r="AH27" s="73"/>
      <c r="AI27" s="73"/>
      <c r="AJ27" s="73"/>
      <c r="AK27" s="73"/>
      <c r="AL27" s="73"/>
      <c r="AM27" s="73"/>
    </row>
    <row r="28" spans="1:39" ht="20.100000000000001" customHeight="1" thickBot="1">
      <c r="A28" s="41">
        <v>1</v>
      </c>
      <c r="B28">
        <v>20201</v>
      </c>
      <c r="C28" t="s">
        <v>51</v>
      </c>
      <c r="D28" s="42">
        <v>30</v>
      </c>
      <c r="E28" s="43">
        <f ca="1">IF(D28="","",VLOOKUP(D28,INDIRECT($D$2&amp;6),2,TRUE))</f>
        <v>7</v>
      </c>
      <c r="F28" s="42">
        <v>24</v>
      </c>
      <c r="G28" s="43">
        <f ca="1">IF(F28="","",VLOOKUP(F28,INDIRECT($F$2&amp;6),2,TRUE))</f>
        <v>6</v>
      </c>
      <c r="H28" s="42">
        <v>42</v>
      </c>
      <c r="I28" s="43">
        <f ca="1">IF(H28="","",VLOOKUP(H28,INDIRECT($H$2&amp;6),2,TRUE))</f>
        <v>6</v>
      </c>
      <c r="J28" s="44">
        <f ca="1">(E28+G28+I28)/3</f>
        <v>6.333333333333333</v>
      </c>
      <c r="K28" s="45">
        <v>2</v>
      </c>
      <c r="L28" s="43">
        <f ca="1">IF(K28="","",VLOOKUP(K28,INDIRECT($K$2&amp;6),2,TRUE))</f>
        <v>9</v>
      </c>
      <c r="M28" s="42">
        <v>16</v>
      </c>
      <c r="N28" s="43">
        <f ca="1">IF(M28="","",VLOOKUP(M28,INDIRECT($M$2&amp;6),2,TRUE))</f>
        <v>6</v>
      </c>
      <c r="O28" s="42">
        <v>11.5</v>
      </c>
      <c r="P28" s="43">
        <f ca="1">IF(O28="","",VLOOKUP(O28,INDIRECT($O$2&amp;6),2,TRUE))</f>
        <v>7</v>
      </c>
      <c r="Q28" s="46">
        <f>D28+F28+H28+K28+M28+O28</f>
        <v>125.5</v>
      </c>
      <c r="R28" s="47">
        <f>RANK(Q28,$Q$4:$Q$260,0)</f>
        <v>221</v>
      </c>
      <c r="S28" s="48">
        <f ca="1">(E28+G28+I28+((N28+P28)/2))/4</f>
        <v>6.375</v>
      </c>
      <c r="U28" s="69"/>
      <c r="V28" s="70"/>
      <c r="W28" s="92"/>
      <c r="X28" s="92"/>
      <c r="Y28" s="92"/>
      <c r="Z28" s="92"/>
      <c r="AA28" s="92"/>
      <c r="AB28" s="92"/>
      <c r="AC28" s="40"/>
      <c r="AD28" s="40"/>
      <c r="AE28" s="40"/>
      <c r="AF28" s="73"/>
      <c r="AG28" s="73"/>
      <c r="AH28" s="73"/>
      <c r="AI28" s="73"/>
      <c r="AJ28" s="73"/>
      <c r="AK28" s="73"/>
      <c r="AL28" s="73"/>
      <c r="AM28" s="73"/>
    </row>
    <row r="29" spans="1:39" ht="20.100000000000001" customHeight="1" thickBot="1">
      <c r="A29" s="41">
        <v>2</v>
      </c>
      <c r="B29">
        <v>20202</v>
      </c>
      <c r="C29" t="s">
        <v>52</v>
      </c>
      <c r="D29" s="42">
        <v>12</v>
      </c>
      <c r="E29" s="43">
        <f ca="1">IF(D29="","",VLOOKUP(D29,INDIRECT($D$2&amp;6),2,TRUE))</f>
        <v>9</v>
      </c>
      <c r="F29" s="42">
        <v>46</v>
      </c>
      <c r="G29" s="43">
        <f ca="1">IF(F29="","",VLOOKUP(F29,INDIRECT($F$2&amp;6),2,TRUE))</f>
        <v>4</v>
      </c>
      <c r="H29" s="42">
        <v>75</v>
      </c>
      <c r="I29" s="43">
        <f ca="1">IF(H29="","",VLOOKUP(H29,INDIRECT($H$2&amp;6),2,TRUE))</f>
        <v>3</v>
      </c>
      <c r="J29" s="44">
        <f ca="1">(E29+G29+I29)/3</f>
        <v>5.333333333333333</v>
      </c>
      <c r="K29" s="45">
        <v>41</v>
      </c>
      <c r="L29" s="43">
        <f ca="1">IF(K29="","",VLOOKUP(K29,INDIRECT($K$2&amp;6),2,TRUE))</f>
        <v>1</v>
      </c>
      <c r="M29" s="42">
        <v>10.5</v>
      </c>
      <c r="N29" s="43">
        <f ca="1">IF(M29="","",VLOOKUP(M29,INDIRECT($M$2&amp;6),2,TRUE))</f>
        <v>7</v>
      </c>
      <c r="O29" s="42">
        <v>15</v>
      </c>
      <c r="P29" s="43">
        <f ca="1">IF(O29="","",VLOOKUP(O29,INDIRECT($O$2&amp;6),2,TRUE))</f>
        <v>6</v>
      </c>
      <c r="Q29" s="46">
        <f>D29+F29+H29+K29+M29+O29</f>
        <v>199.5</v>
      </c>
      <c r="R29" s="47">
        <f>RANK(Q29,$Q$4:$Q$260,0)</f>
        <v>159</v>
      </c>
      <c r="S29" s="48">
        <f ca="1">(E29+G29+I29+((N29+P29)/2))/4</f>
        <v>5.625</v>
      </c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</row>
    <row r="30" spans="1:39" ht="20.100000000000001" customHeight="1" thickBot="1">
      <c r="A30" s="41">
        <v>2</v>
      </c>
      <c r="B30">
        <v>20203</v>
      </c>
      <c r="C30" t="s">
        <v>53</v>
      </c>
      <c r="D30" s="42">
        <v>35</v>
      </c>
      <c r="E30" s="43">
        <f ca="1">IF(D30="","",VLOOKUP(D30,INDIRECT($D$2&amp;6),2,TRUE))</f>
        <v>6</v>
      </c>
      <c r="F30" s="42">
        <v>27</v>
      </c>
      <c r="G30" s="43">
        <f ca="1">IF(F30="","",VLOOKUP(F30,INDIRECT($F$2&amp;6),2,TRUE))</f>
        <v>6</v>
      </c>
      <c r="H30" s="42">
        <v>26</v>
      </c>
      <c r="I30" s="43">
        <f ca="1">IF(H30="","",VLOOKUP(H30,INDIRECT($H$2&amp;6),2,TRUE))</f>
        <v>8</v>
      </c>
      <c r="J30" s="44">
        <f ca="1">(E30+G30+I30)/3</f>
        <v>6.666666666666667</v>
      </c>
      <c r="K30" s="45">
        <v>8</v>
      </c>
      <c r="L30" s="43">
        <f ca="1">IF(K30="","",VLOOKUP(K30,INDIRECT($K$2&amp;6),2,TRUE))</f>
        <v>8</v>
      </c>
      <c r="M30" s="42">
        <v>5.5</v>
      </c>
      <c r="N30" s="43">
        <f ca="1">IF(M30="","",VLOOKUP(M30,INDIRECT($M$2&amp;6),2,TRUE))</f>
        <v>8</v>
      </c>
      <c r="O30" s="42">
        <v>15.5</v>
      </c>
      <c r="P30" s="43">
        <f ca="1">IF(O30="","",VLOOKUP(O30,INDIRECT($O$2&amp;6),2,TRUE))</f>
        <v>5</v>
      </c>
      <c r="Q30" s="46">
        <f>D30+F30+H30+K30+M30+O30</f>
        <v>117</v>
      </c>
      <c r="R30" s="47">
        <f>RANK(Q30,$Q$4:$Q$260,0)</f>
        <v>227</v>
      </c>
      <c r="S30" s="48">
        <f ca="1">(E30+G30+I30+((N30+P30)/2))/4</f>
        <v>6.625</v>
      </c>
      <c r="U30" s="73"/>
      <c r="V30" s="73"/>
      <c r="W30" s="73"/>
      <c r="X30" s="73"/>
      <c r="Y30" s="73"/>
      <c r="Z30" s="93"/>
      <c r="AA30" s="94" t="s">
        <v>15</v>
      </c>
      <c r="AB30" s="94" t="s">
        <v>54</v>
      </c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</row>
    <row r="31" spans="1:39" ht="20.100000000000001" customHeight="1">
      <c r="A31" s="41">
        <v>2</v>
      </c>
      <c r="B31">
        <v>20204</v>
      </c>
      <c r="C31" t="s">
        <v>55</v>
      </c>
      <c r="D31" s="42">
        <v>29</v>
      </c>
      <c r="E31" s="43">
        <f ca="1">IF(D31="","",VLOOKUP(D31,INDIRECT($D$2&amp;6),2,TRUE))</f>
        <v>7</v>
      </c>
      <c r="F31" s="42">
        <v>27</v>
      </c>
      <c r="G31" s="43">
        <f ca="1">IF(F31="","",VLOOKUP(F31,INDIRECT($F$2&amp;6),2,TRUE))</f>
        <v>6</v>
      </c>
      <c r="H31" s="42">
        <v>34</v>
      </c>
      <c r="I31" s="43">
        <f ca="1">IF(H31="","",VLOOKUP(H31,INDIRECT($H$2&amp;6),2,TRUE))</f>
        <v>7</v>
      </c>
      <c r="J31" s="44">
        <f ca="1">(E31+G31+I31)/3</f>
        <v>6.666666666666667</v>
      </c>
      <c r="K31" s="45">
        <v>2</v>
      </c>
      <c r="L31" s="43">
        <f ca="1">IF(K31="","",VLOOKUP(K31,INDIRECT($K$2&amp;6),2,TRUE))</f>
        <v>9</v>
      </c>
      <c r="M31" s="42">
        <v>17</v>
      </c>
      <c r="N31" s="43">
        <f ca="1">IF(M31="","",VLOOKUP(M31,INDIRECT($M$2&amp;6),2,TRUE))</f>
        <v>6</v>
      </c>
      <c r="O31" s="42">
        <v>18</v>
      </c>
      <c r="P31" s="43">
        <f ca="1">IF(O31="","",VLOOKUP(O31,INDIRECT($O$2&amp;6),2,TRUE))</f>
        <v>5</v>
      </c>
      <c r="Q31" s="46">
        <f>D31+F31+H31+K31+M31+O31</f>
        <v>127</v>
      </c>
      <c r="R31" s="47">
        <f>RANK(Q31,$Q$4:$Q$260,0)</f>
        <v>220</v>
      </c>
      <c r="S31" s="48">
        <f ca="1">(E31+G31+I31+((N31+P31)/2))/4</f>
        <v>6.375</v>
      </c>
      <c r="U31" s="73"/>
      <c r="V31" s="73"/>
      <c r="W31" s="73"/>
      <c r="X31" s="73"/>
      <c r="Y31" s="73"/>
      <c r="Z31" s="95" t="s">
        <v>56</v>
      </c>
      <c r="AA31" s="96">
        <v>0</v>
      </c>
      <c r="AB31" s="96">
        <v>9</v>
      </c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</row>
    <row r="32" spans="1:39" ht="20.100000000000001" customHeight="1">
      <c r="A32" s="41">
        <v>2</v>
      </c>
      <c r="B32">
        <v>20205</v>
      </c>
      <c r="C32" t="s">
        <v>57</v>
      </c>
      <c r="D32" s="42">
        <v>54</v>
      </c>
      <c r="E32" s="43">
        <f ca="1">IF(D32="","",VLOOKUP(D32,INDIRECT($D$2&amp;6),2,TRUE))</f>
        <v>5</v>
      </c>
      <c r="F32" s="42">
        <v>65</v>
      </c>
      <c r="G32" s="43">
        <f ca="1">IF(F32="","",VLOOKUP(F32,INDIRECT($F$2&amp;6),2,TRUE))</f>
        <v>3</v>
      </c>
      <c r="H32" s="42">
        <v>80</v>
      </c>
      <c r="I32" s="43">
        <f ca="1">IF(H32="","",VLOOKUP(H32,INDIRECT($H$2&amp;6),2,TRUE))</f>
        <v>2</v>
      </c>
      <c r="J32" s="44">
        <f ca="1">(E32+G32+I32)/3</f>
        <v>3.3333333333333335</v>
      </c>
      <c r="K32" s="45">
        <v>45</v>
      </c>
      <c r="L32" s="43">
        <f ca="1">IF(K32="","",VLOOKUP(K32,INDIRECT($K$2&amp;6),2,TRUE))</f>
        <v>1</v>
      </c>
      <c r="M32" s="42">
        <v>36.5</v>
      </c>
      <c r="N32" s="43">
        <f ca="1">IF(M32="","",VLOOKUP(M32,INDIRECT($M$2&amp;6),2,TRUE))</f>
        <v>3</v>
      </c>
      <c r="O32" s="42">
        <v>35</v>
      </c>
      <c r="P32" s="43">
        <f ca="1">IF(O32="","",VLOOKUP(O32,INDIRECT($O$2&amp;6),2,TRUE))</f>
        <v>2</v>
      </c>
      <c r="Q32" s="46">
        <f>D32+F32+H32+K32+M32+O32</f>
        <v>315.5</v>
      </c>
      <c r="R32" s="47">
        <f>RANK(Q32,$Q$4:$Q$260,0)</f>
        <v>51</v>
      </c>
      <c r="S32" s="48">
        <f ca="1">(E32+G32+I32+((N32+P32)/2))/4</f>
        <v>3.125</v>
      </c>
      <c r="U32" s="73"/>
      <c r="V32" s="73"/>
      <c r="W32" s="73"/>
      <c r="X32" s="73"/>
      <c r="Y32" s="73"/>
      <c r="Z32" s="97"/>
      <c r="AA32" s="98">
        <v>17</v>
      </c>
      <c r="AB32" s="98">
        <v>8</v>
      </c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</row>
    <row r="33" spans="1:39" ht="20.100000000000001" customHeight="1">
      <c r="A33" s="41">
        <v>2</v>
      </c>
      <c r="B33">
        <v>20206</v>
      </c>
      <c r="C33" t="s">
        <v>58</v>
      </c>
      <c r="D33" s="42">
        <v>37</v>
      </c>
      <c r="E33" s="43">
        <f ca="1">IF(D33="","",VLOOKUP(D33,INDIRECT($D$2&amp;6),2,TRUE))</f>
        <v>6</v>
      </c>
      <c r="F33" s="42">
        <v>58</v>
      </c>
      <c r="G33" s="43">
        <f ca="1">IF(F33="","",VLOOKUP(F33,INDIRECT($F$2&amp;6),2,TRUE))</f>
        <v>4</v>
      </c>
      <c r="H33" s="42">
        <v>78</v>
      </c>
      <c r="I33" s="43">
        <f ca="1">IF(H33="","",VLOOKUP(H33,INDIRECT($H$2&amp;6),2,TRUE))</f>
        <v>3</v>
      </c>
      <c r="J33" s="44">
        <f ca="1">(E33+G33+I33)/3</f>
        <v>4.333333333333333</v>
      </c>
      <c r="K33" s="45">
        <v>26</v>
      </c>
      <c r="L33" s="43">
        <f ca="1">IF(K33="","",VLOOKUP(K33,INDIRECT($K$2&amp;6),2,TRUE))</f>
        <v>4</v>
      </c>
      <c r="M33" s="42">
        <v>19.5</v>
      </c>
      <c r="N33" s="43">
        <f ca="1">IF(M33="","",VLOOKUP(M33,INDIRECT($M$2&amp;6),2,TRUE))</f>
        <v>6</v>
      </c>
      <c r="O33" s="42">
        <v>21.5</v>
      </c>
      <c r="P33" s="43">
        <f ca="1">IF(O33="","",VLOOKUP(O33,INDIRECT($O$2&amp;6),2,TRUE))</f>
        <v>4</v>
      </c>
      <c r="Q33" s="46">
        <f>D33+F33+H33+K33+M33+O33</f>
        <v>240</v>
      </c>
      <c r="R33" s="47">
        <f>RANK(Q33,$Q$4:$Q$260,0)</f>
        <v>113</v>
      </c>
      <c r="S33" s="48">
        <f ca="1">(E33+G33+I33+((N33+P33)/2))/4</f>
        <v>4.5</v>
      </c>
      <c r="U33" s="73"/>
      <c r="V33" s="73"/>
      <c r="W33" s="73"/>
      <c r="X33" s="73"/>
      <c r="Y33" s="73"/>
      <c r="Z33" s="97"/>
      <c r="AA33" s="99">
        <v>22</v>
      </c>
      <c r="AB33" s="99">
        <v>7</v>
      </c>
      <c r="AC33" s="73"/>
      <c r="AD33" s="73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20.100000000000001" customHeight="1">
      <c r="A34" s="41">
        <v>2</v>
      </c>
      <c r="B34">
        <v>20207</v>
      </c>
      <c r="C34" t="s">
        <v>59</v>
      </c>
      <c r="D34" s="42">
        <v>75</v>
      </c>
      <c r="E34" s="43">
        <f ca="1">IF(D34="","",VLOOKUP(D34,INDIRECT($D$2&amp;6),2,TRUE))</f>
        <v>3</v>
      </c>
      <c r="F34" s="42">
        <v>72</v>
      </c>
      <c r="G34" s="43">
        <f ca="1">IF(F34="","",VLOOKUP(F34,INDIRECT($F$2&amp;6),2,TRUE))</f>
        <v>3</v>
      </c>
      <c r="H34" s="42">
        <v>74</v>
      </c>
      <c r="I34" s="43">
        <f ca="1">IF(H34="","",VLOOKUP(H34,INDIRECT($H$2&amp;6),2,TRUE))</f>
        <v>3</v>
      </c>
      <c r="J34" s="44">
        <f ca="1">(E34+G34+I34)/3</f>
        <v>3</v>
      </c>
      <c r="K34" s="45">
        <v>50</v>
      </c>
      <c r="L34" s="43">
        <f ca="1">IF(K34="","",VLOOKUP(K34,INDIRECT($K$2&amp;6),2,TRUE))</f>
        <v>1</v>
      </c>
      <c r="M34" s="42">
        <v>37.5</v>
      </c>
      <c r="N34" s="43">
        <f ca="1">IF(M34="","",VLOOKUP(M34,INDIRECT($M$2&amp;6),2,TRUE))</f>
        <v>2</v>
      </c>
      <c r="O34" s="42">
        <v>33.5</v>
      </c>
      <c r="P34" s="43">
        <f ca="1">IF(O34="","",VLOOKUP(O34,INDIRECT($O$2&amp;6),2,TRUE))</f>
        <v>3</v>
      </c>
      <c r="Q34" s="46">
        <f>D34+F34+H34+K34+M34+O34</f>
        <v>342</v>
      </c>
      <c r="R34" s="47">
        <f>RANK(Q34,$Q$4:$Q$260,0)</f>
        <v>30</v>
      </c>
      <c r="S34" s="48">
        <f ca="1">(E34+G34+I34+((N34+P34)/2))/4</f>
        <v>2.875</v>
      </c>
      <c r="U34" s="73"/>
      <c r="V34" s="73"/>
      <c r="W34" s="73"/>
      <c r="X34" s="2" t="s">
        <v>286</v>
      </c>
      <c r="Z34" s="97"/>
      <c r="AA34" s="99">
        <v>31</v>
      </c>
      <c r="AB34" s="99">
        <v>6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20.100000000000001" customHeight="1">
      <c r="A35" s="41">
        <v>2</v>
      </c>
      <c r="B35">
        <v>20208</v>
      </c>
      <c r="C35" t="s">
        <v>60</v>
      </c>
      <c r="D35" s="42">
        <v>19</v>
      </c>
      <c r="E35" s="43">
        <f ca="1">IF(D35="","",VLOOKUP(D35,INDIRECT($D$2&amp;6),2,TRUE))</f>
        <v>8</v>
      </c>
      <c r="F35" s="42">
        <v>9</v>
      </c>
      <c r="G35" s="43">
        <f ca="1">IF(F35="","",VLOOKUP(F35,INDIRECT($F$2&amp;6),2,TRUE))</f>
        <v>8</v>
      </c>
      <c r="H35" s="42">
        <v>54</v>
      </c>
      <c r="I35" s="43">
        <f ca="1">IF(H35="","",VLOOKUP(H35,INDIRECT($H$2&amp;6),2,TRUE))</f>
        <v>5</v>
      </c>
      <c r="J35" s="44">
        <f ca="1">(E35+G35+I35)/3</f>
        <v>7</v>
      </c>
      <c r="K35" s="45">
        <v>29</v>
      </c>
      <c r="L35" s="43">
        <f ca="1">IF(K35="","",VLOOKUP(K35,INDIRECT($K$2&amp;6),2,TRUE))</f>
        <v>4</v>
      </c>
      <c r="M35" s="42">
        <v>7.5</v>
      </c>
      <c r="N35" s="43">
        <f ca="1">IF(M35="","",VLOOKUP(M35,INDIRECT($M$2&amp;6),2,TRUE))</f>
        <v>8</v>
      </c>
      <c r="O35" s="42">
        <v>5</v>
      </c>
      <c r="P35" s="43">
        <f ca="1">IF(O35="","",VLOOKUP(O35,INDIRECT($O$2&amp;6),2,TRUE))</f>
        <v>9</v>
      </c>
      <c r="Q35" s="46">
        <f>D35+F35+H35+K35+M35+O35</f>
        <v>123.5</v>
      </c>
      <c r="R35" s="47">
        <f>RANK(Q35,$Q$4:$Q$260,0)</f>
        <v>224</v>
      </c>
      <c r="S35" s="48">
        <f ca="1">(E35+G35+I35+((N35+P35)/2))/4</f>
        <v>7.375</v>
      </c>
      <c r="U35" s="73"/>
      <c r="V35" s="73"/>
      <c r="W35" s="73"/>
      <c r="X35" s="2" t="s">
        <v>287</v>
      </c>
      <c r="Z35" s="97"/>
      <c r="AA35" s="99">
        <v>44</v>
      </c>
      <c r="AB35" s="99">
        <v>5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20.100000000000001" customHeight="1">
      <c r="A36" s="41">
        <v>2</v>
      </c>
      <c r="B36">
        <v>20209</v>
      </c>
      <c r="C36" t="s">
        <v>61</v>
      </c>
      <c r="D36" s="42">
        <v>32</v>
      </c>
      <c r="E36" s="43">
        <f ca="1">IF(D36="","",VLOOKUP(D36,INDIRECT($D$2&amp;6),2,TRUE))</f>
        <v>6</v>
      </c>
      <c r="F36" s="42">
        <v>4</v>
      </c>
      <c r="G36" s="43">
        <f ca="1">IF(F36="","",VLOOKUP(F36,INDIRECT($F$2&amp;6),2,TRUE))</f>
        <v>9</v>
      </c>
      <c r="H36" s="42">
        <v>27</v>
      </c>
      <c r="I36" s="43">
        <f ca="1">IF(H36="","",VLOOKUP(H36,INDIRECT($H$2&amp;6),2,TRUE))</f>
        <v>8</v>
      </c>
      <c r="J36" s="44">
        <f ca="1">(E36+G36+I36)/3</f>
        <v>7.666666666666667</v>
      </c>
      <c r="K36" s="45">
        <v>7</v>
      </c>
      <c r="L36" s="43">
        <f ca="1">IF(K36="","",VLOOKUP(K36,INDIRECT($K$2&amp;6),2,TRUE))</f>
        <v>8</v>
      </c>
      <c r="M36" s="42">
        <v>4</v>
      </c>
      <c r="N36" s="43">
        <f ca="1">IF(M36="","",VLOOKUP(M36,INDIRECT($M$2&amp;6),2,TRUE))</f>
        <v>9</v>
      </c>
      <c r="O36" s="42">
        <v>15</v>
      </c>
      <c r="P36" s="43">
        <f ca="1">IF(O36="","",VLOOKUP(O36,INDIRECT($O$2&amp;6),2,TRUE))</f>
        <v>6</v>
      </c>
      <c r="Q36" s="46">
        <f>D36+F36+H36+K36+M36+O36</f>
        <v>89</v>
      </c>
      <c r="R36" s="47">
        <f>RANK(Q36,$Q$4:$Q$260,0)</f>
        <v>244</v>
      </c>
      <c r="S36" s="48">
        <f ca="1">(E36+G36+I36+((N36+P36)/2))/4</f>
        <v>7.625</v>
      </c>
      <c r="U36" s="73"/>
      <c r="V36" s="73"/>
      <c r="W36" s="73"/>
      <c r="X36" s="2"/>
      <c r="Y36" s="2"/>
      <c r="Z36" s="97"/>
      <c r="AA36" s="99">
        <v>59</v>
      </c>
      <c r="AB36" s="99">
        <v>4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20.100000000000001" customHeight="1">
      <c r="A37" s="41">
        <v>2</v>
      </c>
      <c r="B37">
        <v>20210</v>
      </c>
      <c r="C37" t="s">
        <v>62</v>
      </c>
      <c r="D37" s="42">
        <v>85</v>
      </c>
      <c r="E37" s="43">
        <f ca="1">IF(D37="","",VLOOKUP(D37,INDIRECT($D$2&amp;6),2,TRUE))</f>
        <v>2</v>
      </c>
      <c r="F37" s="42">
        <v>84</v>
      </c>
      <c r="G37" s="43">
        <f ca="1">IF(F37="","",VLOOKUP(F37,INDIRECT($F$2&amp;6),2,TRUE))</f>
        <v>1</v>
      </c>
      <c r="H37" s="42">
        <v>76</v>
      </c>
      <c r="I37" s="43">
        <f ca="1">IF(H37="","",VLOOKUP(H37,INDIRECT($H$2&amp;6),2,TRUE))</f>
        <v>3</v>
      </c>
      <c r="J37" s="44">
        <f ca="1">(E37+G37+I37)/3</f>
        <v>2</v>
      </c>
      <c r="K37" s="45">
        <v>39</v>
      </c>
      <c r="L37" s="43">
        <f ca="1">IF(K37="","",VLOOKUP(K37,INDIRECT($K$2&amp;6),2,TRUE))</f>
        <v>2</v>
      </c>
      <c r="M37" s="42">
        <v>40</v>
      </c>
      <c r="N37" s="43">
        <f ca="1">IF(M37="","",VLOOKUP(M37,INDIRECT($M$2&amp;6),2,TRUE))</f>
        <v>2</v>
      </c>
      <c r="O37" s="42">
        <v>43</v>
      </c>
      <c r="P37" s="43">
        <f ca="1">IF(O37="","",VLOOKUP(O37,INDIRECT($O$2&amp;6),2,TRUE))</f>
        <v>1</v>
      </c>
      <c r="Q37" s="46">
        <f>D37+F37+H37+K37+M37+O37</f>
        <v>367</v>
      </c>
      <c r="R37" s="47">
        <f>RANK(Q37,$Q$4:$Q$260,0)</f>
        <v>14</v>
      </c>
      <c r="S37" s="48">
        <f ca="1">(E37+G37+I37+((N37+P37)/2))/4</f>
        <v>1.875</v>
      </c>
      <c r="U37" s="73"/>
      <c r="V37" s="73"/>
      <c r="W37" s="73"/>
      <c r="X37" s="2"/>
      <c r="Y37" s="2"/>
      <c r="Z37" s="97"/>
      <c r="AA37" s="99">
        <v>71</v>
      </c>
      <c r="AB37" s="99">
        <v>3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20.100000000000001" customHeight="1">
      <c r="A38" s="41">
        <v>2</v>
      </c>
      <c r="B38">
        <v>20211</v>
      </c>
      <c r="C38" t="s">
        <v>63</v>
      </c>
      <c r="D38" s="42">
        <v>78</v>
      </c>
      <c r="E38" s="43">
        <f ca="1">IF(D38="","",VLOOKUP(D38,INDIRECT($D$2&amp;6),2,TRUE))</f>
        <v>3</v>
      </c>
      <c r="F38" s="42">
        <v>37</v>
      </c>
      <c r="G38" s="43">
        <f ca="1">IF(F38="","",VLOOKUP(F38,INDIRECT($F$2&amp;6),2,TRUE))</f>
        <v>5</v>
      </c>
      <c r="H38" s="42">
        <v>83</v>
      </c>
      <c r="I38" s="43">
        <f ca="1">IF(H38="","",VLOOKUP(H38,INDIRECT($H$2&amp;6),2,TRUE))</f>
        <v>2</v>
      </c>
      <c r="J38" s="44">
        <f ca="1">(E38+G38+I38)/3</f>
        <v>3.3333333333333335</v>
      </c>
      <c r="K38" s="45">
        <v>50</v>
      </c>
      <c r="L38" s="43">
        <f ca="1">IF(K38="","",VLOOKUP(K38,INDIRECT($K$2&amp;6),2,TRUE))</f>
        <v>1</v>
      </c>
      <c r="M38" s="42">
        <v>45.5</v>
      </c>
      <c r="N38" s="43">
        <f ca="1">IF(M38="","",VLOOKUP(M38,INDIRECT($M$2&amp;6),2,TRUE))</f>
        <v>1</v>
      </c>
      <c r="O38" s="42">
        <v>15</v>
      </c>
      <c r="P38" s="43">
        <f ca="1">IF(O38="","",VLOOKUP(O38,INDIRECT($O$2&amp;6),2,TRUE))</f>
        <v>6</v>
      </c>
      <c r="Q38" s="46">
        <f>D38+F38+H38+K38+M38+O38</f>
        <v>308.5</v>
      </c>
      <c r="R38" s="47">
        <f>RANK(Q38,$Q$4:$Q$260,0)</f>
        <v>58</v>
      </c>
      <c r="S38" s="48">
        <f ca="1">(E38+G38+I38+((N38+P38)/2))/4</f>
        <v>3.375</v>
      </c>
      <c r="U38" s="73"/>
      <c r="V38" s="73"/>
      <c r="W38" s="73"/>
      <c r="X38" s="2"/>
      <c r="Y38" s="2"/>
      <c r="Z38" s="97"/>
      <c r="AA38" s="99">
        <v>82</v>
      </c>
      <c r="AB38" s="99">
        <v>2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20.100000000000001" customHeight="1" thickBot="1">
      <c r="A39" s="41">
        <v>2</v>
      </c>
      <c r="B39">
        <v>20212</v>
      </c>
      <c r="C39" t="s">
        <v>64</v>
      </c>
      <c r="D39" s="42">
        <v>57</v>
      </c>
      <c r="E39" s="43">
        <f ca="1">IF(D39="","",VLOOKUP(D39,INDIRECT($D$2&amp;6),2,TRUE))</f>
        <v>5</v>
      </c>
      <c r="F39" s="42">
        <v>42</v>
      </c>
      <c r="G39" s="43">
        <f ca="1">IF(F39="","",VLOOKUP(F39,INDIRECT($F$2&amp;6),2,TRUE))</f>
        <v>5</v>
      </c>
      <c r="H39" s="42">
        <v>56</v>
      </c>
      <c r="I39" s="43">
        <f ca="1">IF(H39="","",VLOOKUP(H39,INDIRECT($H$2&amp;6),2,TRUE))</f>
        <v>5</v>
      </c>
      <c r="J39" s="44">
        <f ca="1">(E39+G39+I39)/3</f>
        <v>5</v>
      </c>
      <c r="K39" s="45">
        <v>26</v>
      </c>
      <c r="L39" s="43">
        <f ca="1">IF(K39="","",VLOOKUP(K39,INDIRECT($K$2&amp;6),2,TRUE))</f>
        <v>4</v>
      </c>
      <c r="M39" s="42">
        <v>28</v>
      </c>
      <c r="N39" s="43">
        <f ca="1">IF(M39="","",VLOOKUP(M39,INDIRECT($M$2&amp;6),2,TRUE))</f>
        <v>4</v>
      </c>
      <c r="O39" s="42">
        <v>8.5</v>
      </c>
      <c r="P39" s="43">
        <f ca="1">IF(O39="","",VLOOKUP(O39,INDIRECT($O$2&amp;6),2,TRUE))</f>
        <v>8</v>
      </c>
      <c r="Q39" s="46">
        <f>D39+F39+H39+K39+M39+O39</f>
        <v>217.5</v>
      </c>
      <c r="R39" s="47">
        <f>RANK(Q39,$Q$4:$Q$260,0)</f>
        <v>138</v>
      </c>
      <c r="S39" s="48">
        <f ca="1">(E39+G39+I39+((N39+P39)/2))/4</f>
        <v>5.25</v>
      </c>
      <c r="U39" s="73"/>
      <c r="V39" s="73"/>
      <c r="W39" s="73"/>
      <c r="X39" s="2"/>
      <c r="Y39" s="2"/>
      <c r="Z39" s="100"/>
      <c r="AA39" s="101">
        <v>89</v>
      </c>
      <c r="AB39" s="101">
        <v>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20.100000000000001" customHeight="1">
      <c r="A40" s="41">
        <v>2</v>
      </c>
      <c r="B40">
        <v>20213</v>
      </c>
      <c r="C40" t="s">
        <v>65</v>
      </c>
      <c r="D40" s="42">
        <v>30</v>
      </c>
      <c r="E40" s="43">
        <f ca="1">IF(D40="","",VLOOKUP(D40,INDIRECT($D$2&amp;6),2,TRUE))</f>
        <v>7</v>
      </c>
      <c r="F40" s="42">
        <v>50</v>
      </c>
      <c r="G40" s="43">
        <f ca="1">IF(F40="","",VLOOKUP(F40,INDIRECT($F$2&amp;6),2,TRUE))</f>
        <v>4</v>
      </c>
      <c r="H40" s="42">
        <v>31</v>
      </c>
      <c r="I40" s="43">
        <f ca="1">IF(H40="","",VLOOKUP(H40,INDIRECT($H$2&amp;6),2,TRUE))</f>
        <v>7</v>
      </c>
      <c r="J40" s="44">
        <f ca="1">(E40+G40+I40)/3</f>
        <v>6</v>
      </c>
      <c r="K40" s="45">
        <v>24</v>
      </c>
      <c r="L40" s="43">
        <f ca="1">IF(K40="","",VLOOKUP(K40,INDIRECT($K$2&amp;6),2,TRUE))</f>
        <v>5</v>
      </c>
      <c r="M40" s="42">
        <v>9</v>
      </c>
      <c r="N40" s="43">
        <f ca="1">IF(M40="","",VLOOKUP(M40,INDIRECT($M$2&amp;6),2,TRUE))</f>
        <v>7</v>
      </c>
      <c r="O40" s="42">
        <v>24</v>
      </c>
      <c r="P40" s="43">
        <f ca="1">IF(O40="","",VLOOKUP(O40,INDIRECT($O$2&amp;6),2,TRUE))</f>
        <v>4</v>
      </c>
      <c r="Q40" s="46">
        <f>D40+F40+H40+K40+M40+O40</f>
        <v>168</v>
      </c>
      <c r="R40" s="47">
        <f>RANK(Q40,$Q$4:$Q$260,0)</f>
        <v>190</v>
      </c>
      <c r="S40" s="48">
        <f ca="1">(E40+G40+I40+((N40+P40)/2))/4</f>
        <v>5.875</v>
      </c>
      <c r="U40" s="73"/>
      <c r="V40" s="73"/>
      <c r="W40" s="73"/>
      <c r="X40" s="2"/>
      <c r="Y40" s="2"/>
      <c r="Z40" s="95" t="s">
        <v>66</v>
      </c>
      <c r="AA40" s="96">
        <v>0</v>
      </c>
      <c r="AB40" s="96">
        <v>9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20.100000000000001" customHeight="1">
      <c r="A41" s="41">
        <v>2</v>
      </c>
      <c r="B41">
        <v>20214</v>
      </c>
      <c r="C41" t="s">
        <v>67</v>
      </c>
      <c r="D41" s="42">
        <v>55</v>
      </c>
      <c r="E41" s="43">
        <f ca="1">IF(D41="","",VLOOKUP(D41,INDIRECT($D$2&amp;6),2,TRUE))</f>
        <v>5</v>
      </c>
      <c r="F41" s="42">
        <v>62</v>
      </c>
      <c r="G41" s="43">
        <f ca="1">IF(F41="","",VLOOKUP(F41,INDIRECT($F$2&amp;6),2,TRUE))</f>
        <v>3</v>
      </c>
      <c r="H41" s="42">
        <v>53</v>
      </c>
      <c r="I41" s="43">
        <f ca="1">IF(H41="","",VLOOKUP(H41,INDIRECT($H$2&amp;6),2,TRUE))</f>
        <v>5</v>
      </c>
      <c r="J41" s="44">
        <f ca="1">(E41+G41+I41)/3</f>
        <v>4.333333333333333</v>
      </c>
      <c r="K41" s="45">
        <v>33</v>
      </c>
      <c r="L41" s="43">
        <f ca="1">IF(K41="","",VLOOKUP(K41,INDIRECT($K$2&amp;6),2,TRUE))</f>
        <v>3</v>
      </c>
      <c r="M41" s="42">
        <v>7</v>
      </c>
      <c r="N41" s="43">
        <f ca="1">IF(M41="","",VLOOKUP(M41,INDIRECT($M$2&amp;6),2,TRUE))</f>
        <v>8</v>
      </c>
      <c r="O41" s="42">
        <v>23.5</v>
      </c>
      <c r="P41" s="43">
        <f ca="1">IF(O41="","",VLOOKUP(O41,INDIRECT($O$2&amp;6),2,TRUE))</f>
        <v>4</v>
      </c>
      <c r="Q41" s="46">
        <f>D41+F41+H41+K41+M41+O41</f>
        <v>233.5</v>
      </c>
      <c r="R41" s="47">
        <f>RANK(Q41,$Q$4:$Q$260,0)</f>
        <v>120</v>
      </c>
      <c r="S41" s="48">
        <f ca="1">(E41+G41+I41+((N41+P41)/2))/4</f>
        <v>4.75</v>
      </c>
      <c r="U41" s="73"/>
      <c r="V41" s="73"/>
      <c r="W41" s="73"/>
      <c r="X41" s="2"/>
      <c r="Y41" s="2"/>
      <c r="Z41" s="97"/>
      <c r="AA41" s="98">
        <v>9</v>
      </c>
      <c r="AB41" s="98">
        <v>8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20.100000000000001" customHeight="1">
      <c r="A42" s="41">
        <v>2</v>
      </c>
      <c r="B42">
        <v>20215</v>
      </c>
      <c r="C42" t="s">
        <v>68</v>
      </c>
      <c r="D42" s="42">
        <v>43</v>
      </c>
      <c r="E42" s="43">
        <f ca="1">IF(D42="","",VLOOKUP(D42,INDIRECT($D$2&amp;6),2,TRUE))</f>
        <v>6</v>
      </c>
      <c r="F42" s="42">
        <v>37</v>
      </c>
      <c r="G42" s="43">
        <f ca="1">IF(F42="","",VLOOKUP(F42,INDIRECT($F$2&amp;6),2,TRUE))</f>
        <v>5</v>
      </c>
      <c r="H42" s="42">
        <v>53</v>
      </c>
      <c r="I42" s="43">
        <f ca="1">IF(H42="","",VLOOKUP(H42,INDIRECT($H$2&amp;6),2,TRUE))</f>
        <v>5</v>
      </c>
      <c r="J42" s="44">
        <f ca="1">(E42+G42+I42)/3</f>
        <v>5.333333333333333</v>
      </c>
      <c r="K42" s="45">
        <v>37</v>
      </c>
      <c r="L42" s="43">
        <f ca="1">IF(K42="","",VLOOKUP(K42,INDIRECT($K$2&amp;6),2,TRUE))</f>
        <v>2</v>
      </c>
      <c r="M42" s="42">
        <v>16</v>
      </c>
      <c r="N42" s="43">
        <f ca="1">IF(M42="","",VLOOKUP(M42,INDIRECT($M$2&amp;6),2,TRUE))</f>
        <v>6</v>
      </c>
      <c r="O42" s="42">
        <v>22</v>
      </c>
      <c r="P42" s="43">
        <f ca="1">IF(O42="","",VLOOKUP(O42,INDIRECT($O$2&amp;6),2,TRUE))</f>
        <v>4</v>
      </c>
      <c r="Q42" s="46">
        <f>D42+F42+H42+K42+M42+O42</f>
        <v>208</v>
      </c>
      <c r="R42" s="47">
        <f>RANK(Q42,$Q$4:$Q$260,0)</f>
        <v>151</v>
      </c>
      <c r="S42" s="48">
        <f ca="1">(E42+G42+I42+((N42+P42)/2))/4</f>
        <v>5.25</v>
      </c>
      <c r="U42" s="73"/>
      <c r="V42" s="73"/>
      <c r="W42" s="73"/>
      <c r="X42" s="2"/>
      <c r="Y42" s="2"/>
      <c r="Z42" s="97"/>
      <c r="AA42" s="99">
        <v>13</v>
      </c>
      <c r="AB42" s="99">
        <v>7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20.100000000000001" customHeight="1">
      <c r="A43" s="41">
        <v>2</v>
      </c>
      <c r="B43">
        <v>20216</v>
      </c>
      <c r="C43" t="s">
        <v>69</v>
      </c>
      <c r="D43" s="42">
        <v>90</v>
      </c>
      <c r="E43" s="43">
        <f ca="1">IF(D43="","",VLOOKUP(D43,INDIRECT($D$2&amp;6),2,TRUE))</f>
        <v>1</v>
      </c>
      <c r="F43" s="42">
        <v>72</v>
      </c>
      <c r="G43" s="43">
        <f ca="1">IF(F43="","",VLOOKUP(F43,INDIRECT($F$2&amp;6),2,TRUE))</f>
        <v>3</v>
      </c>
      <c r="H43" s="42">
        <v>97</v>
      </c>
      <c r="I43" s="43">
        <f ca="1">IF(H43="","",VLOOKUP(H43,INDIRECT($H$2&amp;6),2,TRUE))</f>
        <v>1</v>
      </c>
      <c r="J43" s="44">
        <f ca="1">(E43+G43+I43)/3</f>
        <v>1.6666666666666667</v>
      </c>
      <c r="K43" s="45">
        <v>34</v>
      </c>
      <c r="L43" s="43">
        <f ca="1">IF(K43="","",VLOOKUP(K43,INDIRECT($K$2&amp;6),2,TRUE))</f>
        <v>3</v>
      </c>
      <c r="M43" s="42">
        <v>41</v>
      </c>
      <c r="N43" s="43">
        <f ca="1">IF(M43="","",VLOOKUP(M43,INDIRECT($M$2&amp;6),2,TRUE))</f>
        <v>2</v>
      </c>
      <c r="O43" s="42">
        <v>39.5</v>
      </c>
      <c r="P43" s="43">
        <f ca="1">IF(O43="","",VLOOKUP(O43,INDIRECT($O$2&amp;6),2,TRUE))</f>
        <v>2</v>
      </c>
      <c r="Q43" s="46">
        <f>D43+F43+H43+K43+M43+O43</f>
        <v>373.5</v>
      </c>
      <c r="R43" s="47">
        <f>RANK(Q43,$Q$4:$Q$260,0)</f>
        <v>10</v>
      </c>
      <c r="S43" s="48">
        <f ca="1">(E43+G43+I43+((N43+P43)/2))/4</f>
        <v>1.75</v>
      </c>
      <c r="U43" s="73"/>
      <c r="V43" s="73"/>
      <c r="W43" s="73"/>
      <c r="X43" s="2"/>
      <c r="Y43" s="2"/>
      <c r="Z43" s="97"/>
      <c r="AA43" s="99">
        <v>17</v>
      </c>
      <c r="AB43" s="99">
        <v>6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20.100000000000001" customHeight="1">
      <c r="A44" s="41">
        <v>2</v>
      </c>
      <c r="B44">
        <v>20217</v>
      </c>
      <c r="C44" t="s">
        <v>70</v>
      </c>
      <c r="D44" s="42">
        <v>58</v>
      </c>
      <c r="E44" s="43">
        <f ca="1">IF(D44="","",VLOOKUP(D44,INDIRECT($D$2&amp;6),2,TRUE))</f>
        <v>5</v>
      </c>
      <c r="F44" s="42">
        <v>27</v>
      </c>
      <c r="G44" s="43">
        <f ca="1">IF(F44="","",VLOOKUP(F44,INDIRECT($F$2&amp;6),2,TRUE))</f>
        <v>6</v>
      </c>
      <c r="H44" s="42">
        <v>39</v>
      </c>
      <c r="I44" s="43">
        <f ca="1">IF(H44="","",VLOOKUP(H44,INDIRECT($H$2&amp;6),2,TRUE))</f>
        <v>7</v>
      </c>
      <c r="J44" s="44">
        <f ca="1">(E44+G44+I44)/3</f>
        <v>6</v>
      </c>
      <c r="K44" s="45">
        <v>28</v>
      </c>
      <c r="L44" s="43">
        <f ca="1">IF(K44="","",VLOOKUP(K44,INDIRECT($K$2&amp;6),2,TRUE))</f>
        <v>4</v>
      </c>
      <c r="M44" s="42">
        <v>29.5</v>
      </c>
      <c r="N44" s="43">
        <f ca="1">IF(M44="","",VLOOKUP(M44,INDIRECT($M$2&amp;6),2,TRUE))</f>
        <v>4</v>
      </c>
      <c r="O44" s="42">
        <v>22.5</v>
      </c>
      <c r="P44" s="43">
        <f ca="1">IF(O44="","",VLOOKUP(O44,INDIRECT($O$2&amp;6),2,TRUE))</f>
        <v>4</v>
      </c>
      <c r="Q44" s="46">
        <f>D44+F44+H44+K44+M44+O44</f>
        <v>204</v>
      </c>
      <c r="R44" s="47">
        <f>RANK(Q44,$Q$4:$Q$260,0)</f>
        <v>154</v>
      </c>
      <c r="S44" s="48">
        <f ca="1">(E44+G44+I44+((N44+P44)/2))/4</f>
        <v>5.5</v>
      </c>
      <c r="U44" s="73"/>
      <c r="V44" s="73"/>
      <c r="W44" s="73"/>
      <c r="X44" s="2"/>
      <c r="Y44" s="2"/>
      <c r="Z44" s="97"/>
      <c r="AA44" s="99">
        <v>28</v>
      </c>
      <c r="AB44" s="99">
        <v>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20.100000000000001" customHeight="1">
      <c r="A45" s="41">
        <v>2</v>
      </c>
      <c r="B45">
        <v>20218</v>
      </c>
      <c r="C45" t="s">
        <v>71</v>
      </c>
      <c r="D45" s="42">
        <v>81</v>
      </c>
      <c r="E45" s="43">
        <f ca="1">IF(D45="","",VLOOKUP(D45,INDIRECT($D$2&amp;6),2,TRUE))</f>
        <v>3</v>
      </c>
      <c r="F45" s="42">
        <v>57</v>
      </c>
      <c r="G45" s="43">
        <f ca="1">IF(F45="","",VLOOKUP(F45,INDIRECT($F$2&amp;6),2,TRUE))</f>
        <v>4</v>
      </c>
      <c r="H45" s="42">
        <v>78</v>
      </c>
      <c r="I45" s="43">
        <f ca="1">IF(H45="","",VLOOKUP(H45,INDIRECT($H$2&amp;6),2,TRUE))</f>
        <v>3</v>
      </c>
      <c r="J45" s="44">
        <f ca="1">(E45+G45+I45)/3</f>
        <v>3.3333333333333335</v>
      </c>
      <c r="K45" s="45">
        <v>39</v>
      </c>
      <c r="L45" s="43">
        <f ca="1">IF(K45="","",VLOOKUP(K45,INDIRECT($K$2&amp;6),2,TRUE))</f>
        <v>2</v>
      </c>
      <c r="M45" s="42">
        <v>35</v>
      </c>
      <c r="N45" s="43">
        <f ca="1">IF(M45="","",VLOOKUP(M45,INDIRECT($M$2&amp;6),2,TRUE))</f>
        <v>3</v>
      </c>
      <c r="O45" s="42">
        <v>22.5</v>
      </c>
      <c r="P45" s="43">
        <f ca="1">IF(O45="","",VLOOKUP(O45,INDIRECT($O$2&amp;6),2,TRUE))</f>
        <v>4</v>
      </c>
      <c r="Q45" s="46">
        <f>D45+F45+H45+K45+M45+O45</f>
        <v>312.5</v>
      </c>
      <c r="R45" s="47">
        <f>RANK(Q45,$Q$4:$Q$260,0)</f>
        <v>53</v>
      </c>
      <c r="S45" s="48">
        <f ca="1">(E45+G45+I45+((N45+P45)/2))/4</f>
        <v>3.375</v>
      </c>
      <c r="U45" s="73"/>
      <c r="V45" s="73"/>
      <c r="W45" s="73"/>
      <c r="X45" s="2"/>
      <c r="Y45" s="2"/>
      <c r="Z45" s="97"/>
      <c r="AA45" s="99">
        <v>45</v>
      </c>
      <c r="AB45" s="99">
        <v>4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20.100000000000001" customHeight="1">
      <c r="A46" s="41">
        <v>2</v>
      </c>
      <c r="B46">
        <v>20219</v>
      </c>
      <c r="C46" t="s">
        <v>72</v>
      </c>
      <c r="D46" s="42">
        <v>27</v>
      </c>
      <c r="E46" s="43">
        <f ca="1">IF(D46="","",VLOOKUP(D46,INDIRECT($D$2&amp;6),2,TRUE))</f>
        <v>7</v>
      </c>
      <c r="F46" s="42">
        <v>37</v>
      </c>
      <c r="G46" s="43">
        <f ca="1">IF(F46="","",VLOOKUP(F46,INDIRECT($F$2&amp;6),2,TRUE))</f>
        <v>5</v>
      </c>
      <c r="H46" s="42">
        <v>57</v>
      </c>
      <c r="I46" s="43">
        <f ca="1">IF(H46="","",VLOOKUP(H46,INDIRECT($H$2&amp;6),2,TRUE))</f>
        <v>5</v>
      </c>
      <c r="J46" s="44">
        <f ca="1">(E46+G46+I46)/3</f>
        <v>5.666666666666667</v>
      </c>
      <c r="K46" s="45">
        <v>31</v>
      </c>
      <c r="L46" s="43">
        <f ca="1">IF(K46="","",VLOOKUP(K46,INDIRECT($K$2&amp;6),2,TRUE))</f>
        <v>3</v>
      </c>
      <c r="M46" s="42">
        <v>28</v>
      </c>
      <c r="N46" s="43">
        <f ca="1">IF(M46="","",VLOOKUP(M46,INDIRECT($M$2&amp;6),2,TRUE))</f>
        <v>4</v>
      </c>
      <c r="O46" s="42">
        <v>23.5</v>
      </c>
      <c r="P46" s="43">
        <f ca="1">IF(O46="","",VLOOKUP(O46,INDIRECT($O$2&amp;6),2,TRUE))</f>
        <v>4</v>
      </c>
      <c r="Q46" s="46">
        <f>D46+F46+H46+K46+M46+O46</f>
        <v>203.5</v>
      </c>
      <c r="R46" s="47">
        <f>RANK(Q46,$Q$4:$Q$260,0)</f>
        <v>155</v>
      </c>
      <c r="S46" s="48">
        <f ca="1">(E46+G46+I46+((N46+P46)/2))/4</f>
        <v>5.25</v>
      </c>
      <c r="U46" s="73"/>
      <c r="V46" s="73"/>
      <c r="W46" s="73"/>
      <c r="X46" s="73"/>
      <c r="Y46" s="73"/>
      <c r="Z46" s="97"/>
      <c r="AA46" s="99">
        <v>62</v>
      </c>
      <c r="AB46" s="99">
        <v>3</v>
      </c>
      <c r="AC46" s="73"/>
      <c r="AD46" s="73"/>
      <c r="AE46" s="73"/>
      <c r="AF46" s="73"/>
      <c r="AG46" s="2"/>
      <c r="AH46" s="2"/>
      <c r="AI46" s="2"/>
      <c r="AJ46" s="2"/>
      <c r="AK46" s="2"/>
      <c r="AL46" s="2"/>
      <c r="AM46" s="2"/>
    </row>
    <row r="47" spans="1:39" ht="20.100000000000001" customHeight="1">
      <c r="A47" s="41">
        <v>2</v>
      </c>
      <c r="B47">
        <v>20220</v>
      </c>
      <c r="C47" t="s">
        <v>73</v>
      </c>
      <c r="D47" s="42">
        <v>68</v>
      </c>
      <c r="E47" s="43">
        <f ca="1">IF(D47="","",VLOOKUP(D47,INDIRECT($D$2&amp;6),2,TRUE))</f>
        <v>4</v>
      </c>
      <c r="F47" s="42">
        <v>61</v>
      </c>
      <c r="G47" s="43">
        <f ca="1">IF(F47="","",VLOOKUP(F47,INDIRECT($F$2&amp;6),2,TRUE))</f>
        <v>4</v>
      </c>
      <c r="H47" s="42">
        <v>67</v>
      </c>
      <c r="I47" s="43">
        <f ca="1">IF(H47="","",VLOOKUP(H47,INDIRECT($H$2&amp;6),2,TRUE))</f>
        <v>4</v>
      </c>
      <c r="J47" s="44">
        <f ca="1">(E47+G47+I47)/3</f>
        <v>4</v>
      </c>
      <c r="K47" s="45">
        <v>40</v>
      </c>
      <c r="L47" s="43">
        <f ca="1">IF(K47="","",VLOOKUP(K47,INDIRECT($K$2&amp;6),2,TRUE))</f>
        <v>1</v>
      </c>
      <c r="M47" s="42">
        <v>8.5</v>
      </c>
      <c r="N47" s="43">
        <f ca="1">IF(M47="","",VLOOKUP(M47,INDIRECT($M$2&amp;6),2,TRUE))</f>
        <v>8</v>
      </c>
      <c r="O47" s="42">
        <v>15</v>
      </c>
      <c r="P47" s="43">
        <f ca="1">IF(O47="","",VLOOKUP(O47,INDIRECT($O$2&amp;6),2,TRUE))</f>
        <v>6</v>
      </c>
      <c r="Q47" s="46">
        <f>D47+F47+H47+K47+M47+O47</f>
        <v>259.5</v>
      </c>
      <c r="R47" s="47">
        <f>RANK(Q47,$Q$4:$Q$260,0)</f>
        <v>96</v>
      </c>
      <c r="S47" s="48">
        <f ca="1">(E47+G47+I47+((N47+P47)/2))/4</f>
        <v>4.75</v>
      </c>
      <c r="U47" s="73"/>
      <c r="V47" s="73"/>
      <c r="W47" s="73"/>
      <c r="X47" s="73"/>
      <c r="Y47" s="73"/>
      <c r="Z47" s="97"/>
      <c r="AA47" s="99">
        <v>73</v>
      </c>
      <c r="AB47" s="99">
        <v>2</v>
      </c>
      <c r="AC47" s="73"/>
      <c r="AD47" s="73"/>
      <c r="AE47" s="73"/>
      <c r="AF47" s="73"/>
      <c r="AG47" s="2"/>
      <c r="AH47" s="2"/>
      <c r="AI47" s="2"/>
      <c r="AJ47" s="2"/>
      <c r="AK47" s="2"/>
      <c r="AL47" s="2"/>
      <c r="AM47" s="2"/>
    </row>
    <row r="48" spans="1:39" ht="20.100000000000001" customHeight="1" thickBot="1">
      <c r="A48" s="41">
        <v>2</v>
      </c>
      <c r="B48">
        <v>20221</v>
      </c>
      <c r="C48" t="s">
        <v>74</v>
      </c>
      <c r="D48" s="42">
        <v>17</v>
      </c>
      <c r="E48" s="43">
        <f ca="1">IF(D48="","",VLOOKUP(D48,INDIRECT($D$2&amp;6),2,TRUE))</f>
        <v>8</v>
      </c>
      <c r="F48" s="42">
        <v>16</v>
      </c>
      <c r="G48" s="43">
        <f ca="1">IF(F48="","",VLOOKUP(F48,INDIRECT($F$2&amp;6),2,TRUE))</f>
        <v>7</v>
      </c>
      <c r="H48" s="42">
        <v>64</v>
      </c>
      <c r="I48" s="43">
        <f ca="1">IF(H48="","",VLOOKUP(H48,INDIRECT($H$2&amp;6),2,TRUE))</f>
        <v>4</v>
      </c>
      <c r="J48" s="44">
        <f ca="1">(E48+G48+I48)/3</f>
        <v>6.333333333333333</v>
      </c>
      <c r="K48" s="45">
        <v>14</v>
      </c>
      <c r="L48" s="43">
        <f ca="1">IF(K48="","",VLOOKUP(K48,INDIRECT($K$2&amp;6),2,TRUE))</f>
        <v>7</v>
      </c>
      <c r="M48" s="42">
        <v>10</v>
      </c>
      <c r="N48" s="43">
        <f ca="1">IF(M48="","",VLOOKUP(M48,INDIRECT($M$2&amp;6),2,TRUE))</f>
        <v>7</v>
      </c>
      <c r="O48" s="42">
        <v>21.5</v>
      </c>
      <c r="P48" s="43">
        <f ca="1">IF(O48="","",VLOOKUP(O48,INDIRECT($O$2&amp;6),2,TRUE))</f>
        <v>4</v>
      </c>
      <c r="Q48" s="46">
        <f>D48+F48+H48+K48+M48+O48</f>
        <v>142.5</v>
      </c>
      <c r="R48" s="47">
        <f>RANK(Q48,$Q$4:$Q$260,0)</f>
        <v>212</v>
      </c>
      <c r="S48" s="48">
        <f ca="1">(E48+G48+I48+((N48+P48)/2))/4</f>
        <v>6.125</v>
      </c>
      <c r="U48" s="73"/>
      <c r="V48" s="73"/>
      <c r="W48" s="73"/>
      <c r="X48" s="73"/>
      <c r="Y48" s="73"/>
      <c r="Z48" s="100"/>
      <c r="AA48" s="101">
        <v>84</v>
      </c>
      <c r="AB48" s="101">
        <v>1</v>
      </c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</row>
    <row r="49" spans="1:39" ht="20.100000000000001" customHeight="1">
      <c r="A49" s="41">
        <v>2</v>
      </c>
      <c r="B49">
        <v>20222</v>
      </c>
      <c r="C49" t="s">
        <v>75</v>
      </c>
      <c r="D49" s="42">
        <v>81</v>
      </c>
      <c r="E49" s="43">
        <f ca="1">IF(D49="","",VLOOKUP(D49,INDIRECT($D$2&amp;6),2,TRUE))</f>
        <v>3</v>
      </c>
      <c r="F49" s="42">
        <v>88</v>
      </c>
      <c r="G49" s="43">
        <f ca="1">IF(F49="","",VLOOKUP(F49,INDIRECT($F$2&amp;6),2,TRUE))</f>
        <v>1</v>
      </c>
      <c r="H49" s="42">
        <v>86</v>
      </c>
      <c r="I49" s="43">
        <f ca="1">IF(H49="","",VLOOKUP(H49,INDIRECT($H$2&amp;6),2,TRUE))</f>
        <v>2</v>
      </c>
      <c r="J49" s="44">
        <f ca="1">(E49+G49+I49)/3</f>
        <v>2</v>
      </c>
      <c r="K49" s="45">
        <v>19</v>
      </c>
      <c r="L49" s="43">
        <f ca="1">IF(K49="","",VLOOKUP(K49,INDIRECT($K$2&amp;6),2,TRUE))</f>
        <v>6</v>
      </c>
      <c r="M49" s="42">
        <v>40</v>
      </c>
      <c r="N49" s="43">
        <f ca="1">IF(M49="","",VLOOKUP(M49,INDIRECT($M$2&amp;6),2,TRUE))</f>
        <v>2</v>
      </c>
      <c r="O49" s="42">
        <v>36</v>
      </c>
      <c r="P49" s="43">
        <f ca="1">IF(O49="","",VLOOKUP(O49,INDIRECT($O$2&amp;6),2,TRUE))</f>
        <v>2</v>
      </c>
      <c r="Q49" s="46">
        <f>D49+F49+H49+K49+M49+O49</f>
        <v>350</v>
      </c>
      <c r="R49" s="47">
        <f>RANK(Q49,$Q$4:$Q$260,0)</f>
        <v>26</v>
      </c>
      <c r="S49" s="48">
        <f ca="1">(E49+G49+I49+((N49+P49)/2))/4</f>
        <v>2</v>
      </c>
      <c r="U49" s="73"/>
      <c r="V49" s="73"/>
      <c r="W49" s="73"/>
      <c r="X49" s="73"/>
      <c r="Y49" s="73"/>
      <c r="Z49" s="95" t="s">
        <v>76</v>
      </c>
      <c r="AA49" s="96">
        <v>0</v>
      </c>
      <c r="AB49" s="96">
        <v>9</v>
      </c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</row>
    <row r="50" spans="1:39" ht="20.100000000000001" customHeight="1">
      <c r="A50" s="41">
        <v>2</v>
      </c>
      <c r="B50">
        <v>20223</v>
      </c>
      <c r="C50" t="s">
        <v>77</v>
      </c>
      <c r="D50" s="42">
        <v>30</v>
      </c>
      <c r="E50" s="43">
        <f ca="1">IF(D50="","",VLOOKUP(D50,INDIRECT($D$2&amp;6),2,TRUE))</f>
        <v>7</v>
      </c>
      <c r="F50" s="42">
        <v>13</v>
      </c>
      <c r="G50" s="43">
        <f ca="1">IF(F50="","",VLOOKUP(F50,INDIRECT($F$2&amp;6),2,TRUE))</f>
        <v>7</v>
      </c>
      <c r="H50" s="42">
        <v>45</v>
      </c>
      <c r="I50" s="43">
        <f ca="1">IF(H50="","",VLOOKUP(H50,INDIRECT($H$2&amp;6),2,TRUE))</f>
        <v>6</v>
      </c>
      <c r="J50" s="44">
        <f ca="1">(E50+G50+I50)/3</f>
        <v>6.666666666666667</v>
      </c>
      <c r="K50" s="45">
        <v>9</v>
      </c>
      <c r="L50" s="43">
        <f ca="1">IF(K50="","",VLOOKUP(K50,INDIRECT($K$2&amp;6),2,TRUE))</f>
        <v>8</v>
      </c>
      <c r="M50" s="42">
        <v>10.5</v>
      </c>
      <c r="N50" s="43">
        <f ca="1">IF(M50="","",VLOOKUP(M50,INDIRECT($M$2&amp;6),2,TRUE))</f>
        <v>7</v>
      </c>
      <c r="O50" s="42">
        <v>14.5</v>
      </c>
      <c r="P50" s="43">
        <f ca="1">IF(O50="","",VLOOKUP(O50,INDIRECT($O$2&amp;6),2,TRUE))</f>
        <v>6</v>
      </c>
      <c r="Q50" s="46">
        <f>D50+F50+H50+K50+M50+O50</f>
        <v>122</v>
      </c>
      <c r="R50" s="47">
        <f>RANK(Q50,$Q$4:$Q$260,0)</f>
        <v>225</v>
      </c>
      <c r="S50" s="48">
        <f ca="1">(E50+G50+I50+((N50+P50)/2))/4</f>
        <v>6.625</v>
      </c>
      <c r="U50" s="73"/>
      <c r="V50" s="73"/>
      <c r="W50" s="73"/>
      <c r="X50" s="73"/>
      <c r="Y50" s="73"/>
      <c r="Z50" s="97"/>
      <c r="AA50" s="98">
        <v>20</v>
      </c>
      <c r="AB50" s="98">
        <v>8</v>
      </c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</row>
    <row r="51" spans="1:39" ht="20.100000000000001" customHeight="1">
      <c r="A51" s="41">
        <v>2</v>
      </c>
      <c r="B51">
        <v>20224</v>
      </c>
      <c r="C51" t="s">
        <v>78</v>
      </c>
      <c r="D51" s="42">
        <v>35</v>
      </c>
      <c r="E51" s="43">
        <f ca="1">IF(D51="","",VLOOKUP(D51,INDIRECT($D$2&amp;6),2,TRUE))</f>
        <v>6</v>
      </c>
      <c r="F51" s="42">
        <v>17</v>
      </c>
      <c r="G51" s="43">
        <f ca="1">IF(F51="","",VLOOKUP(F51,INDIRECT($F$2&amp;6),2,TRUE))</f>
        <v>6</v>
      </c>
      <c r="H51" s="42">
        <v>33</v>
      </c>
      <c r="I51" s="43">
        <f ca="1">IF(H51="","",VLOOKUP(H51,INDIRECT($H$2&amp;6),2,TRUE))</f>
        <v>7</v>
      </c>
      <c r="J51" s="44">
        <f ca="1">(E51+G51+I51)/3</f>
        <v>6.333333333333333</v>
      </c>
      <c r="K51" s="45">
        <v>14</v>
      </c>
      <c r="L51" s="43">
        <f ca="1">IF(K51="","",VLOOKUP(K51,INDIRECT($K$2&amp;6),2,TRUE))</f>
        <v>7</v>
      </c>
      <c r="M51" s="42">
        <v>3.5</v>
      </c>
      <c r="N51" s="43">
        <f ca="1">IF(M51="","",VLOOKUP(M51,INDIRECT($M$2&amp;6),2,TRUE))</f>
        <v>9</v>
      </c>
      <c r="O51" s="42">
        <v>12.5</v>
      </c>
      <c r="P51" s="43">
        <f ca="1">IF(O51="","",VLOOKUP(O51,INDIRECT($O$2&amp;6),2,TRUE))</f>
        <v>6</v>
      </c>
      <c r="Q51" s="46">
        <f>D51+F51+H51+K51+M51+O51</f>
        <v>115</v>
      </c>
      <c r="R51" s="47">
        <f>RANK(Q51,$Q$4:$Q$260,0)</f>
        <v>228</v>
      </c>
      <c r="S51" s="48">
        <f ca="1">(E51+G51+I51+((N51+P51)/2))/4</f>
        <v>6.625</v>
      </c>
      <c r="U51" s="73"/>
      <c r="V51" s="73"/>
      <c r="W51" s="73"/>
      <c r="X51" s="73"/>
      <c r="Y51" s="73"/>
      <c r="Z51" s="97"/>
      <c r="AA51" s="99">
        <v>30</v>
      </c>
      <c r="AB51" s="99">
        <v>7</v>
      </c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</row>
    <row r="52" spans="1:39" ht="20.100000000000001" customHeight="1">
      <c r="A52" s="41">
        <v>2</v>
      </c>
      <c r="B52">
        <v>20225</v>
      </c>
      <c r="C52" t="s">
        <v>79</v>
      </c>
      <c r="D52" s="42">
        <v>43</v>
      </c>
      <c r="E52" s="43">
        <f ca="1">IF(D52="","",VLOOKUP(D52,INDIRECT($D$2&amp;6),2,TRUE))</f>
        <v>6</v>
      </c>
      <c r="F52" s="42">
        <v>13</v>
      </c>
      <c r="G52" s="43">
        <f ca="1">IF(F52="","",VLOOKUP(F52,INDIRECT($F$2&amp;6),2,TRUE))</f>
        <v>7</v>
      </c>
      <c r="H52" s="42">
        <v>68</v>
      </c>
      <c r="I52" s="43">
        <f ca="1">IF(H52="","",VLOOKUP(H52,INDIRECT($H$2&amp;6),2,TRUE))</f>
        <v>4</v>
      </c>
      <c r="J52" s="44">
        <f ca="1">(E52+G52+I52)/3</f>
        <v>5.666666666666667</v>
      </c>
      <c r="K52" s="45">
        <v>11</v>
      </c>
      <c r="L52" s="43">
        <f ca="1">IF(K52="","",VLOOKUP(K52,INDIRECT($K$2&amp;6),2,TRUE))</f>
        <v>7</v>
      </c>
      <c r="M52" s="42">
        <v>8.5</v>
      </c>
      <c r="N52" s="43">
        <f ca="1">IF(M52="","",VLOOKUP(M52,INDIRECT($M$2&amp;6),2,TRUE))</f>
        <v>8</v>
      </c>
      <c r="O52" s="42">
        <v>8.5</v>
      </c>
      <c r="P52" s="43">
        <f ca="1">IF(O52="","",VLOOKUP(O52,INDIRECT($O$2&amp;6),2,TRUE))</f>
        <v>8</v>
      </c>
      <c r="Q52" s="46">
        <f>D52+F52+H52+K52+M52+O52</f>
        <v>152</v>
      </c>
      <c r="R52" s="47">
        <f>RANK(Q52,$Q$4:$Q$260,0)</f>
        <v>206</v>
      </c>
      <c r="S52" s="48">
        <f ca="1">(E52+G52+I52+((N52+P52)/2))/4</f>
        <v>6.25</v>
      </c>
      <c r="U52" s="73"/>
      <c r="V52" s="73"/>
      <c r="W52" s="73"/>
      <c r="X52" s="73"/>
      <c r="Y52" s="73"/>
      <c r="Z52" s="97"/>
      <c r="AA52" s="99">
        <v>40</v>
      </c>
      <c r="AB52" s="99">
        <v>6</v>
      </c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</row>
    <row r="53" spans="1:39" ht="20.100000000000001" customHeight="1">
      <c r="A53" s="41">
        <v>3</v>
      </c>
      <c r="B53">
        <v>20226</v>
      </c>
      <c r="C53" t="s">
        <v>80</v>
      </c>
      <c r="D53" s="42">
        <v>25</v>
      </c>
      <c r="E53" s="43">
        <f ca="1">IF(D53="","",VLOOKUP(D53,INDIRECT($D$2&amp;6),2,TRUE))</f>
        <v>7</v>
      </c>
      <c r="F53" s="42">
        <v>9</v>
      </c>
      <c r="G53" s="43">
        <f ca="1">IF(F53="","",VLOOKUP(F53,INDIRECT($F$2&amp;6),2,TRUE))</f>
        <v>8</v>
      </c>
      <c r="H53" s="42">
        <v>25</v>
      </c>
      <c r="I53" s="43">
        <f ca="1">IF(H53="","",VLOOKUP(H53,INDIRECT($H$2&amp;6),2,TRUE))</f>
        <v>8</v>
      </c>
      <c r="J53" s="44">
        <f ca="1">(E53+G53+I53)/3</f>
        <v>7.666666666666667</v>
      </c>
      <c r="K53" s="45">
        <v>14</v>
      </c>
      <c r="L53" s="43">
        <f ca="1">IF(K53="","",VLOOKUP(K53,INDIRECT($K$2&amp;6),2,TRUE))</f>
        <v>7</v>
      </c>
      <c r="M53" s="42">
        <v>8.5</v>
      </c>
      <c r="N53" s="43">
        <f ca="1">IF(M53="","",VLOOKUP(M53,INDIRECT($M$2&amp;6),2,TRUE))</f>
        <v>8</v>
      </c>
      <c r="O53" s="42">
        <v>11</v>
      </c>
      <c r="P53" s="43">
        <f ca="1">IF(O53="","",VLOOKUP(O53,INDIRECT($O$2&amp;6),2,TRUE))</f>
        <v>7</v>
      </c>
      <c r="Q53" s="46">
        <f>D53+F53+H53+K53+M53+O53</f>
        <v>92.5</v>
      </c>
      <c r="R53" s="47">
        <f>RANK(Q53,$Q$4:$Q$260,0)</f>
        <v>242</v>
      </c>
      <c r="S53" s="48">
        <f ca="1">(E53+G53+I53+((N53+P53)/2))/4</f>
        <v>7.625</v>
      </c>
      <c r="U53" s="73"/>
      <c r="V53" s="73"/>
      <c r="W53" s="73"/>
      <c r="X53" s="73"/>
      <c r="Y53" s="73"/>
      <c r="Z53" s="97"/>
      <c r="AA53" s="99">
        <v>50</v>
      </c>
      <c r="AB53" s="99">
        <v>5</v>
      </c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</row>
    <row r="54" spans="1:39" ht="20.100000000000001" customHeight="1">
      <c r="A54" s="41">
        <v>3</v>
      </c>
      <c r="B54">
        <v>20301</v>
      </c>
      <c r="C54" t="s">
        <v>81</v>
      </c>
      <c r="D54" s="42">
        <v>78</v>
      </c>
      <c r="E54" s="43">
        <f ca="1">IF(D54="","",VLOOKUP(D54,INDIRECT($D$2&amp;6),2,TRUE))</f>
        <v>3</v>
      </c>
      <c r="F54" s="42">
        <v>72</v>
      </c>
      <c r="G54" s="43">
        <f ca="1">IF(F54="","",VLOOKUP(F54,INDIRECT($F$2&amp;6),2,TRUE))</f>
        <v>3</v>
      </c>
      <c r="H54" s="42">
        <v>95</v>
      </c>
      <c r="I54" s="43">
        <f ca="1">IF(H54="","",VLOOKUP(H54,INDIRECT($H$2&amp;6),2,TRUE))</f>
        <v>1</v>
      </c>
      <c r="J54" s="44">
        <f ca="1">(E54+G54+I54)/3</f>
        <v>2.3333333333333335</v>
      </c>
      <c r="K54" s="45">
        <v>24</v>
      </c>
      <c r="L54" s="43">
        <f ca="1">IF(K54="","",VLOOKUP(K54,INDIRECT($K$2&amp;6),2,TRUE))</f>
        <v>5</v>
      </c>
      <c r="M54" s="42">
        <v>24.5</v>
      </c>
      <c r="N54" s="43">
        <f ca="1">IF(M54="","",VLOOKUP(M54,INDIRECT($M$2&amp;6),2,TRUE))</f>
        <v>5</v>
      </c>
      <c r="O54" s="42">
        <v>40</v>
      </c>
      <c r="P54" s="43">
        <f ca="1">IF(O54="","",VLOOKUP(O54,INDIRECT($O$2&amp;6),2,TRUE))</f>
        <v>2</v>
      </c>
      <c r="Q54" s="46">
        <f>D54+F54+H54+K54+M54+O54</f>
        <v>333.5</v>
      </c>
      <c r="R54" s="47">
        <f>RANK(Q54,$Q$4:$Q$260,0)</f>
        <v>37</v>
      </c>
      <c r="S54" s="48">
        <f ca="1">(E54+G54+I54+((N54+P54)/2))/4</f>
        <v>2.625</v>
      </c>
      <c r="U54" s="73"/>
      <c r="V54" s="73"/>
      <c r="W54" s="73"/>
      <c r="X54" s="73"/>
      <c r="Y54" s="73"/>
      <c r="Z54" s="97"/>
      <c r="AA54" s="99">
        <v>60</v>
      </c>
      <c r="AB54" s="99">
        <v>4</v>
      </c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</row>
    <row r="55" spans="1:39" ht="20.100000000000001" customHeight="1">
      <c r="A55" s="41">
        <v>3</v>
      </c>
      <c r="B55">
        <v>20302</v>
      </c>
      <c r="C55" t="s">
        <v>82</v>
      </c>
      <c r="D55" s="42">
        <v>41</v>
      </c>
      <c r="E55" s="43">
        <f ca="1">IF(D55="","",VLOOKUP(D55,INDIRECT($D$2&amp;6),2,TRUE))</f>
        <v>6</v>
      </c>
      <c r="F55" s="42">
        <v>45</v>
      </c>
      <c r="G55" s="43">
        <f ca="1">IF(F55="","",VLOOKUP(F55,INDIRECT($F$2&amp;6),2,TRUE))</f>
        <v>4</v>
      </c>
      <c r="H55" s="42">
        <v>33</v>
      </c>
      <c r="I55" s="43">
        <f ca="1">IF(H55="","",VLOOKUP(H55,INDIRECT($H$2&amp;6),2,TRUE))</f>
        <v>7</v>
      </c>
      <c r="J55" s="44">
        <f ca="1">(E55+G55+I55)/3</f>
        <v>5.666666666666667</v>
      </c>
      <c r="K55" s="45">
        <v>26</v>
      </c>
      <c r="L55" s="43">
        <f ca="1">IF(K55="","",VLOOKUP(K55,INDIRECT($K$2&amp;6),2,TRUE))</f>
        <v>4</v>
      </c>
      <c r="M55" s="42">
        <v>21.5</v>
      </c>
      <c r="N55" s="43">
        <f ca="1">IF(M55="","",VLOOKUP(M55,INDIRECT($M$2&amp;6),2,TRUE))</f>
        <v>5</v>
      </c>
      <c r="O55" s="42">
        <v>15.5</v>
      </c>
      <c r="P55" s="43">
        <f ca="1">IF(O55="","",VLOOKUP(O55,INDIRECT($O$2&amp;6),2,TRUE))</f>
        <v>5</v>
      </c>
      <c r="Q55" s="46">
        <f>D55+F55+H55+K55+M55+O55</f>
        <v>182</v>
      </c>
      <c r="R55" s="47">
        <f>RANK(Q55,$Q$4:$Q$260,0)</f>
        <v>178</v>
      </c>
      <c r="S55" s="48">
        <f ca="1">(E55+G55+I55+((N55+P55)/2))/4</f>
        <v>5.5</v>
      </c>
      <c r="U55" s="73"/>
      <c r="V55" s="73"/>
      <c r="W55" s="73"/>
      <c r="X55" s="73"/>
      <c r="Y55" s="73"/>
      <c r="Z55" s="97"/>
      <c r="AA55" s="99">
        <v>70</v>
      </c>
      <c r="AB55" s="99">
        <v>3</v>
      </c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</row>
    <row r="56" spans="1:39" ht="20.100000000000001" customHeight="1">
      <c r="A56" s="41">
        <v>3</v>
      </c>
      <c r="B56">
        <v>20303</v>
      </c>
      <c r="C56" t="s">
        <v>83</v>
      </c>
      <c r="D56" s="42">
        <v>48</v>
      </c>
      <c r="E56" s="43">
        <f ca="1">IF(D56="","",VLOOKUP(D56,INDIRECT($D$2&amp;6),2,TRUE))</f>
        <v>5</v>
      </c>
      <c r="F56" s="42">
        <v>26</v>
      </c>
      <c r="G56" s="43">
        <f ca="1">IF(F56="","",VLOOKUP(F56,INDIRECT($F$2&amp;6),2,TRUE))</f>
        <v>6</v>
      </c>
      <c r="H56" s="42">
        <v>61</v>
      </c>
      <c r="I56" s="43">
        <f ca="1">IF(H56="","",VLOOKUP(H56,INDIRECT($H$2&amp;6),2,TRUE))</f>
        <v>4</v>
      </c>
      <c r="J56" s="44">
        <f ca="1">(E56+G56+I56)/3</f>
        <v>5</v>
      </c>
      <c r="K56" s="45">
        <v>27</v>
      </c>
      <c r="L56" s="43">
        <f ca="1">IF(K56="","",VLOOKUP(K56,INDIRECT($K$2&amp;6),2,TRUE))</f>
        <v>4</v>
      </c>
      <c r="M56" s="42">
        <v>22.5</v>
      </c>
      <c r="N56" s="43">
        <f ca="1">IF(M56="","",VLOOKUP(M56,INDIRECT($M$2&amp;6),2,TRUE))</f>
        <v>5</v>
      </c>
      <c r="O56" s="42">
        <v>18</v>
      </c>
      <c r="P56" s="43">
        <f ca="1">IF(O56="","",VLOOKUP(O56,INDIRECT($O$2&amp;6),2,TRUE))</f>
        <v>5</v>
      </c>
      <c r="Q56" s="46">
        <f>D56+F56+H56+K56+M56+O56</f>
        <v>202.5</v>
      </c>
      <c r="R56" s="47">
        <f>RANK(Q56,$Q$4:$Q$260,0)</f>
        <v>156</v>
      </c>
      <c r="S56" s="48">
        <f ca="1">(E56+G56+I56+((N56+P56)/2))/4</f>
        <v>5</v>
      </c>
      <c r="U56" s="73"/>
      <c r="V56" s="73"/>
      <c r="W56" s="73"/>
      <c r="X56" s="73"/>
      <c r="Y56" s="73"/>
      <c r="Z56" s="97"/>
      <c r="AA56" s="99">
        <v>80</v>
      </c>
      <c r="AB56" s="99">
        <v>2</v>
      </c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</row>
    <row r="57" spans="1:39" ht="20.100000000000001" customHeight="1" thickBot="1">
      <c r="A57" s="41">
        <v>3</v>
      </c>
      <c r="B57">
        <v>20304</v>
      </c>
      <c r="C57" t="s">
        <v>52</v>
      </c>
      <c r="D57" s="42">
        <v>25</v>
      </c>
      <c r="E57" s="43">
        <f ca="1">IF(D57="","",VLOOKUP(D57,INDIRECT($D$2&amp;6),2,TRUE))</f>
        <v>7</v>
      </c>
      <c r="F57" s="42">
        <v>40</v>
      </c>
      <c r="G57" s="43">
        <f ca="1">IF(F57="","",VLOOKUP(F57,INDIRECT($F$2&amp;6),2,TRUE))</f>
        <v>5</v>
      </c>
      <c r="H57" s="42">
        <v>66</v>
      </c>
      <c r="I57" s="43">
        <f ca="1">IF(H57="","",VLOOKUP(H57,INDIRECT($H$2&amp;6),2,TRUE))</f>
        <v>4</v>
      </c>
      <c r="J57" s="44">
        <f ca="1">(E57+G57+I57)/3</f>
        <v>5.333333333333333</v>
      </c>
      <c r="K57" s="45">
        <v>22</v>
      </c>
      <c r="L57" s="43">
        <f ca="1">IF(K57="","",VLOOKUP(K57,INDIRECT($K$2&amp;6),2,TRUE))</f>
        <v>5</v>
      </c>
      <c r="M57" s="42">
        <v>23</v>
      </c>
      <c r="N57" s="43">
        <f ca="1">IF(M57="","",VLOOKUP(M57,INDIRECT($M$2&amp;6),2,TRUE))</f>
        <v>5</v>
      </c>
      <c r="O57" s="42">
        <v>19.5</v>
      </c>
      <c r="P57" s="43">
        <f ca="1">IF(O57="","",VLOOKUP(O57,INDIRECT($O$2&amp;6),2,TRUE))</f>
        <v>5</v>
      </c>
      <c r="Q57" s="46">
        <f>D57+F57+H57+K57+M57+O57</f>
        <v>195.5</v>
      </c>
      <c r="R57" s="47">
        <f>RANK(Q57,$Q$4:$Q$260,0)</f>
        <v>164</v>
      </c>
      <c r="S57" s="48">
        <f ca="1">(E57+G57+I57+((N57+P57)/2))/4</f>
        <v>5.25</v>
      </c>
      <c r="U57" s="73"/>
      <c r="V57" s="73"/>
      <c r="W57" s="73"/>
      <c r="X57" s="73"/>
      <c r="Y57" s="73"/>
      <c r="Z57" s="100"/>
      <c r="AA57" s="101">
        <v>90</v>
      </c>
      <c r="AB57" s="101">
        <v>1</v>
      </c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</row>
    <row r="58" spans="1:39" ht="20.100000000000001" customHeight="1">
      <c r="A58" s="41">
        <v>3</v>
      </c>
      <c r="B58">
        <v>20305</v>
      </c>
      <c r="C58" t="s">
        <v>84</v>
      </c>
      <c r="D58" s="42">
        <v>82</v>
      </c>
      <c r="E58" s="43">
        <f ca="1">IF(D58="","",VLOOKUP(D58,INDIRECT($D$2&amp;6),2,TRUE))</f>
        <v>2</v>
      </c>
      <c r="F58" s="42">
        <v>80</v>
      </c>
      <c r="G58" s="43">
        <f ca="1">IF(F58="","",VLOOKUP(F58,INDIRECT($F$2&amp;6),2,TRUE))</f>
        <v>2</v>
      </c>
      <c r="H58" s="42">
        <v>97</v>
      </c>
      <c r="I58" s="43">
        <f ca="1">IF(H58="","",VLOOKUP(H58,INDIRECT($H$2&amp;6),2,TRUE))</f>
        <v>1</v>
      </c>
      <c r="J58" s="44">
        <f ca="1">(E58+G58+I58)/3</f>
        <v>1.6666666666666667</v>
      </c>
      <c r="K58" s="45">
        <v>46</v>
      </c>
      <c r="L58" s="43">
        <f ca="1">IF(K58="","",VLOOKUP(K58,INDIRECT($K$2&amp;6),2,TRUE))</f>
        <v>1</v>
      </c>
      <c r="M58" s="42">
        <v>44</v>
      </c>
      <c r="N58" s="43">
        <f ca="1">IF(M58="","",VLOOKUP(M58,INDIRECT($M$2&amp;6),2,TRUE))</f>
        <v>1</v>
      </c>
      <c r="O58" s="42">
        <v>45.5</v>
      </c>
      <c r="P58" s="43">
        <f ca="1">IF(O58="","",VLOOKUP(O58,INDIRECT($O$2&amp;6),2,TRUE))</f>
        <v>1</v>
      </c>
      <c r="Q58" s="46">
        <f>D58+F58+H58+K58+M58+O58</f>
        <v>394.5</v>
      </c>
      <c r="R58" s="47">
        <f>RANK(Q58,$Q$4:$Q$260,0)</f>
        <v>3</v>
      </c>
      <c r="S58" s="48">
        <f ca="1">(E58+G58+I58+((N58+P58)/2))/4</f>
        <v>1.5</v>
      </c>
      <c r="U58" s="73"/>
      <c r="V58" s="73"/>
      <c r="W58" s="73"/>
      <c r="X58" s="73"/>
      <c r="Y58" s="73"/>
      <c r="Z58" s="95" t="s">
        <v>85</v>
      </c>
      <c r="AA58" s="96">
        <v>0</v>
      </c>
      <c r="AB58" s="96">
        <v>9</v>
      </c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</row>
    <row r="59" spans="1:39" ht="20.100000000000001" customHeight="1">
      <c r="A59" s="41">
        <v>3</v>
      </c>
      <c r="B59">
        <v>20306</v>
      </c>
      <c r="C59" t="s">
        <v>86</v>
      </c>
      <c r="D59" s="42">
        <v>64</v>
      </c>
      <c r="E59" s="43">
        <f ca="1">IF(D59="","",VLOOKUP(D59,INDIRECT($D$2&amp;6),2,TRUE))</f>
        <v>4</v>
      </c>
      <c r="F59" s="42">
        <v>41</v>
      </c>
      <c r="G59" s="43">
        <f ca="1">IF(F59="","",VLOOKUP(F59,INDIRECT($F$2&amp;6),2,TRUE))</f>
        <v>5</v>
      </c>
      <c r="H59" s="42">
        <v>31</v>
      </c>
      <c r="I59" s="43">
        <f ca="1">IF(H59="","",VLOOKUP(H59,INDIRECT($H$2&amp;6),2,TRUE))</f>
        <v>7</v>
      </c>
      <c r="J59" s="44">
        <f ca="1">(E59+G59+I59)/3</f>
        <v>5.333333333333333</v>
      </c>
      <c r="K59" s="45">
        <v>35</v>
      </c>
      <c r="L59" s="43">
        <f ca="1">IF(K59="","",VLOOKUP(K59,INDIRECT($K$2&amp;6),2,TRUE))</f>
        <v>2</v>
      </c>
      <c r="M59" s="42">
        <v>33.5</v>
      </c>
      <c r="N59" s="43">
        <f ca="1">IF(M59="","",VLOOKUP(M59,INDIRECT($M$2&amp;6),2,TRUE))</f>
        <v>3</v>
      </c>
      <c r="O59" s="42">
        <v>26.5</v>
      </c>
      <c r="P59" s="43">
        <f ca="1">IF(O59="","",VLOOKUP(O59,INDIRECT($O$2&amp;6),2,TRUE))</f>
        <v>4</v>
      </c>
      <c r="Q59" s="46">
        <f>D59+F59+H59+K59+M59+O59</f>
        <v>231</v>
      </c>
      <c r="R59" s="47">
        <f>RANK(Q59,$Q$4:$Q$260,0)</f>
        <v>126</v>
      </c>
      <c r="S59" s="48">
        <f ca="1">(E59+G59+I59+((N59+P59)/2))/4</f>
        <v>4.875</v>
      </c>
      <c r="U59" s="73"/>
      <c r="V59" s="73"/>
      <c r="W59" s="73"/>
      <c r="X59" s="73"/>
      <c r="Y59" s="73"/>
      <c r="Z59" s="97"/>
      <c r="AA59" s="98">
        <v>5</v>
      </c>
      <c r="AB59" s="98">
        <v>8</v>
      </c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</row>
    <row r="60" spans="1:39" ht="20.100000000000001" customHeight="1">
      <c r="A60" s="41">
        <v>3</v>
      </c>
      <c r="B60">
        <v>20307</v>
      </c>
      <c r="C60" t="s">
        <v>87</v>
      </c>
      <c r="D60" s="42">
        <v>64</v>
      </c>
      <c r="E60" s="43">
        <f ca="1">IF(D60="","",VLOOKUP(D60,INDIRECT($D$2&amp;6),2,TRUE))</f>
        <v>4</v>
      </c>
      <c r="F60" s="42">
        <v>41</v>
      </c>
      <c r="G60" s="43">
        <f ca="1">IF(F60="","",VLOOKUP(F60,INDIRECT($F$2&amp;6),2,TRUE))</f>
        <v>5</v>
      </c>
      <c r="H60" s="42">
        <v>35</v>
      </c>
      <c r="I60" s="43">
        <f ca="1">IF(H60="","",VLOOKUP(H60,INDIRECT($H$2&amp;6),2,TRUE))</f>
        <v>7</v>
      </c>
      <c r="J60" s="44">
        <f ca="1">(E60+G60+I60)/3</f>
        <v>5.333333333333333</v>
      </c>
      <c r="K60" s="45">
        <v>47</v>
      </c>
      <c r="L60" s="43">
        <f ca="1">IF(K60="","",VLOOKUP(K60,INDIRECT($K$2&amp;6),2,TRUE))</f>
        <v>1</v>
      </c>
      <c r="M60" s="42">
        <v>22</v>
      </c>
      <c r="N60" s="43">
        <f ca="1">IF(M60="","",VLOOKUP(M60,INDIRECT($M$2&amp;6),2,TRUE))</f>
        <v>5</v>
      </c>
      <c r="O60" s="42">
        <v>12</v>
      </c>
      <c r="P60" s="43">
        <f ca="1">IF(O60="","",VLOOKUP(O60,INDIRECT($O$2&amp;6),2,TRUE))</f>
        <v>6</v>
      </c>
      <c r="Q60" s="46">
        <f>D60+F60+H60+K60+M60+O60</f>
        <v>221</v>
      </c>
      <c r="R60" s="47">
        <f>RANK(Q60,$Q$4:$Q$260,0)</f>
        <v>134</v>
      </c>
      <c r="S60" s="48">
        <f ca="1">(E60+G60+I60+((N60+P60)/2))/4</f>
        <v>5.375</v>
      </c>
      <c r="U60" s="73"/>
      <c r="V60" s="73"/>
      <c r="W60" s="73"/>
      <c r="X60" s="73"/>
      <c r="Y60" s="73"/>
      <c r="Z60" s="97"/>
      <c r="AA60" s="99">
        <v>10</v>
      </c>
      <c r="AB60" s="99">
        <v>7</v>
      </c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</row>
    <row r="61" spans="1:39" ht="20.100000000000001" customHeight="1">
      <c r="A61" s="41">
        <v>3</v>
      </c>
      <c r="B61">
        <v>20308</v>
      </c>
      <c r="C61" t="s">
        <v>88</v>
      </c>
      <c r="D61" s="42">
        <v>62</v>
      </c>
      <c r="E61" s="43">
        <f ca="1">IF(D61="","",VLOOKUP(D61,INDIRECT($D$2&amp;6),2,TRUE))</f>
        <v>4</v>
      </c>
      <c r="F61" s="42">
        <v>52</v>
      </c>
      <c r="G61" s="43">
        <f ca="1">IF(F61="","",VLOOKUP(F61,INDIRECT($F$2&amp;6),2,TRUE))</f>
        <v>4</v>
      </c>
      <c r="H61" s="42">
        <v>67</v>
      </c>
      <c r="I61" s="43">
        <f ca="1">IF(H61="","",VLOOKUP(H61,INDIRECT($H$2&amp;6),2,TRUE))</f>
        <v>4</v>
      </c>
      <c r="J61" s="44">
        <f ca="1">(E61+G61+I61)/3</f>
        <v>4</v>
      </c>
      <c r="K61" s="45">
        <v>34</v>
      </c>
      <c r="L61" s="43">
        <f ca="1">IF(K61="","",VLOOKUP(K61,INDIRECT($K$2&amp;6),2,TRUE))</f>
        <v>3</v>
      </c>
      <c r="M61" s="42">
        <v>25</v>
      </c>
      <c r="N61" s="43">
        <f ca="1">IF(M61="","",VLOOKUP(M61,INDIRECT($M$2&amp;6),2,TRUE))</f>
        <v>5</v>
      </c>
      <c r="O61" s="42">
        <v>15.5</v>
      </c>
      <c r="P61" s="43">
        <f ca="1">IF(O61="","",VLOOKUP(O61,INDIRECT($O$2&amp;6),2,TRUE))</f>
        <v>5</v>
      </c>
      <c r="Q61" s="46">
        <f>D61+F61+H61+K61+M61+O61</f>
        <v>255.5</v>
      </c>
      <c r="R61" s="47">
        <f>RANK(Q61,$Q$4:$Q$260,0)</f>
        <v>102</v>
      </c>
      <c r="S61" s="48">
        <f ca="1">(E61+G61+I61+((N61+P61)/2))/4</f>
        <v>4.25</v>
      </c>
      <c r="U61" s="73"/>
      <c r="V61" s="73"/>
      <c r="W61" s="73"/>
      <c r="X61" s="73"/>
      <c r="Y61" s="73"/>
      <c r="Z61" s="97"/>
      <c r="AA61" s="99">
        <v>15</v>
      </c>
      <c r="AB61" s="99">
        <v>6</v>
      </c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</row>
    <row r="62" spans="1:39" ht="20.100000000000001" customHeight="1">
      <c r="A62" s="41">
        <v>3</v>
      </c>
      <c r="B62">
        <v>20309</v>
      </c>
      <c r="C62" t="s">
        <v>89</v>
      </c>
      <c r="D62" s="42">
        <v>30</v>
      </c>
      <c r="E62" s="43">
        <f ca="1">IF(D62="","",VLOOKUP(D62,INDIRECT($D$2&amp;6),2,TRUE))</f>
        <v>7</v>
      </c>
      <c r="F62" s="42">
        <v>11</v>
      </c>
      <c r="G62" s="43">
        <f ca="1">IF(F62="","",VLOOKUP(F62,INDIRECT($F$2&amp;6),2,TRUE))</f>
        <v>8</v>
      </c>
      <c r="H62" s="42">
        <v>32</v>
      </c>
      <c r="I62" s="43">
        <f ca="1">IF(H62="","",VLOOKUP(H62,INDIRECT($H$2&amp;6),2,TRUE))</f>
        <v>7</v>
      </c>
      <c r="J62" s="44">
        <f ca="1">(E62+G62+I62)/3</f>
        <v>7.333333333333333</v>
      </c>
      <c r="K62" s="45">
        <v>21</v>
      </c>
      <c r="L62" s="43">
        <f ca="1">IF(K62="","",VLOOKUP(K62,INDIRECT($K$2&amp;6),2,TRUE))</f>
        <v>5</v>
      </c>
      <c r="M62" s="42">
        <v>15.5</v>
      </c>
      <c r="N62" s="43">
        <f ca="1">IF(M62="","",VLOOKUP(M62,INDIRECT($M$2&amp;6),2,TRUE))</f>
        <v>6</v>
      </c>
      <c r="O62" s="42">
        <v>10</v>
      </c>
      <c r="P62" s="43">
        <f ca="1">IF(O62="","",VLOOKUP(O62,INDIRECT($O$2&amp;6),2,TRUE))</f>
        <v>7</v>
      </c>
      <c r="Q62" s="46">
        <f>D62+F62+H62+K62+M62+O62</f>
        <v>119.5</v>
      </c>
      <c r="R62" s="47">
        <f>RANK(Q62,$Q$4:$Q$260,0)</f>
        <v>226</v>
      </c>
      <c r="S62" s="48">
        <f ca="1">(E62+G62+I62+((N62+P62)/2))/4</f>
        <v>7.125</v>
      </c>
      <c r="U62" s="73"/>
      <c r="V62" s="73"/>
      <c r="W62" s="73"/>
      <c r="X62" s="73"/>
      <c r="Y62" s="73"/>
      <c r="Z62" s="97"/>
      <c r="AA62" s="99">
        <v>20</v>
      </c>
      <c r="AB62" s="99">
        <v>5</v>
      </c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</row>
    <row r="63" spans="1:39" ht="20.100000000000001" customHeight="1">
      <c r="A63" s="41">
        <v>3</v>
      </c>
      <c r="B63">
        <v>20310</v>
      </c>
      <c r="C63" t="s">
        <v>90</v>
      </c>
      <c r="D63" s="42">
        <v>63</v>
      </c>
      <c r="E63" s="43">
        <f ca="1">IF(D63="","",VLOOKUP(D63,INDIRECT($D$2&amp;6),2,TRUE))</f>
        <v>4</v>
      </c>
      <c r="F63" s="42">
        <v>57</v>
      </c>
      <c r="G63" s="43">
        <f ca="1">IF(F63="","",VLOOKUP(F63,INDIRECT($F$2&amp;6),2,TRUE))</f>
        <v>4</v>
      </c>
      <c r="H63" s="42">
        <v>74</v>
      </c>
      <c r="I63" s="43">
        <f ca="1">IF(H63="","",VLOOKUP(H63,INDIRECT($H$2&amp;6),2,TRUE))</f>
        <v>3</v>
      </c>
      <c r="J63" s="44">
        <f ca="1">(E63+G63+I63)/3</f>
        <v>3.6666666666666665</v>
      </c>
      <c r="K63" s="45">
        <v>28</v>
      </c>
      <c r="L63" s="43">
        <f ca="1">IF(K63="","",VLOOKUP(K63,INDIRECT($K$2&amp;6),2,TRUE))</f>
        <v>4</v>
      </c>
      <c r="M63" s="42">
        <v>29.5</v>
      </c>
      <c r="N63" s="43">
        <f ca="1">IF(M63="","",VLOOKUP(M63,INDIRECT($M$2&amp;6),2,TRUE))</f>
        <v>4</v>
      </c>
      <c r="O63" s="42">
        <v>17</v>
      </c>
      <c r="P63" s="43">
        <f ca="1">IF(O63="","",VLOOKUP(O63,INDIRECT($O$2&amp;6),2,TRUE))</f>
        <v>5</v>
      </c>
      <c r="Q63" s="46">
        <f>D63+F63+H63+K63+M63+O63</f>
        <v>268.5</v>
      </c>
      <c r="R63" s="47">
        <f>RANK(Q63,$Q$4:$Q$260,0)</f>
        <v>90</v>
      </c>
      <c r="S63" s="48">
        <f ca="1">(E63+G63+I63+((N63+P63)/2))/4</f>
        <v>3.875</v>
      </c>
      <c r="U63" s="73"/>
      <c r="V63" s="73"/>
      <c r="W63" s="73"/>
      <c r="X63" s="73"/>
      <c r="Y63" s="73"/>
      <c r="Z63" s="97"/>
      <c r="AA63" s="99">
        <v>25</v>
      </c>
      <c r="AB63" s="99">
        <v>4</v>
      </c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</row>
    <row r="64" spans="1:39" ht="20.100000000000001" customHeight="1">
      <c r="A64" s="41">
        <v>3</v>
      </c>
      <c r="B64">
        <v>20311</v>
      </c>
      <c r="C64" t="s">
        <v>91</v>
      </c>
      <c r="D64" s="42">
        <v>70</v>
      </c>
      <c r="E64" s="43">
        <f ca="1">IF(D64="","",VLOOKUP(D64,INDIRECT($D$2&amp;6),2,TRUE))</f>
        <v>4</v>
      </c>
      <c r="F64" s="42">
        <v>72</v>
      </c>
      <c r="G64" s="43">
        <f ca="1">IF(F64="","",VLOOKUP(F64,INDIRECT($F$2&amp;6),2,TRUE))</f>
        <v>3</v>
      </c>
      <c r="H64" s="42">
        <v>59</v>
      </c>
      <c r="I64" s="43">
        <f ca="1">IF(H64="","",VLOOKUP(H64,INDIRECT($H$2&amp;6),2,TRUE))</f>
        <v>5</v>
      </c>
      <c r="J64" s="44">
        <f ca="1">(E64+G64+I64)/3</f>
        <v>4</v>
      </c>
      <c r="K64" s="45">
        <v>28</v>
      </c>
      <c r="L64" s="43">
        <f ca="1">IF(K64="","",VLOOKUP(K64,INDIRECT($K$2&amp;6),2,TRUE))</f>
        <v>4</v>
      </c>
      <c r="M64" s="42">
        <v>26.5</v>
      </c>
      <c r="N64" s="43">
        <f ca="1">IF(M64="","",VLOOKUP(M64,INDIRECT($M$2&amp;6),2,TRUE))</f>
        <v>4</v>
      </c>
      <c r="O64" s="42">
        <v>25.5</v>
      </c>
      <c r="P64" s="43">
        <f ca="1">IF(O64="","",VLOOKUP(O64,INDIRECT($O$2&amp;6),2,TRUE))</f>
        <v>4</v>
      </c>
      <c r="Q64" s="46">
        <f>D64+F64+H64+K64+M64+O64</f>
        <v>281</v>
      </c>
      <c r="R64" s="47">
        <f>RANK(Q64,$Q$4:$Q$260,0)</f>
        <v>74</v>
      </c>
      <c r="S64" s="48">
        <f ca="1">(E64+G64+I64+((N64+P64)/2))/4</f>
        <v>4</v>
      </c>
      <c r="U64" s="73"/>
      <c r="V64" s="73"/>
      <c r="W64" s="73"/>
      <c r="X64" s="73"/>
      <c r="Y64" s="73"/>
      <c r="Z64" s="97"/>
      <c r="AA64" s="99">
        <v>30</v>
      </c>
      <c r="AB64" s="99">
        <v>3</v>
      </c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</row>
    <row r="65" spans="1:39" ht="20.100000000000001" customHeight="1">
      <c r="A65" s="41">
        <v>3</v>
      </c>
      <c r="B65">
        <v>20312</v>
      </c>
      <c r="C65" t="s">
        <v>92</v>
      </c>
      <c r="D65" s="42">
        <v>19</v>
      </c>
      <c r="E65" s="43">
        <f ca="1">IF(D65="","",VLOOKUP(D65,INDIRECT($D$2&amp;6),2,TRUE))</f>
        <v>8</v>
      </c>
      <c r="F65" s="42">
        <v>16</v>
      </c>
      <c r="G65" s="43">
        <f ca="1">IF(F65="","",VLOOKUP(F65,INDIRECT($F$2&amp;6),2,TRUE))</f>
        <v>7</v>
      </c>
      <c r="H65" s="42">
        <v>29</v>
      </c>
      <c r="I65" s="43">
        <f ca="1">IF(H65="","",VLOOKUP(H65,INDIRECT($H$2&amp;6),2,TRUE))</f>
        <v>8</v>
      </c>
      <c r="J65" s="44"/>
      <c r="K65" s="45">
        <v>11</v>
      </c>
      <c r="L65" s="43">
        <f ca="1">IF(K65="","",VLOOKUP(K65,INDIRECT($K$2&amp;6),2,TRUE))</f>
        <v>7</v>
      </c>
      <c r="M65" s="42">
        <v>9.5</v>
      </c>
      <c r="N65" s="43">
        <f ca="1">IF(M65="","",VLOOKUP(M65,INDIRECT($M$2&amp;6),2,TRUE))</f>
        <v>7</v>
      </c>
      <c r="O65" s="42">
        <v>11</v>
      </c>
      <c r="P65" s="43">
        <f ca="1">IF(O65="","",VLOOKUP(O65,INDIRECT($O$2&amp;6),2,TRUE))</f>
        <v>7</v>
      </c>
      <c r="Q65" s="46">
        <f>D65+F65+H65+K65+M65+O65</f>
        <v>95.5</v>
      </c>
      <c r="R65" s="47">
        <f>RANK(Q65,$Q$4:$Q$260,0)</f>
        <v>239</v>
      </c>
      <c r="S65" s="48">
        <f ca="1">(E65+G65+I65+((N65+P65)/2))/4</f>
        <v>7.5</v>
      </c>
      <c r="U65" s="73"/>
      <c r="V65" s="73"/>
      <c r="W65" s="73"/>
      <c r="X65" s="73"/>
      <c r="Y65" s="73"/>
      <c r="Z65" s="97"/>
      <c r="AA65" s="99">
        <v>35</v>
      </c>
      <c r="AB65" s="99">
        <v>2</v>
      </c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</row>
    <row r="66" spans="1:39" ht="20.100000000000001" customHeight="1" thickBot="1">
      <c r="A66" s="41">
        <v>3</v>
      </c>
      <c r="B66">
        <v>20313</v>
      </c>
      <c r="C66" t="s">
        <v>93</v>
      </c>
      <c r="D66" s="42">
        <v>71</v>
      </c>
      <c r="E66" s="43">
        <f ca="1">IF(D66="","",VLOOKUP(D66,INDIRECT($D$2&amp;6),2,TRUE))</f>
        <v>3</v>
      </c>
      <c r="F66" s="42">
        <v>62</v>
      </c>
      <c r="G66" s="43">
        <f ca="1">IF(F66="","",VLOOKUP(F66,INDIRECT($F$2&amp;6),2,TRUE))</f>
        <v>3</v>
      </c>
      <c r="H66" s="42">
        <v>75</v>
      </c>
      <c r="I66" s="43">
        <f ca="1">IF(H66="","",VLOOKUP(H66,INDIRECT($H$2&amp;6),2,TRUE))</f>
        <v>3</v>
      </c>
      <c r="J66" s="44">
        <f ca="1">(E66+G66+I66)/3</f>
        <v>3</v>
      </c>
      <c r="K66" s="45">
        <v>47</v>
      </c>
      <c r="L66" s="43">
        <f ca="1">IF(K66="","",VLOOKUP(K66,INDIRECT($K$2&amp;6),2,TRUE))</f>
        <v>1</v>
      </c>
      <c r="M66" s="42">
        <v>37</v>
      </c>
      <c r="N66" s="43">
        <f ca="1">IF(M66="","",VLOOKUP(M66,INDIRECT($M$2&amp;6),2,TRUE))</f>
        <v>2</v>
      </c>
      <c r="O66" s="42">
        <v>19.5</v>
      </c>
      <c r="P66" s="43">
        <f ca="1">IF(O66="","",VLOOKUP(O66,INDIRECT($O$2&amp;6),2,TRUE))</f>
        <v>5</v>
      </c>
      <c r="Q66" s="46">
        <f>D66+F66+H66+K66+M66+O66</f>
        <v>311.5</v>
      </c>
      <c r="R66" s="47">
        <f>RANK(Q66,$Q$4:$Q$260,0)</f>
        <v>55</v>
      </c>
      <c r="S66" s="48">
        <f ca="1">(E66+G66+I66+((N66+P66)/2))/4</f>
        <v>3.125</v>
      </c>
      <c r="U66" s="73"/>
      <c r="V66" s="73"/>
      <c r="W66" s="73"/>
      <c r="X66" s="73"/>
      <c r="Y66" s="73"/>
      <c r="Z66" s="100"/>
      <c r="AA66" s="101">
        <v>40</v>
      </c>
      <c r="AB66" s="101">
        <v>1</v>
      </c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</row>
    <row r="67" spans="1:39" ht="20.100000000000001" customHeight="1">
      <c r="A67" s="41">
        <v>3</v>
      </c>
      <c r="B67">
        <v>20314</v>
      </c>
      <c r="C67" t="s">
        <v>94</v>
      </c>
      <c r="D67" s="42">
        <v>86</v>
      </c>
      <c r="E67" s="43">
        <f ca="1">IF(D67="","",VLOOKUP(D67,INDIRECT($D$2&amp;6),2,TRUE))</f>
        <v>2</v>
      </c>
      <c r="F67" s="42">
        <v>72</v>
      </c>
      <c r="G67" s="43">
        <f ca="1">IF(F67="","",VLOOKUP(F67,INDIRECT($F$2&amp;6),2,TRUE))</f>
        <v>3</v>
      </c>
      <c r="H67" s="42">
        <v>88</v>
      </c>
      <c r="I67" s="43">
        <f ca="1">IF(H67="","",VLOOKUP(H67,INDIRECT($H$2&amp;6),2,TRUE))</f>
        <v>2</v>
      </c>
      <c r="J67" s="44">
        <f ca="1">(E67+G67+I67)/3</f>
        <v>2.3333333333333335</v>
      </c>
      <c r="K67" s="45">
        <v>45</v>
      </c>
      <c r="L67" s="43">
        <f ca="1">IF(K67="","",VLOOKUP(K67,INDIRECT($K$2&amp;6),2,TRUE))</f>
        <v>1</v>
      </c>
      <c r="M67" s="42">
        <v>43.5</v>
      </c>
      <c r="N67" s="43">
        <f ca="1">IF(M67="","",VLOOKUP(M67,INDIRECT($M$2&amp;6),2,TRUE))</f>
        <v>1</v>
      </c>
      <c r="O67" s="42">
        <v>35.5</v>
      </c>
      <c r="P67" s="43">
        <f ca="1">IF(O67="","",VLOOKUP(O67,INDIRECT($O$2&amp;6),2,TRUE))</f>
        <v>2</v>
      </c>
      <c r="Q67" s="46">
        <f>D67+F67+H67+K67+M67+O67</f>
        <v>370</v>
      </c>
      <c r="R67" s="47">
        <f>RANK(Q67,$Q$4:$Q$260,0)</f>
        <v>12</v>
      </c>
      <c r="S67" s="48">
        <f ca="1">(E67+G67+I67+((N67+P67)/2))/4</f>
        <v>2.125</v>
      </c>
      <c r="U67" s="73"/>
      <c r="V67" s="73"/>
      <c r="W67" s="73"/>
      <c r="X67" s="73"/>
      <c r="Y67" s="73"/>
      <c r="Z67" s="95" t="s">
        <v>95</v>
      </c>
      <c r="AA67" s="96">
        <v>0</v>
      </c>
      <c r="AB67" s="96">
        <v>9</v>
      </c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</row>
    <row r="68" spans="1:39" ht="20.100000000000001" customHeight="1">
      <c r="A68" s="41">
        <v>3</v>
      </c>
      <c r="B68">
        <v>20315</v>
      </c>
      <c r="C68" t="s">
        <v>96</v>
      </c>
      <c r="D68" s="42">
        <v>18</v>
      </c>
      <c r="E68" s="43">
        <f ca="1">IF(D68="","",VLOOKUP(D68,INDIRECT($D$2&amp;6),2,TRUE))</f>
        <v>8</v>
      </c>
      <c r="F68" s="42">
        <v>51</v>
      </c>
      <c r="G68" s="43">
        <f ca="1">IF(F68="","",VLOOKUP(F68,INDIRECT($F$2&amp;6),2,TRUE))</f>
        <v>4</v>
      </c>
      <c r="H68" s="42">
        <v>45</v>
      </c>
      <c r="I68" s="43">
        <f ca="1">IF(H68="","",VLOOKUP(H68,INDIRECT($H$2&amp;6),2,TRUE))</f>
        <v>6</v>
      </c>
      <c r="J68" s="44">
        <f ca="1">(E68+G68+I68)/3</f>
        <v>6</v>
      </c>
      <c r="K68" s="45">
        <v>23</v>
      </c>
      <c r="L68" s="43">
        <f ca="1">IF(K68="","",VLOOKUP(K68,INDIRECT($K$2&amp;6),2,TRUE))</f>
        <v>5</v>
      </c>
      <c r="M68" s="42">
        <v>16.5</v>
      </c>
      <c r="N68" s="43">
        <f ca="1">IF(M68="","",VLOOKUP(M68,INDIRECT($M$2&amp;6),2,TRUE))</f>
        <v>6</v>
      </c>
      <c r="O68" s="42">
        <v>12.5</v>
      </c>
      <c r="P68" s="43">
        <f ca="1">IF(O68="","",VLOOKUP(O68,INDIRECT($O$2&amp;6),2,TRUE))</f>
        <v>6</v>
      </c>
      <c r="Q68" s="46">
        <f>D68+F68+H68+K68+M68+O68</f>
        <v>166</v>
      </c>
      <c r="R68" s="47">
        <f>RANK(Q68,$Q$4:$Q$260,0)</f>
        <v>194</v>
      </c>
      <c r="S68" s="48">
        <f ca="1">(E68+G68+I68+((N68+P68)/2))/4</f>
        <v>6</v>
      </c>
      <c r="U68" s="73"/>
      <c r="V68" s="73"/>
      <c r="W68" s="73"/>
      <c r="X68" s="73"/>
      <c r="Y68" s="73"/>
      <c r="Z68" s="97"/>
      <c r="AA68" s="98">
        <v>5.5</v>
      </c>
      <c r="AB68" s="98">
        <v>8</v>
      </c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</row>
    <row r="69" spans="1:39" ht="20.100000000000001" customHeight="1">
      <c r="A69" s="41">
        <v>3</v>
      </c>
      <c r="B69">
        <v>20316</v>
      </c>
      <c r="C69" t="s">
        <v>97</v>
      </c>
      <c r="D69" s="42">
        <v>43</v>
      </c>
      <c r="E69" s="43">
        <f ca="1">IF(D69="","",VLOOKUP(D69,INDIRECT($D$2&amp;6),2,TRUE))</f>
        <v>6</v>
      </c>
      <c r="F69" s="42">
        <v>57</v>
      </c>
      <c r="G69" s="43">
        <f ca="1">IF(F69="","",VLOOKUP(F69,INDIRECT($F$2&amp;6),2,TRUE))</f>
        <v>4</v>
      </c>
      <c r="H69" s="42">
        <v>74</v>
      </c>
      <c r="I69" s="43">
        <f ca="1">IF(H69="","",VLOOKUP(H69,INDIRECT($H$2&amp;6),2,TRUE))</f>
        <v>3</v>
      </c>
      <c r="J69" s="44">
        <f ca="1">(E69+G69+I69)/3</f>
        <v>4.333333333333333</v>
      </c>
      <c r="K69" s="45">
        <v>18</v>
      </c>
      <c r="L69" s="43">
        <f ca="1">IF(K69="","",VLOOKUP(K69,INDIRECT($K$2&amp;6),2,TRUE))</f>
        <v>6</v>
      </c>
      <c r="M69" s="42">
        <v>27</v>
      </c>
      <c r="N69" s="43">
        <f ca="1">IF(M69="","",VLOOKUP(M69,INDIRECT($M$2&amp;6),2,TRUE))</f>
        <v>4</v>
      </c>
      <c r="O69" s="42">
        <v>18.5</v>
      </c>
      <c r="P69" s="43">
        <f ca="1">IF(O69="","",VLOOKUP(O69,INDIRECT($O$2&amp;6),2,TRUE))</f>
        <v>5</v>
      </c>
      <c r="Q69" s="46">
        <f>D69+F69+H69+K69+M69+O69</f>
        <v>237.5</v>
      </c>
      <c r="R69" s="47">
        <f>RANK(Q69,$Q$4:$Q$260,0)</f>
        <v>117</v>
      </c>
      <c r="S69" s="48">
        <f ca="1">(E69+G69+I69+((N69+P69)/2))/4</f>
        <v>4.375</v>
      </c>
      <c r="U69" s="73"/>
      <c r="V69" s="73"/>
      <c r="W69" s="73"/>
      <c r="X69" s="73"/>
      <c r="Y69" s="73"/>
      <c r="Z69" s="97"/>
      <c r="AA69" s="99">
        <v>9</v>
      </c>
      <c r="AB69" s="99">
        <v>7</v>
      </c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</row>
    <row r="70" spans="1:39" ht="20.100000000000001" customHeight="1">
      <c r="A70" s="41">
        <v>3</v>
      </c>
      <c r="B70">
        <v>20317</v>
      </c>
      <c r="C70" t="s">
        <v>98</v>
      </c>
      <c r="D70" s="42">
        <v>61</v>
      </c>
      <c r="E70" s="43">
        <f ca="1">IF(D70="","",VLOOKUP(D70,INDIRECT($D$2&amp;6),2,TRUE))</f>
        <v>4</v>
      </c>
      <c r="F70" s="42">
        <v>29</v>
      </c>
      <c r="G70" s="43">
        <f ca="1">IF(F70="","",VLOOKUP(F70,INDIRECT($F$2&amp;6),2,TRUE))</f>
        <v>5</v>
      </c>
      <c r="H70" s="42">
        <v>79</v>
      </c>
      <c r="I70" s="43">
        <f ca="1">IF(H70="","",VLOOKUP(H70,INDIRECT($H$2&amp;6),2,TRUE))</f>
        <v>3</v>
      </c>
      <c r="J70" s="44">
        <f ca="1">(E70+G70+I70)/3</f>
        <v>4</v>
      </c>
      <c r="K70" s="45">
        <v>21</v>
      </c>
      <c r="L70" s="43">
        <f ca="1">IF(K70="","",VLOOKUP(K70,INDIRECT($K$2&amp;6),2,TRUE))</f>
        <v>5</v>
      </c>
      <c r="M70" s="42">
        <v>31.5</v>
      </c>
      <c r="N70" s="43">
        <f ca="1">IF(M70="","",VLOOKUP(M70,INDIRECT($M$2&amp;6),2,TRUE))</f>
        <v>4</v>
      </c>
      <c r="O70" s="42">
        <v>11</v>
      </c>
      <c r="P70" s="43">
        <f ca="1">IF(O70="","",VLOOKUP(O70,INDIRECT($O$2&amp;6),2,TRUE))</f>
        <v>7</v>
      </c>
      <c r="Q70" s="46">
        <f>D70+F70+H70+K70+M70+O70</f>
        <v>232.5</v>
      </c>
      <c r="R70" s="47">
        <f>RANK(Q70,$Q$4:$Q$260,0)</f>
        <v>123</v>
      </c>
      <c r="S70" s="48">
        <f ca="1">(E70+G70+I70+((N70+P70)/2))/4</f>
        <v>4.375</v>
      </c>
      <c r="U70" s="73"/>
      <c r="V70" s="73"/>
      <c r="W70" s="73"/>
      <c r="X70" s="73"/>
      <c r="Y70" s="73"/>
      <c r="Z70" s="97"/>
      <c r="AA70" s="99">
        <v>12</v>
      </c>
      <c r="AB70" s="99">
        <v>6</v>
      </c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</row>
    <row r="71" spans="1:39" ht="20.100000000000001" customHeight="1">
      <c r="A71" s="41">
        <v>3</v>
      </c>
      <c r="B71">
        <v>20318</v>
      </c>
      <c r="C71" t="s">
        <v>99</v>
      </c>
      <c r="D71" s="42">
        <v>77</v>
      </c>
      <c r="E71" s="43">
        <f ca="1">IF(D71="","",VLOOKUP(D71,INDIRECT($D$2&amp;6),2,TRUE))</f>
        <v>3</v>
      </c>
      <c r="F71" s="42">
        <v>40</v>
      </c>
      <c r="G71" s="43">
        <f ca="1">IF(F71="","",VLOOKUP(F71,INDIRECT($F$2&amp;6),2,TRUE))</f>
        <v>5</v>
      </c>
      <c r="H71" s="42">
        <v>66</v>
      </c>
      <c r="I71" s="43">
        <f ca="1">IF(H71="","",VLOOKUP(H71,INDIRECT($H$2&amp;6),2,TRUE))</f>
        <v>4</v>
      </c>
      <c r="J71" s="44">
        <f ca="1">(E71+G71+I71)/3</f>
        <v>4</v>
      </c>
      <c r="K71" s="45">
        <v>43</v>
      </c>
      <c r="L71" s="43">
        <f ca="1">IF(K71="","",VLOOKUP(K71,INDIRECT($K$2&amp;6),2,TRUE))</f>
        <v>1</v>
      </c>
      <c r="M71" s="42">
        <v>33.5</v>
      </c>
      <c r="N71" s="43">
        <f ca="1">IF(M71="","",VLOOKUP(M71,INDIRECT($M$2&amp;6),2,TRUE))</f>
        <v>3</v>
      </c>
      <c r="O71" s="42">
        <v>0</v>
      </c>
      <c r="P71" s="43">
        <f ca="1">IF(O71="","",VLOOKUP(O71,INDIRECT($O$2&amp;6),2,TRUE))</f>
        <v>9</v>
      </c>
      <c r="Q71" s="46">
        <f>D71+F71+H71+K71+M71+O71</f>
        <v>259.5</v>
      </c>
      <c r="R71" s="47">
        <f>RANK(Q71,$Q$4:$Q$260,0)</f>
        <v>96</v>
      </c>
      <c r="S71" s="48">
        <f ca="1">(E71+G71+I71+((N71+P71)/2))/4</f>
        <v>4.5</v>
      </c>
      <c r="U71" s="73"/>
      <c r="V71" s="73"/>
      <c r="W71" s="73"/>
      <c r="X71" s="73"/>
      <c r="Y71" s="73"/>
      <c r="Z71" s="97"/>
      <c r="AA71" s="99">
        <v>20</v>
      </c>
      <c r="AB71" s="99">
        <v>5</v>
      </c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</row>
    <row r="72" spans="1:39" ht="20.100000000000001" customHeight="1">
      <c r="A72" s="41">
        <v>3</v>
      </c>
      <c r="B72">
        <v>20319</v>
      </c>
      <c r="C72" t="s">
        <v>100</v>
      </c>
      <c r="D72" s="42">
        <v>18</v>
      </c>
      <c r="E72" s="43">
        <f ca="1">IF(D72="","",VLOOKUP(D72,INDIRECT($D$2&amp;6),2,TRUE))</f>
        <v>8</v>
      </c>
      <c r="F72" s="42">
        <v>13</v>
      </c>
      <c r="G72" s="43">
        <f ca="1">IF(F72="","",VLOOKUP(F72,INDIRECT($F$2&amp;6),2,TRUE))</f>
        <v>7</v>
      </c>
      <c r="H72" s="42">
        <v>60</v>
      </c>
      <c r="I72" s="43">
        <f ca="1">IF(H72="","",VLOOKUP(H72,INDIRECT($H$2&amp;6),2,TRUE))</f>
        <v>4</v>
      </c>
      <c r="J72" s="44">
        <f ca="1">(E72+G72+I72)/3</f>
        <v>6.333333333333333</v>
      </c>
      <c r="K72" s="45">
        <v>39</v>
      </c>
      <c r="L72" s="43">
        <f ca="1">IF(K72="","",VLOOKUP(K72,INDIRECT($K$2&amp;6),2,TRUE))</f>
        <v>2</v>
      </c>
      <c r="M72" s="42">
        <v>18.5</v>
      </c>
      <c r="N72" s="43">
        <f ca="1">IF(M72="","",VLOOKUP(M72,INDIRECT($M$2&amp;6),2,TRUE))</f>
        <v>6</v>
      </c>
      <c r="O72" s="42">
        <v>22.5</v>
      </c>
      <c r="P72" s="43">
        <f ca="1">IF(O72="","",VLOOKUP(O72,INDIRECT($O$2&amp;6),2,TRUE))</f>
        <v>4</v>
      </c>
      <c r="Q72" s="46">
        <f>D72+F72+H72+K72+M72+O72</f>
        <v>171</v>
      </c>
      <c r="R72" s="47">
        <f>RANK(Q72,$Q$4:$Q$260,0)</f>
        <v>185</v>
      </c>
      <c r="S72" s="48">
        <f ca="1">(E72+G72+I72+((N72+P72)/2))/4</f>
        <v>6</v>
      </c>
      <c r="U72" s="73"/>
      <c r="V72" s="73"/>
      <c r="W72" s="73"/>
      <c r="X72" s="73"/>
      <c r="Y72" s="73"/>
      <c r="Z72" s="97"/>
      <c r="AA72" s="99">
        <v>26</v>
      </c>
      <c r="AB72" s="99">
        <v>4</v>
      </c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</row>
    <row r="73" spans="1:39" ht="20.100000000000001" customHeight="1">
      <c r="A73" s="41">
        <v>3</v>
      </c>
      <c r="B73">
        <v>20320</v>
      </c>
      <c r="C73" t="s">
        <v>101</v>
      </c>
      <c r="D73" s="42">
        <v>51</v>
      </c>
      <c r="E73" s="43">
        <f ca="1">IF(D73="","",VLOOKUP(D73,INDIRECT($D$2&amp;6),2,TRUE))</f>
        <v>5</v>
      </c>
      <c r="F73" s="42">
        <v>76</v>
      </c>
      <c r="G73" s="43">
        <f ca="1">IF(F73="","",VLOOKUP(F73,INDIRECT($F$2&amp;6),2,TRUE))</f>
        <v>2</v>
      </c>
      <c r="H73" s="42">
        <v>73</v>
      </c>
      <c r="I73" s="43">
        <f ca="1">IF(H73="","",VLOOKUP(H73,INDIRECT($H$2&amp;6),2,TRUE))</f>
        <v>3</v>
      </c>
      <c r="J73" s="44">
        <f ca="1">(E73+G73+I73)/3</f>
        <v>3.3333333333333335</v>
      </c>
      <c r="K73" s="45">
        <v>12</v>
      </c>
      <c r="L73" s="43">
        <f ca="1">IF(K73="","",VLOOKUP(K73,INDIRECT($K$2&amp;6),2,TRUE))</f>
        <v>7</v>
      </c>
      <c r="M73" s="42">
        <v>19.5</v>
      </c>
      <c r="N73" s="43">
        <f ca="1">IF(M73="","",VLOOKUP(M73,INDIRECT($M$2&amp;6),2,TRUE))</f>
        <v>6</v>
      </c>
      <c r="O73" s="42">
        <v>20</v>
      </c>
      <c r="P73" s="43">
        <f ca="1">IF(O73="","",VLOOKUP(O73,INDIRECT($O$2&amp;6),2,TRUE))</f>
        <v>5</v>
      </c>
      <c r="Q73" s="46">
        <f>D73+F73+H73+K73+M73+O73</f>
        <v>251.5</v>
      </c>
      <c r="R73" s="47">
        <f>RANK(Q73,$Q$4:$Q$260,0)</f>
        <v>106</v>
      </c>
      <c r="S73" s="48">
        <f ca="1">(E73+G73+I73+((N73+P73)/2))/4</f>
        <v>3.875</v>
      </c>
      <c r="U73" s="73"/>
      <c r="V73" s="73"/>
      <c r="W73" s="73"/>
      <c r="X73" s="73"/>
      <c r="Y73" s="73"/>
      <c r="Z73" s="97"/>
      <c r="AA73" s="99">
        <v>32.5</v>
      </c>
      <c r="AB73" s="99">
        <v>3</v>
      </c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</row>
    <row r="74" spans="1:39" ht="20.100000000000001" customHeight="1">
      <c r="A74" s="41">
        <v>3</v>
      </c>
      <c r="B74">
        <v>20321</v>
      </c>
      <c r="C74" t="s">
        <v>102</v>
      </c>
      <c r="D74" s="42">
        <v>34</v>
      </c>
      <c r="E74" s="43">
        <f ca="1">IF(D74="","",VLOOKUP(D74,INDIRECT($D$2&amp;6),2,TRUE))</f>
        <v>6</v>
      </c>
      <c r="F74" s="42">
        <v>12</v>
      </c>
      <c r="G74" s="43">
        <f ca="1">IF(F74="","",VLOOKUP(F74,INDIRECT($F$2&amp;6),2,TRUE))</f>
        <v>8</v>
      </c>
      <c r="H74" s="42">
        <v>46</v>
      </c>
      <c r="I74" s="43">
        <f ca="1">IF(H74="","",VLOOKUP(H74,INDIRECT($H$2&amp;6),2,TRUE))</f>
        <v>6</v>
      </c>
      <c r="J74" s="44">
        <f ca="1">(E74+G74+I74)/3</f>
        <v>6.666666666666667</v>
      </c>
      <c r="K74" s="45">
        <v>12</v>
      </c>
      <c r="L74" s="43">
        <f ca="1">IF(K74="","",VLOOKUP(K74,INDIRECT($K$2&amp;6),2,TRUE))</f>
        <v>7</v>
      </c>
      <c r="M74" s="42">
        <v>20</v>
      </c>
      <c r="N74" s="43">
        <f ca="1">IF(M74="","",VLOOKUP(M74,INDIRECT($M$2&amp;6),2,TRUE))</f>
        <v>5</v>
      </c>
      <c r="O74" s="42">
        <v>14.5</v>
      </c>
      <c r="P74" s="43">
        <f ca="1">IF(O74="","",VLOOKUP(O74,INDIRECT($O$2&amp;6),2,TRUE))</f>
        <v>6</v>
      </c>
      <c r="Q74" s="46">
        <f>D74+F74+H74+K74+M74+O74</f>
        <v>138.5</v>
      </c>
      <c r="R74" s="47">
        <f>RANK(Q74,$Q$4:$Q$260,0)</f>
        <v>214</v>
      </c>
      <c r="S74" s="48">
        <f ca="1">(E74+G74+I74+((N74+P74)/2))/4</f>
        <v>6.375</v>
      </c>
      <c r="U74" s="73"/>
      <c r="V74" s="73"/>
      <c r="W74" s="73"/>
      <c r="X74" s="73"/>
      <c r="Y74" s="73"/>
      <c r="Z74" s="97"/>
      <c r="AA74" s="99">
        <v>37</v>
      </c>
      <c r="AB74" s="99">
        <v>2</v>
      </c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</row>
    <row r="75" spans="1:39" ht="20.100000000000001" customHeight="1" thickBot="1">
      <c r="A75" s="41">
        <v>3</v>
      </c>
      <c r="B75">
        <v>20322</v>
      </c>
      <c r="C75" t="s">
        <v>103</v>
      </c>
      <c r="D75" s="42">
        <v>17</v>
      </c>
      <c r="E75" s="43">
        <f ca="1">IF(D75="","",VLOOKUP(D75,INDIRECT($D$2&amp;6),2,TRUE))</f>
        <v>8</v>
      </c>
      <c r="F75" s="42">
        <v>29</v>
      </c>
      <c r="G75" s="43">
        <f ca="1">IF(F75="","",VLOOKUP(F75,INDIRECT($F$2&amp;6),2,TRUE))</f>
        <v>5</v>
      </c>
      <c r="H75" s="42">
        <v>53</v>
      </c>
      <c r="I75" s="43">
        <f ca="1">IF(H75="","",VLOOKUP(H75,INDIRECT($H$2&amp;6),2,TRUE))</f>
        <v>5</v>
      </c>
      <c r="J75" s="44">
        <f ca="1">(E75+G75+I75)/3</f>
        <v>6</v>
      </c>
      <c r="K75" s="45">
        <v>9</v>
      </c>
      <c r="L75" s="43">
        <f ca="1">IF(K75="","",VLOOKUP(K75,INDIRECT($K$2&amp;6),2,TRUE))</f>
        <v>8</v>
      </c>
      <c r="M75" s="42">
        <v>9.5</v>
      </c>
      <c r="N75" s="43">
        <f ca="1">IF(M75="","",VLOOKUP(M75,INDIRECT($M$2&amp;6),2,TRUE))</f>
        <v>7</v>
      </c>
      <c r="O75" s="42">
        <v>8</v>
      </c>
      <c r="P75" s="43">
        <f ca="1">IF(O75="","",VLOOKUP(O75,INDIRECT($O$2&amp;6),2,TRUE))</f>
        <v>8</v>
      </c>
      <c r="Q75" s="46">
        <f>D75+F75+H75+K75+M75+O75</f>
        <v>125.5</v>
      </c>
      <c r="R75" s="47">
        <f>RANK(Q75,$Q$4:$Q$260,0)</f>
        <v>221</v>
      </c>
      <c r="S75" s="48">
        <f ca="1">(E75+G75+I75+((N75+P75)/2))/4</f>
        <v>6.375</v>
      </c>
      <c r="U75" s="73"/>
      <c r="V75" s="73"/>
      <c r="W75" s="73"/>
      <c r="X75" s="73"/>
      <c r="Y75" s="73"/>
      <c r="Z75" s="100"/>
      <c r="AA75" s="101">
        <v>43</v>
      </c>
      <c r="AB75" s="101">
        <v>1</v>
      </c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</row>
    <row r="76" spans="1:39" ht="20.100000000000001" customHeight="1">
      <c r="A76" s="41">
        <v>3</v>
      </c>
      <c r="B76">
        <v>20323</v>
      </c>
      <c r="C76" t="s">
        <v>104</v>
      </c>
      <c r="D76" s="42">
        <v>61</v>
      </c>
      <c r="E76" s="43">
        <f ca="1">IF(D76="","",VLOOKUP(D76,INDIRECT($D$2&amp;6),2,TRUE))</f>
        <v>4</v>
      </c>
      <c r="F76" s="42">
        <v>47</v>
      </c>
      <c r="G76" s="43">
        <f ca="1">IF(F76="","",VLOOKUP(F76,INDIRECT($F$2&amp;6),2,TRUE))</f>
        <v>4</v>
      </c>
      <c r="H76" s="42">
        <v>82</v>
      </c>
      <c r="I76" s="43">
        <f ca="1">IF(H76="","",VLOOKUP(H76,INDIRECT($H$2&amp;6),2,TRUE))</f>
        <v>2</v>
      </c>
      <c r="J76" s="44">
        <f ca="1">(E76+G76+I76)/3</f>
        <v>3.3333333333333335</v>
      </c>
      <c r="K76" s="45">
        <v>27</v>
      </c>
      <c r="L76" s="43">
        <f ca="1">IF(K76="","",VLOOKUP(K76,INDIRECT($K$2&amp;6),2,TRUE))</f>
        <v>4</v>
      </c>
      <c r="M76" s="42">
        <v>32</v>
      </c>
      <c r="N76" s="43">
        <f ca="1">IF(M76="","",VLOOKUP(M76,INDIRECT($M$2&amp;6),2,TRUE))</f>
        <v>4</v>
      </c>
      <c r="O76" s="42">
        <v>20.5</v>
      </c>
      <c r="P76" s="43">
        <f ca="1">IF(O76="","",VLOOKUP(O76,INDIRECT($O$2&amp;6),2,TRUE))</f>
        <v>5</v>
      </c>
      <c r="Q76" s="46">
        <f>D76+F76+H76+K76+M76+O76</f>
        <v>269.5</v>
      </c>
      <c r="R76" s="47">
        <f>RANK(Q76,$Q$4:$Q$260,0)</f>
        <v>89</v>
      </c>
      <c r="S76" s="48">
        <f ca="1">(E76+G76+I76+((N76+P76)/2))/4</f>
        <v>3.625</v>
      </c>
      <c r="U76" s="73"/>
      <c r="V76" s="73"/>
      <c r="W76" s="73"/>
      <c r="X76" s="73"/>
      <c r="Y76" s="73"/>
      <c r="Z76" s="95" t="s">
        <v>22</v>
      </c>
      <c r="AA76" s="96">
        <v>0</v>
      </c>
      <c r="AB76" s="96">
        <v>9</v>
      </c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</row>
    <row r="77" spans="1:39" ht="20.100000000000001" customHeight="1">
      <c r="A77" s="41">
        <v>3</v>
      </c>
      <c r="B77">
        <v>20324</v>
      </c>
      <c r="C77" t="s">
        <v>105</v>
      </c>
      <c r="D77" s="42">
        <v>77</v>
      </c>
      <c r="E77" s="43">
        <f ca="1">IF(D77="","",VLOOKUP(D77,INDIRECT($D$2&amp;6),2,TRUE))</f>
        <v>3</v>
      </c>
      <c r="F77" s="42">
        <v>88</v>
      </c>
      <c r="G77" s="43">
        <f ca="1">IF(F77="","",VLOOKUP(F77,INDIRECT($F$2&amp;6),2,TRUE))</f>
        <v>1</v>
      </c>
      <c r="H77" s="42">
        <v>83</v>
      </c>
      <c r="I77" s="43">
        <f ca="1">IF(H77="","",VLOOKUP(H77,INDIRECT($H$2&amp;6),2,TRUE))</f>
        <v>2</v>
      </c>
      <c r="J77" s="44">
        <f ca="1">(E77+G77+I77)/3</f>
        <v>2</v>
      </c>
      <c r="K77" s="45">
        <v>44</v>
      </c>
      <c r="L77" s="43">
        <f ca="1">IF(K77="","",VLOOKUP(K77,INDIRECT($K$2&amp;6),2,TRUE))</f>
        <v>1</v>
      </c>
      <c r="M77" s="42">
        <v>30</v>
      </c>
      <c r="N77" s="43">
        <f ca="1">IF(M77="","",VLOOKUP(M77,INDIRECT($M$2&amp;6),2,TRUE))</f>
        <v>4</v>
      </c>
      <c r="O77" s="42">
        <v>20.5</v>
      </c>
      <c r="P77" s="43">
        <f ca="1">IF(O77="","",VLOOKUP(O77,INDIRECT($O$2&amp;6),2,TRUE))</f>
        <v>5</v>
      </c>
      <c r="Q77" s="46">
        <f>D77+F77+H77+K77+M77+O77</f>
        <v>342.5</v>
      </c>
      <c r="R77" s="47">
        <f>RANK(Q77,$Q$4:$Q$260,0)</f>
        <v>29</v>
      </c>
      <c r="S77" s="48">
        <f ca="1">(E77+G77+I77+((N77+P77)/2))/4</f>
        <v>2.625</v>
      </c>
      <c r="U77" s="73"/>
      <c r="V77" s="73"/>
      <c r="W77" s="73"/>
      <c r="X77" s="73"/>
      <c r="Y77" s="73"/>
      <c r="Z77" s="97"/>
      <c r="AA77" s="98">
        <v>6</v>
      </c>
      <c r="AB77" s="98">
        <v>8</v>
      </c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</row>
    <row r="78" spans="1:39" ht="20.100000000000001" customHeight="1">
      <c r="A78" s="41">
        <v>3</v>
      </c>
      <c r="B78">
        <v>20325</v>
      </c>
      <c r="C78" t="s">
        <v>106</v>
      </c>
      <c r="D78" s="42">
        <v>51</v>
      </c>
      <c r="E78" s="43">
        <f ca="1">IF(D78="","",VLOOKUP(D78,INDIRECT($D$2&amp;6),2,TRUE))</f>
        <v>5</v>
      </c>
      <c r="F78" s="42">
        <v>78</v>
      </c>
      <c r="G78" s="43">
        <f ca="1">IF(F78="","",VLOOKUP(F78,INDIRECT($F$2&amp;6),2,TRUE))</f>
        <v>2</v>
      </c>
      <c r="H78" s="42">
        <v>71</v>
      </c>
      <c r="I78" s="43">
        <f ca="1">IF(H78="","",VLOOKUP(H78,INDIRECT($H$2&amp;6),2,TRUE))</f>
        <v>3</v>
      </c>
      <c r="J78" s="44">
        <f ca="1">(E78+G78+I78)/3</f>
        <v>3.3333333333333335</v>
      </c>
      <c r="K78" s="45">
        <v>44</v>
      </c>
      <c r="L78" s="43">
        <f ca="1">IF(K78="","",VLOOKUP(K78,INDIRECT($K$2&amp;6),2,TRUE))</f>
        <v>1</v>
      </c>
      <c r="M78" s="42">
        <v>23</v>
      </c>
      <c r="N78" s="43">
        <f ca="1">IF(M78="","",VLOOKUP(M78,INDIRECT($M$2&amp;6),2,TRUE))</f>
        <v>5</v>
      </c>
      <c r="O78" s="42">
        <v>21.5</v>
      </c>
      <c r="P78" s="43">
        <f ca="1">IF(O78="","",VLOOKUP(O78,INDIRECT($O$2&amp;6),2,TRUE))</f>
        <v>4</v>
      </c>
      <c r="Q78" s="46">
        <f>D78+F78+H78+K78+M78+O78</f>
        <v>288.5</v>
      </c>
      <c r="R78" s="47">
        <f>RANK(Q78,$Q$4:$Q$260,0)</f>
        <v>68</v>
      </c>
      <c r="S78" s="48">
        <f ca="1">(E78+G78+I78+((N78+P78)/2))/4</f>
        <v>3.625</v>
      </c>
      <c r="U78" s="73"/>
      <c r="V78" s="73"/>
      <c r="W78" s="73"/>
      <c r="X78" s="73"/>
      <c r="Y78" s="73"/>
      <c r="Z78" s="97"/>
      <c r="AA78" s="99">
        <v>9</v>
      </c>
      <c r="AB78" s="99">
        <v>7</v>
      </c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</row>
    <row r="79" spans="1:39" ht="20.100000000000001" customHeight="1">
      <c r="A79" s="41">
        <v>3</v>
      </c>
      <c r="B79">
        <v>20326</v>
      </c>
      <c r="C79" t="s">
        <v>107</v>
      </c>
      <c r="D79" s="42">
        <v>22</v>
      </c>
      <c r="E79" s="43">
        <f ca="1">IF(D79="","",VLOOKUP(D79,INDIRECT($D$2&amp;6),2,TRUE))</f>
        <v>7</v>
      </c>
      <c r="F79" s="42">
        <v>43</v>
      </c>
      <c r="G79" s="43">
        <f ca="1">IF(F79="","",VLOOKUP(F79,INDIRECT($F$2&amp;6),2,TRUE))</f>
        <v>5</v>
      </c>
      <c r="H79" s="42">
        <v>55</v>
      </c>
      <c r="I79" s="43">
        <f ca="1">IF(H79="","",VLOOKUP(H79,INDIRECT($H$2&amp;6),2,TRUE))</f>
        <v>5</v>
      </c>
      <c r="J79" s="44">
        <f ca="1">(E79+G79+I79)/3</f>
        <v>5.666666666666667</v>
      </c>
      <c r="K79" s="45">
        <v>14</v>
      </c>
      <c r="L79" s="43">
        <f ca="1">IF(K79="","",VLOOKUP(K79,INDIRECT($K$2&amp;6),2,TRUE))</f>
        <v>7</v>
      </c>
      <c r="M79" s="42">
        <v>9</v>
      </c>
      <c r="N79" s="43">
        <f ca="1">IF(M79="","",VLOOKUP(M79,INDIRECT($M$2&amp;6),2,TRUE))</f>
        <v>7</v>
      </c>
      <c r="O79" s="42">
        <v>16</v>
      </c>
      <c r="P79" s="43">
        <f ca="1">IF(O79="","",VLOOKUP(O79,INDIRECT($O$2&amp;6),2,TRUE))</f>
        <v>5</v>
      </c>
      <c r="Q79" s="46">
        <f>D79+F79+H79+K79+M79+O79</f>
        <v>159</v>
      </c>
      <c r="R79" s="47">
        <f>RANK(Q79,$Q$4:$Q$260,0)</f>
        <v>199</v>
      </c>
      <c r="S79" s="48">
        <f ca="1">(E79+G79+I79+((N79+P79)/2))/4</f>
        <v>5.75</v>
      </c>
      <c r="U79" s="73"/>
      <c r="V79" s="73"/>
      <c r="W79" s="73"/>
      <c r="X79" s="73"/>
      <c r="Y79" s="73"/>
      <c r="Z79" s="97"/>
      <c r="AA79" s="99">
        <v>12</v>
      </c>
      <c r="AB79" s="99">
        <v>6</v>
      </c>
      <c r="AC79" s="73"/>
      <c r="AD79" s="73"/>
      <c r="AE79" s="73"/>
    </row>
    <row r="80" spans="1:39" ht="20.100000000000001" customHeight="1">
      <c r="A80" s="41">
        <v>4</v>
      </c>
      <c r="B80">
        <v>20401</v>
      </c>
      <c r="C80" t="s">
        <v>108</v>
      </c>
      <c r="D80" s="42">
        <v>28</v>
      </c>
      <c r="E80" s="43">
        <f ca="1">IF(D80="","",VLOOKUP(D80,INDIRECT($D$2&amp;6),2,TRUE))</f>
        <v>7</v>
      </c>
      <c r="F80" s="42">
        <v>49</v>
      </c>
      <c r="G80" s="43">
        <f ca="1">IF(F80="","",VLOOKUP(F80,INDIRECT($F$2&amp;6),2,TRUE))</f>
        <v>4</v>
      </c>
      <c r="H80" s="42">
        <v>66</v>
      </c>
      <c r="I80" s="43">
        <f ca="1">IF(H80="","",VLOOKUP(H80,INDIRECT($H$2&amp;6),2,TRUE))</f>
        <v>4</v>
      </c>
      <c r="J80" s="44">
        <f ca="1">(E80+G80+I80)/3</f>
        <v>5</v>
      </c>
      <c r="K80" s="45">
        <v>36</v>
      </c>
      <c r="L80" s="43">
        <f ca="1">IF(K80="","",VLOOKUP(K80,INDIRECT($K$2&amp;6),2,TRUE))</f>
        <v>2</v>
      </c>
      <c r="M80" s="42">
        <v>26.5</v>
      </c>
      <c r="N80" s="43">
        <f ca="1">IF(M80="","",VLOOKUP(M80,INDIRECT($M$2&amp;6),2,TRUE))</f>
        <v>4</v>
      </c>
      <c r="O80" s="42">
        <v>20.5</v>
      </c>
      <c r="P80" s="43">
        <f ca="1">IF(O80="","",VLOOKUP(O80,INDIRECT($O$2&amp;6),2,TRUE))</f>
        <v>5</v>
      </c>
      <c r="Q80" s="46">
        <f>D80+F80+H80+K80+M80+O80</f>
        <v>226</v>
      </c>
      <c r="R80" s="47">
        <f>RANK(Q80,$Q$4:$Q$260,0)</f>
        <v>130</v>
      </c>
      <c r="S80" s="48">
        <f ca="1">(E80+G80+I80+((N80+P80)/2))/4</f>
        <v>4.875</v>
      </c>
      <c r="W80" s="73"/>
      <c r="X80" s="73"/>
      <c r="Y80" s="73"/>
      <c r="Z80" s="97"/>
      <c r="AA80" s="99">
        <v>15.5</v>
      </c>
      <c r="AB80" s="99">
        <v>5</v>
      </c>
      <c r="AC80" s="73"/>
      <c r="AD80" s="73"/>
      <c r="AE80" s="73"/>
    </row>
    <row r="81" spans="1:31" ht="20.100000000000001" customHeight="1">
      <c r="A81" s="41">
        <v>4</v>
      </c>
      <c r="B81">
        <v>20402</v>
      </c>
      <c r="C81" t="s">
        <v>109</v>
      </c>
      <c r="D81" s="42">
        <v>59</v>
      </c>
      <c r="E81" s="43">
        <f ca="1">IF(D81="","",VLOOKUP(D81,INDIRECT($D$2&amp;6),2,TRUE))</f>
        <v>4</v>
      </c>
      <c r="F81" s="42">
        <v>39</v>
      </c>
      <c r="G81" s="43">
        <f ca="1">IF(F81="","",VLOOKUP(F81,INDIRECT($F$2&amp;6),2,TRUE))</f>
        <v>5</v>
      </c>
      <c r="H81" s="42">
        <v>72</v>
      </c>
      <c r="I81" s="43">
        <f ca="1">IF(H81="","",VLOOKUP(H81,INDIRECT($H$2&amp;6),2,TRUE))</f>
        <v>3</v>
      </c>
      <c r="J81" s="44">
        <f ca="1">(E81+G81+I81)/3</f>
        <v>4</v>
      </c>
      <c r="K81" s="45">
        <v>23</v>
      </c>
      <c r="L81" s="43">
        <f ca="1">IF(K81="","",VLOOKUP(K81,INDIRECT($K$2&amp;6),2,TRUE))</f>
        <v>5</v>
      </c>
      <c r="M81" s="42">
        <v>24.5</v>
      </c>
      <c r="N81" s="43">
        <f ca="1">IF(M81="","",VLOOKUP(M81,INDIRECT($M$2&amp;6),2,TRUE))</f>
        <v>5</v>
      </c>
      <c r="O81" s="42">
        <v>22.5</v>
      </c>
      <c r="P81" s="43">
        <f ca="1">IF(O81="","",VLOOKUP(O81,INDIRECT($O$2&amp;6),2,TRUE))</f>
        <v>4</v>
      </c>
      <c r="Q81" s="46">
        <f>D81+F81+H81+K81+M81+O81</f>
        <v>240</v>
      </c>
      <c r="R81" s="47">
        <f>RANK(Q81,$Q$4:$Q$260,0)</f>
        <v>113</v>
      </c>
      <c r="S81" s="48">
        <f ca="1">(E81+G81+I81+((N81+P81)/2))/4</f>
        <v>4.125</v>
      </c>
      <c r="W81" s="73"/>
      <c r="X81" s="73"/>
      <c r="Y81" s="73"/>
      <c r="Z81" s="97"/>
      <c r="AA81" s="99">
        <v>21.5</v>
      </c>
      <c r="AB81" s="99">
        <v>4</v>
      </c>
      <c r="AC81" s="73"/>
      <c r="AD81" s="73"/>
      <c r="AE81" s="73"/>
    </row>
    <row r="82" spans="1:31" ht="20.100000000000001" customHeight="1">
      <c r="A82" s="41">
        <v>4</v>
      </c>
      <c r="B82">
        <v>20403</v>
      </c>
      <c r="C82" t="s">
        <v>110</v>
      </c>
      <c r="D82" s="42">
        <v>37</v>
      </c>
      <c r="E82" s="43">
        <f ca="1">IF(D82="","",VLOOKUP(D82,INDIRECT($D$2&amp;6),2,TRUE))</f>
        <v>6</v>
      </c>
      <c r="F82" s="42">
        <v>76</v>
      </c>
      <c r="G82" s="43">
        <f ca="1">IF(F82="","",VLOOKUP(F82,INDIRECT($F$2&amp;6),2,TRUE))</f>
        <v>2</v>
      </c>
      <c r="H82" s="42">
        <v>60</v>
      </c>
      <c r="I82" s="43">
        <f ca="1">IF(H82="","",VLOOKUP(H82,INDIRECT($H$2&amp;6),2,TRUE))</f>
        <v>4</v>
      </c>
      <c r="J82" s="44">
        <f ca="1">(E82+G82+I82)/3</f>
        <v>4</v>
      </c>
      <c r="K82" s="45">
        <v>10</v>
      </c>
      <c r="L82" s="43">
        <f ca="1">IF(K82="","",VLOOKUP(K82,INDIRECT($K$2&amp;6),2,TRUE))</f>
        <v>7</v>
      </c>
      <c r="M82" s="42">
        <v>15</v>
      </c>
      <c r="N82" s="43">
        <f ca="1">IF(M82="","",VLOOKUP(M82,INDIRECT($M$2&amp;6),2,TRUE))</f>
        <v>6</v>
      </c>
      <c r="O82" s="42">
        <v>17</v>
      </c>
      <c r="P82" s="43">
        <f ca="1">IF(O82="","",VLOOKUP(O82,INDIRECT($O$2&amp;6),2,TRUE))</f>
        <v>5</v>
      </c>
      <c r="Q82" s="46">
        <f>D82+F82+H82+K82+M82+O82</f>
        <v>215</v>
      </c>
      <c r="R82" s="47">
        <f>RANK(Q82,$Q$4:$Q$260,0)</f>
        <v>142</v>
      </c>
      <c r="S82" s="48">
        <f ca="1">(E82+G82+I82+((N82+P82)/2))/4</f>
        <v>4.375</v>
      </c>
      <c r="W82" s="73"/>
      <c r="X82" s="73"/>
      <c r="Y82" s="73"/>
      <c r="Z82" s="97"/>
      <c r="AA82" s="99">
        <v>28</v>
      </c>
      <c r="AB82" s="99">
        <v>3</v>
      </c>
      <c r="AC82" s="73"/>
      <c r="AD82" s="73"/>
      <c r="AE82" s="73"/>
    </row>
    <row r="83" spans="1:31" ht="20.100000000000001" customHeight="1">
      <c r="A83" s="41">
        <v>4</v>
      </c>
      <c r="B83">
        <v>20404</v>
      </c>
      <c r="C83" t="s">
        <v>53</v>
      </c>
      <c r="D83" s="42">
        <v>38</v>
      </c>
      <c r="E83" s="43">
        <f ca="1">IF(D83="","",VLOOKUP(D83,INDIRECT($D$2&amp;6),2,TRUE))</f>
        <v>6</v>
      </c>
      <c r="F83" s="42">
        <v>39</v>
      </c>
      <c r="G83" s="43">
        <f ca="1">IF(F83="","",VLOOKUP(F83,INDIRECT($F$2&amp;6),2,TRUE))</f>
        <v>5</v>
      </c>
      <c r="H83" s="42">
        <v>52</v>
      </c>
      <c r="I83" s="43">
        <f ca="1">IF(H83="","",VLOOKUP(H83,INDIRECT($H$2&amp;6),2,TRUE))</f>
        <v>5</v>
      </c>
      <c r="J83" s="44">
        <f ca="1">(E83+G83+I83)/3</f>
        <v>5.333333333333333</v>
      </c>
      <c r="K83" s="45">
        <v>34</v>
      </c>
      <c r="L83" s="43">
        <f ca="1">IF(K83="","",VLOOKUP(K83,INDIRECT($K$2&amp;6),2,TRUE))</f>
        <v>3</v>
      </c>
      <c r="M83" s="42">
        <v>23</v>
      </c>
      <c r="N83" s="43">
        <f ca="1">IF(M83="","",VLOOKUP(M83,INDIRECT($M$2&amp;6),2,TRUE))</f>
        <v>5</v>
      </c>
      <c r="O83" s="42">
        <v>8</v>
      </c>
      <c r="P83" s="43">
        <f ca="1">IF(O83="","",VLOOKUP(O83,INDIRECT($O$2&amp;6),2,TRUE))</f>
        <v>8</v>
      </c>
      <c r="Q83" s="46">
        <f>D83+F83+H83+K83+M83+O83</f>
        <v>194</v>
      </c>
      <c r="R83" s="47">
        <f>RANK(Q83,$Q$4:$Q$260,0)</f>
        <v>165</v>
      </c>
      <c r="S83" s="48">
        <f ca="1">(E83+G83+I83+((N83+P83)/2))/4</f>
        <v>5.625</v>
      </c>
      <c r="W83" s="73"/>
      <c r="X83" s="73"/>
      <c r="Y83" s="73"/>
      <c r="Z83" s="97"/>
      <c r="AA83" s="99">
        <v>35</v>
      </c>
      <c r="AB83" s="99">
        <v>2</v>
      </c>
      <c r="AC83" s="73"/>
      <c r="AD83" s="73"/>
      <c r="AE83" s="73"/>
    </row>
    <row r="84" spans="1:31" ht="20.100000000000001" customHeight="1" thickBot="1">
      <c r="A84" s="41">
        <v>4</v>
      </c>
      <c r="B84">
        <v>20405</v>
      </c>
      <c r="C84" t="s">
        <v>111</v>
      </c>
      <c r="D84" s="42">
        <v>31</v>
      </c>
      <c r="E84" s="43">
        <f ca="1">IF(D84="","",VLOOKUP(D84,INDIRECT($D$2&amp;6),2,TRUE))</f>
        <v>6</v>
      </c>
      <c r="F84" s="42">
        <v>35</v>
      </c>
      <c r="G84" s="43">
        <f ca="1">IF(F84="","",VLOOKUP(F84,INDIRECT($F$2&amp;6),2,TRUE))</f>
        <v>5</v>
      </c>
      <c r="H84" s="42">
        <v>63</v>
      </c>
      <c r="I84" s="43">
        <f ca="1">IF(H84="","",VLOOKUP(H84,INDIRECT($H$2&amp;6),2,TRUE))</f>
        <v>4</v>
      </c>
      <c r="J84" s="44">
        <f ca="1">(E84+G84+I84)/3</f>
        <v>5</v>
      </c>
      <c r="K84" s="45">
        <v>37</v>
      </c>
      <c r="L84" s="43">
        <f ca="1">IF(K84="","",VLOOKUP(K84,INDIRECT($K$2&amp;6),2,TRUE))</f>
        <v>2</v>
      </c>
      <c r="M84" s="42">
        <v>8.5</v>
      </c>
      <c r="N84" s="43">
        <f ca="1">IF(M84="","",VLOOKUP(M84,INDIRECT($M$2&amp;6),2,TRUE))</f>
        <v>8</v>
      </c>
      <c r="O84" s="42">
        <v>6.5</v>
      </c>
      <c r="P84" s="43">
        <f ca="1">IF(O84="","",VLOOKUP(O84,INDIRECT($O$2&amp;6),2,TRUE))</f>
        <v>8</v>
      </c>
      <c r="Q84" s="46">
        <f>D84+F84+H84+K84+M84+O84</f>
        <v>181</v>
      </c>
      <c r="R84" s="47">
        <f>RANK(Q84,$Q$4:$Q$260,0)</f>
        <v>181</v>
      </c>
      <c r="S84" s="48">
        <f ca="1">(E84+G84+I84+((N84+P84)/2))/4</f>
        <v>5.75</v>
      </c>
      <c r="W84" s="73"/>
      <c r="X84" s="73"/>
      <c r="Y84" s="73"/>
      <c r="Z84" s="100"/>
      <c r="AA84" s="101">
        <v>42.5</v>
      </c>
      <c r="AB84" s="101">
        <v>1</v>
      </c>
      <c r="AC84" s="73"/>
      <c r="AD84" s="73"/>
      <c r="AE84" s="73"/>
    </row>
    <row r="85" spans="1:31" ht="20.100000000000001" customHeight="1">
      <c r="A85" s="41">
        <v>4</v>
      </c>
      <c r="B85">
        <v>20406</v>
      </c>
      <c r="C85" t="s">
        <v>112</v>
      </c>
      <c r="D85" s="42">
        <v>38</v>
      </c>
      <c r="E85" s="43">
        <f ca="1">IF(D85="","",VLOOKUP(D85,INDIRECT($D$2&amp;6),2,TRUE))</f>
        <v>6</v>
      </c>
      <c r="F85" s="42">
        <v>61</v>
      </c>
      <c r="G85" s="43">
        <f ca="1">IF(F85="","",VLOOKUP(F85,INDIRECT($F$2&amp;6),2,TRUE))</f>
        <v>4</v>
      </c>
      <c r="H85" s="42">
        <v>19</v>
      </c>
      <c r="I85" s="43">
        <f ca="1">IF(H85="","",VLOOKUP(H85,INDIRECT($H$2&amp;6),2,TRUE))</f>
        <v>9</v>
      </c>
      <c r="J85" s="44">
        <f ca="1">(E85+G85+I85)/3</f>
        <v>6.333333333333333</v>
      </c>
      <c r="K85" s="45">
        <v>37</v>
      </c>
      <c r="L85" s="43">
        <f ca="1">IF(K85="","",VLOOKUP(K85,INDIRECT($K$2&amp;6),2,TRUE))</f>
        <v>2</v>
      </c>
      <c r="M85" s="42">
        <v>18.5</v>
      </c>
      <c r="N85" s="43">
        <f ca="1">IF(M85="","",VLOOKUP(M85,INDIRECT($M$2&amp;6),2,TRUE))</f>
        <v>6</v>
      </c>
      <c r="O85" s="42">
        <v>34</v>
      </c>
      <c r="P85" s="43">
        <f ca="1">IF(O85="","",VLOOKUP(O85,INDIRECT($O$2&amp;6),2,TRUE))</f>
        <v>3</v>
      </c>
      <c r="Q85" s="46">
        <f>D85+F85+H85+K85+M85+O85</f>
        <v>207.5</v>
      </c>
      <c r="R85" s="47">
        <f>RANK(Q85,$Q$4:$Q$260,0)</f>
        <v>152</v>
      </c>
      <c r="S85" s="48">
        <f ca="1">(E85+G85+I85+((N85+P85)/2))/4</f>
        <v>5.875</v>
      </c>
      <c r="W85" s="73"/>
      <c r="X85" s="73"/>
      <c r="Y85" s="73"/>
      <c r="Z85" s="73"/>
      <c r="AA85" s="73"/>
      <c r="AB85" s="73"/>
      <c r="AC85" s="73"/>
      <c r="AD85" s="73"/>
      <c r="AE85" s="73"/>
    </row>
    <row r="86" spans="1:31" ht="20.100000000000001" customHeight="1">
      <c r="A86" s="41">
        <v>4</v>
      </c>
      <c r="B86">
        <v>20407</v>
      </c>
      <c r="C86" t="s">
        <v>113</v>
      </c>
      <c r="D86" s="42">
        <v>52</v>
      </c>
      <c r="E86" s="43">
        <f ca="1">IF(D86="","",VLOOKUP(D86,INDIRECT($D$2&amp;6),2,TRUE))</f>
        <v>5</v>
      </c>
      <c r="F86" s="42">
        <v>39</v>
      </c>
      <c r="G86" s="43">
        <f ca="1">IF(F86="","",VLOOKUP(F86,INDIRECT($F$2&amp;6),2,TRUE))</f>
        <v>5</v>
      </c>
      <c r="H86" s="42">
        <v>70</v>
      </c>
      <c r="I86" s="43">
        <f ca="1">IF(H86="","",VLOOKUP(H86,INDIRECT($H$2&amp;6),2,TRUE))</f>
        <v>3</v>
      </c>
      <c r="J86" s="44">
        <f ca="1">(E86+G86+I86)/3</f>
        <v>4.333333333333333</v>
      </c>
      <c r="K86" s="45">
        <v>23</v>
      </c>
      <c r="L86" s="43">
        <f ca="1">IF(K86="","",VLOOKUP(K86,INDIRECT($K$2&amp;6),2,TRUE))</f>
        <v>5</v>
      </c>
      <c r="M86" s="42">
        <v>28.5</v>
      </c>
      <c r="N86" s="43">
        <f ca="1">IF(M86="","",VLOOKUP(M86,INDIRECT($M$2&amp;6),2,TRUE))</f>
        <v>4</v>
      </c>
      <c r="O86" s="42">
        <v>29.5</v>
      </c>
      <c r="P86" s="43">
        <f ca="1">IF(O86="","",VLOOKUP(O86,INDIRECT($O$2&amp;6),2,TRUE))</f>
        <v>3</v>
      </c>
      <c r="Q86" s="46">
        <f>D86+F86+H86+K86+M86+O86</f>
        <v>242</v>
      </c>
      <c r="R86" s="47">
        <f>RANK(Q86,$Q$4:$Q$260,0)</f>
        <v>111</v>
      </c>
      <c r="S86" s="48">
        <f ca="1">(E86+G86+I86+((N86+P86)/2))/4</f>
        <v>4.125</v>
      </c>
      <c r="W86" s="73"/>
      <c r="X86" s="73"/>
      <c r="Y86" s="73"/>
      <c r="Z86" s="73"/>
      <c r="AA86" s="73"/>
      <c r="AB86" s="73"/>
      <c r="AC86" s="73"/>
      <c r="AD86" s="73"/>
      <c r="AE86" s="73"/>
    </row>
    <row r="87" spans="1:31" ht="20.100000000000001" customHeight="1">
      <c r="A87" s="41">
        <v>4</v>
      </c>
      <c r="B87">
        <v>20408</v>
      </c>
      <c r="C87" t="s">
        <v>114</v>
      </c>
      <c r="D87" s="42">
        <v>13</v>
      </c>
      <c r="E87" s="43">
        <f ca="1">IF(D87="","",VLOOKUP(D87,INDIRECT($D$2&amp;6),2,TRUE))</f>
        <v>9</v>
      </c>
      <c r="F87" s="42">
        <v>15</v>
      </c>
      <c r="G87" s="43">
        <f ca="1">IF(F87="","",VLOOKUP(F87,INDIRECT($F$2&amp;6),2,TRUE))</f>
        <v>7</v>
      </c>
      <c r="H87" s="42">
        <v>46</v>
      </c>
      <c r="I87" s="43">
        <f ca="1">IF(H87="","",VLOOKUP(H87,INDIRECT($H$2&amp;6),2,TRUE))</f>
        <v>6</v>
      </c>
      <c r="J87" s="44">
        <f ca="1">(E87+G87+I87)/3</f>
        <v>7.333333333333333</v>
      </c>
      <c r="K87" s="45">
        <v>7</v>
      </c>
      <c r="L87" s="43">
        <f ca="1">IF(K87="","",VLOOKUP(K87,INDIRECT($K$2&amp;6),2,TRUE))</f>
        <v>8</v>
      </c>
      <c r="M87" s="42">
        <v>10.5</v>
      </c>
      <c r="N87" s="43">
        <f ca="1">IF(M87="","",VLOOKUP(M87,INDIRECT($M$2&amp;6),2,TRUE))</f>
        <v>7</v>
      </c>
      <c r="O87" s="42">
        <v>10.5</v>
      </c>
      <c r="P87" s="43">
        <f ca="1">IF(O87="","",VLOOKUP(O87,INDIRECT($O$2&amp;6),2,TRUE))</f>
        <v>7</v>
      </c>
      <c r="Q87" s="46">
        <f>D87+F87+H87+K87+M87+O87</f>
        <v>102</v>
      </c>
      <c r="R87" s="47">
        <f>RANK(Q87,$Q$4:$Q$260,0)</f>
        <v>233</v>
      </c>
      <c r="S87" s="48">
        <f ca="1">(E87+G87+I87+((N87+P87)/2))/4</f>
        <v>7.25</v>
      </c>
      <c r="W87" s="73"/>
      <c r="X87" s="73"/>
      <c r="Y87" s="73"/>
      <c r="Z87" s="73"/>
      <c r="AA87" s="73"/>
      <c r="AB87" s="73"/>
      <c r="AC87" s="73"/>
      <c r="AD87" s="73"/>
      <c r="AE87" s="73"/>
    </row>
    <row r="88" spans="1:31" ht="20.100000000000001" customHeight="1">
      <c r="A88" s="41">
        <v>4</v>
      </c>
      <c r="B88">
        <v>20409</v>
      </c>
      <c r="C88" t="s">
        <v>115</v>
      </c>
      <c r="D88" s="42">
        <v>28</v>
      </c>
      <c r="E88" s="43">
        <f ca="1">IF(D88="","",VLOOKUP(D88,INDIRECT($D$2&amp;6),2,TRUE))</f>
        <v>7</v>
      </c>
      <c r="F88" s="42">
        <v>35</v>
      </c>
      <c r="G88" s="43">
        <f ca="1">IF(F88="","",VLOOKUP(F88,INDIRECT($F$2&amp;6),2,TRUE))</f>
        <v>5</v>
      </c>
      <c r="H88" s="42">
        <v>55</v>
      </c>
      <c r="I88" s="43">
        <f ca="1">IF(H88="","",VLOOKUP(H88,INDIRECT($H$2&amp;6),2,TRUE))</f>
        <v>5</v>
      </c>
      <c r="J88" s="44">
        <f ca="1">(E88+G88+I88)/3</f>
        <v>5.666666666666667</v>
      </c>
      <c r="K88" s="45">
        <v>22</v>
      </c>
      <c r="L88" s="43">
        <f ca="1">IF(K88="","",VLOOKUP(K88,INDIRECT($K$2&amp;6),2,TRUE))</f>
        <v>5</v>
      </c>
      <c r="M88" s="42">
        <v>0</v>
      </c>
      <c r="N88" s="43">
        <f ca="1">IF(M88="","",VLOOKUP(M88,INDIRECT($M$2&amp;6),2,TRUE))</f>
        <v>9</v>
      </c>
      <c r="O88" s="42">
        <v>13</v>
      </c>
      <c r="P88" s="43">
        <f ca="1">IF(O88="","",VLOOKUP(O88,INDIRECT($O$2&amp;6),2,TRUE))</f>
        <v>6</v>
      </c>
      <c r="Q88" s="46">
        <f>D88+F88+H88+K88+M88+O88</f>
        <v>153</v>
      </c>
      <c r="R88" s="47">
        <f>RANK(Q88,$Q$4:$Q$260,0)</f>
        <v>205</v>
      </c>
      <c r="S88" s="48">
        <f ca="1">(E88+G88+I88+((N88+P88)/2))/4</f>
        <v>6.125</v>
      </c>
      <c r="W88" s="73"/>
      <c r="X88" s="73"/>
      <c r="Y88" s="73"/>
      <c r="Z88" s="73"/>
      <c r="AA88" s="73"/>
      <c r="AB88" s="73"/>
      <c r="AC88" s="73"/>
      <c r="AD88" s="73"/>
      <c r="AE88" s="73"/>
    </row>
    <row r="89" spans="1:31" ht="20.100000000000001" customHeight="1">
      <c r="A89" s="41">
        <v>4</v>
      </c>
      <c r="B89">
        <v>20410</v>
      </c>
      <c r="C89" t="s">
        <v>116</v>
      </c>
      <c r="D89" s="42">
        <v>84</v>
      </c>
      <c r="E89" s="43">
        <f ca="1">IF(D89="","",VLOOKUP(D89,INDIRECT($D$2&amp;6),2,TRUE))</f>
        <v>2</v>
      </c>
      <c r="F89" s="42">
        <v>64</v>
      </c>
      <c r="G89" s="43">
        <f ca="1">IF(F89="","",VLOOKUP(F89,INDIRECT($F$2&amp;6),2,TRUE))</f>
        <v>3</v>
      </c>
      <c r="H89" s="42">
        <v>79</v>
      </c>
      <c r="I89" s="43">
        <f ca="1">IF(H89="","",VLOOKUP(H89,INDIRECT($H$2&amp;6),2,TRUE))</f>
        <v>3</v>
      </c>
      <c r="J89" s="44">
        <f ca="1">(E89+G89+I89)/3</f>
        <v>2.6666666666666665</v>
      </c>
      <c r="K89" s="45">
        <v>45</v>
      </c>
      <c r="L89" s="43">
        <f ca="1">IF(K89="","",VLOOKUP(K89,INDIRECT($K$2&amp;6),2,TRUE))</f>
        <v>1</v>
      </c>
      <c r="M89" s="42">
        <v>46</v>
      </c>
      <c r="N89" s="43">
        <f ca="1">IF(M89="","",VLOOKUP(M89,INDIRECT($M$2&amp;6),2,TRUE))</f>
        <v>1</v>
      </c>
      <c r="O89" s="42">
        <v>33.5</v>
      </c>
      <c r="P89" s="43">
        <f ca="1">IF(O89="","",VLOOKUP(O89,INDIRECT($O$2&amp;6),2,TRUE))</f>
        <v>3</v>
      </c>
      <c r="Q89" s="46">
        <f>D89+F89+H89+K89+M89+O89</f>
        <v>351.5</v>
      </c>
      <c r="R89" s="47">
        <f>RANK(Q89,$Q$4:$Q$260,0)</f>
        <v>24</v>
      </c>
      <c r="S89" s="48">
        <f ca="1">(E89+G89+I89+((N89+P89)/2))/4</f>
        <v>2.5</v>
      </c>
      <c r="W89" s="73"/>
      <c r="X89" s="73"/>
      <c r="Y89" s="73"/>
      <c r="Z89" s="73"/>
      <c r="AA89" s="73"/>
      <c r="AB89" s="73"/>
      <c r="AC89" s="73"/>
      <c r="AD89" s="73"/>
      <c r="AE89" s="73"/>
    </row>
    <row r="90" spans="1:31" ht="20.100000000000001" customHeight="1">
      <c r="A90" s="41">
        <v>4</v>
      </c>
      <c r="B90">
        <v>20411</v>
      </c>
      <c r="C90" t="s">
        <v>117</v>
      </c>
      <c r="D90" s="42">
        <v>64</v>
      </c>
      <c r="E90" s="43">
        <f ca="1">IF(D90="","",VLOOKUP(D90,INDIRECT($D$2&amp;6),2,TRUE))</f>
        <v>4</v>
      </c>
      <c r="F90" s="42">
        <v>15</v>
      </c>
      <c r="G90" s="43">
        <f ca="1">IF(F90="","",VLOOKUP(F90,INDIRECT($F$2&amp;6),2,TRUE))</f>
        <v>7</v>
      </c>
      <c r="H90" s="42">
        <v>66</v>
      </c>
      <c r="I90" s="43">
        <f ca="1">IF(H90="","",VLOOKUP(H90,INDIRECT($H$2&amp;6),2,TRUE))</f>
        <v>4</v>
      </c>
      <c r="J90" s="44">
        <f ca="1">(E90+G90+I90)/3</f>
        <v>5</v>
      </c>
      <c r="K90" s="45">
        <v>41</v>
      </c>
      <c r="L90" s="43">
        <f ca="1">IF(K90="","",VLOOKUP(K90,INDIRECT($K$2&amp;6),2,TRUE))</f>
        <v>1</v>
      </c>
      <c r="M90" s="42" t="s">
        <v>284</v>
      </c>
      <c r="N90" s="43" t="e">
        <f ca="1">IF(M90="","",VLOOKUP(M90,INDIRECT($M$2&amp;6),2,TRUE))</f>
        <v>#N/A</v>
      </c>
      <c r="O90" s="42" t="s">
        <v>284</v>
      </c>
      <c r="P90" s="43" t="e">
        <f ca="1">IF(O90="","",VLOOKUP(O90,INDIRECT($O$2&amp;6),2,TRUE))</f>
        <v>#N/A</v>
      </c>
      <c r="Q90" s="46"/>
      <c r="R90" s="47" t="e">
        <f>RANK(Q90,$Q$4:$Q$260,0)</f>
        <v>#N/A</v>
      </c>
      <c r="S90" s="48" t="e">
        <f ca="1">(E90+G90+I90+((N90+P90)/2))/4</f>
        <v>#N/A</v>
      </c>
      <c r="W90" s="73"/>
      <c r="X90" s="73"/>
      <c r="Y90" s="73"/>
      <c r="Z90" s="73"/>
      <c r="AA90" s="73"/>
      <c r="AB90" s="73"/>
      <c r="AC90" s="73"/>
      <c r="AD90" s="73"/>
      <c r="AE90" s="73"/>
    </row>
    <row r="91" spans="1:31" ht="20.100000000000001" customHeight="1">
      <c r="A91" s="41">
        <v>4</v>
      </c>
      <c r="B91">
        <v>20412</v>
      </c>
      <c r="C91" t="s">
        <v>118</v>
      </c>
      <c r="D91" s="42">
        <v>27</v>
      </c>
      <c r="E91" s="43">
        <f ca="1">IF(D91="","",VLOOKUP(D91,INDIRECT($D$2&amp;6),2,TRUE))</f>
        <v>7</v>
      </c>
      <c r="F91" s="42">
        <v>9</v>
      </c>
      <c r="G91" s="43">
        <f ca="1">IF(F91="","",VLOOKUP(F91,INDIRECT($F$2&amp;6),2,TRUE))</f>
        <v>8</v>
      </c>
      <c r="H91" s="42">
        <v>20</v>
      </c>
      <c r="I91" s="43">
        <f ca="1">IF(H91="","",VLOOKUP(H91,INDIRECT($H$2&amp;6),2,TRUE))</f>
        <v>8</v>
      </c>
      <c r="J91" s="44">
        <f ca="1">(E91+G91+I91)/3</f>
        <v>7.666666666666667</v>
      </c>
      <c r="K91" s="45">
        <v>18</v>
      </c>
      <c r="L91" s="43">
        <f ca="1">IF(K91="","",VLOOKUP(K91,INDIRECT($K$2&amp;6),2,TRUE))</f>
        <v>6</v>
      </c>
      <c r="M91" s="42">
        <v>12</v>
      </c>
      <c r="N91" s="43">
        <f ca="1">IF(M91="","",VLOOKUP(M91,INDIRECT($M$2&amp;6),2,TRUE))</f>
        <v>6</v>
      </c>
      <c r="O91" s="42">
        <v>11</v>
      </c>
      <c r="P91" s="43">
        <f ca="1">IF(O91="","",VLOOKUP(O91,INDIRECT($O$2&amp;6),2,TRUE))</f>
        <v>7</v>
      </c>
      <c r="Q91" s="46">
        <f>D91+F91+H91+K91+M91+O91</f>
        <v>97</v>
      </c>
      <c r="R91" s="47">
        <f>RANK(Q91,$Q$4:$Q$260,0)</f>
        <v>237</v>
      </c>
      <c r="S91" s="48">
        <f ca="1">(E91+G91+I91+((N91+P91)/2))/4</f>
        <v>7.375</v>
      </c>
      <c r="W91" s="73"/>
      <c r="X91" s="73"/>
      <c r="Y91" s="73"/>
      <c r="Z91" s="73"/>
      <c r="AA91" s="73"/>
      <c r="AB91" s="73"/>
      <c r="AC91" s="73"/>
      <c r="AD91" s="73"/>
      <c r="AE91" s="73"/>
    </row>
    <row r="92" spans="1:31" ht="20.100000000000001" customHeight="1">
      <c r="A92" s="41">
        <v>4</v>
      </c>
      <c r="B92">
        <v>20413</v>
      </c>
      <c r="C92" t="s">
        <v>119</v>
      </c>
      <c r="D92" s="42">
        <v>36</v>
      </c>
      <c r="E92" s="43">
        <f ca="1">IF(D92="","",VLOOKUP(D92,INDIRECT($D$2&amp;6),2,TRUE))</f>
        <v>6</v>
      </c>
      <c r="F92" s="42">
        <v>49</v>
      </c>
      <c r="G92" s="43">
        <f ca="1">IF(F92="","",VLOOKUP(F92,INDIRECT($F$2&amp;6),2,TRUE))</f>
        <v>4</v>
      </c>
      <c r="H92" s="42">
        <v>54</v>
      </c>
      <c r="I92" s="43">
        <f ca="1">IF(H92="","",VLOOKUP(H92,INDIRECT($H$2&amp;6),2,TRUE))</f>
        <v>5</v>
      </c>
      <c r="J92" s="44">
        <f ca="1">(E92+G92+I92)/3</f>
        <v>5</v>
      </c>
      <c r="K92" s="45">
        <v>12</v>
      </c>
      <c r="L92" s="43">
        <f ca="1">IF(K92="","",VLOOKUP(K92,INDIRECT($K$2&amp;6),2,TRUE))</f>
        <v>7</v>
      </c>
      <c r="M92" s="42">
        <v>7</v>
      </c>
      <c r="N92" s="43">
        <f ca="1">IF(M92="","",VLOOKUP(M92,INDIRECT($M$2&amp;6),2,TRUE))</f>
        <v>8</v>
      </c>
      <c r="O92" s="42">
        <v>35.5</v>
      </c>
      <c r="P92" s="43">
        <f ca="1">IF(O92="","",VLOOKUP(O92,INDIRECT($O$2&amp;6),2,TRUE))</f>
        <v>2</v>
      </c>
      <c r="Q92" s="46">
        <f>D92+F92+H92+K92+M92+O92</f>
        <v>193.5</v>
      </c>
      <c r="R92" s="47">
        <f>RANK(Q92,$Q$4:$Q$260,0)</f>
        <v>167</v>
      </c>
      <c r="S92" s="48">
        <f ca="1">(E92+G92+I92+((N92+P92)/2))/4</f>
        <v>5</v>
      </c>
    </row>
    <row r="93" spans="1:31" ht="20.100000000000001" customHeight="1">
      <c r="A93" s="41">
        <v>4</v>
      </c>
      <c r="B93">
        <v>20414</v>
      </c>
      <c r="C93" t="s">
        <v>120</v>
      </c>
      <c r="D93" s="42">
        <v>58</v>
      </c>
      <c r="E93" s="43">
        <f ca="1">IF(D93="","",VLOOKUP(D93,INDIRECT($D$2&amp;6),2,TRUE))</f>
        <v>5</v>
      </c>
      <c r="F93" s="42">
        <v>58</v>
      </c>
      <c r="G93" s="43">
        <f ca="1">IF(F93="","",VLOOKUP(F93,INDIRECT($F$2&amp;6),2,TRUE))</f>
        <v>4</v>
      </c>
      <c r="H93" s="42">
        <v>59</v>
      </c>
      <c r="I93" s="43">
        <f ca="1">IF(H93="","",VLOOKUP(H93,INDIRECT($H$2&amp;6),2,TRUE))</f>
        <v>5</v>
      </c>
      <c r="J93" s="44">
        <f ca="1">(E93+G93+I93)/3</f>
        <v>4.666666666666667</v>
      </c>
      <c r="K93" s="45">
        <v>31</v>
      </c>
      <c r="L93" s="43">
        <f ca="1">IF(K93="","",VLOOKUP(K93,INDIRECT($K$2&amp;6),2,TRUE))</f>
        <v>3</v>
      </c>
      <c r="M93" s="42">
        <v>24.5</v>
      </c>
      <c r="N93" s="43">
        <f ca="1">IF(M93="","",VLOOKUP(M93,INDIRECT($M$2&amp;6),2,TRUE))</f>
        <v>5</v>
      </c>
      <c r="O93" s="42">
        <v>29.5</v>
      </c>
      <c r="P93" s="43">
        <f ca="1">IF(O93="","",VLOOKUP(O93,INDIRECT($O$2&amp;6),2,TRUE))</f>
        <v>3</v>
      </c>
      <c r="Q93" s="46">
        <f>D93+F93+H93+K93+M93+O93</f>
        <v>260</v>
      </c>
      <c r="R93" s="47">
        <f>RANK(Q93,$Q$4:$Q$260,0)</f>
        <v>95</v>
      </c>
      <c r="S93" s="48">
        <f ca="1">(E93+G93+I93+((N93+P93)/2))/4</f>
        <v>4.5</v>
      </c>
    </row>
    <row r="94" spans="1:31" ht="20.100000000000001" customHeight="1">
      <c r="A94" s="41">
        <v>4</v>
      </c>
      <c r="B94">
        <v>20415</v>
      </c>
      <c r="C94" t="s">
        <v>121</v>
      </c>
      <c r="D94" s="42">
        <v>34</v>
      </c>
      <c r="E94" s="43">
        <f ca="1">IF(D94="","",VLOOKUP(D94,INDIRECT($D$2&amp;6),2,TRUE))</f>
        <v>6</v>
      </c>
      <c r="F94" s="42">
        <v>21</v>
      </c>
      <c r="G94" s="43">
        <f ca="1">IF(F94="","",VLOOKUP(F94,INDIRECT($F$2&amp;6),2,TRUE))</f>
        <v>6</v>
      </c>
      <c r="H94" s="42">
        <v>39</v>
      </c>
      <c r="I94" s="43">
        <f ca="1">IF(H94="","",VLOOKUP(H94,INDIRECT($H$2&amp;6),2,TRUE))</f>
        <v>7</v>
      </c>
      <c r="J94" s="44">
        <f ca="1">(E94+G94+I94)/3</f>
        <v>6.333333333333333</v>
      </c>
      <c r="K94" s="45">
        <v>16</v>
      </c>
      <c r="L94" s="43">
        <f ca="1">IF(K94="","",VLOOKUP(K94,INDIRECT($K$2&amp;6),2,TRUE))</f>
        <v>6</v>
      </c>
      <c r="M94" s="42">
        <v>22</v>
      </c>
      <c r="N94" s="43">
        <f ca="1">IF(M94="","",VLOOKUP(M94,INDIRECT($M$2&amp;6),2,TRUE))</f>
        <v>5</v>
      </c>
      <c r="O94" s="42">
        <v>17</v>
      </c>
      <c r="P94" s="43">
        <f ca="1">IF(O94="","",VLOOKUP(O94,INDIRECT($O$2&amp;6),2,TRUE))</f>
        <v>5</v>
      </c>
      <c r="Q94" s="46">
        <f>D94+F94+H94+K94+M94+O94</f>
        <v>149</v>
      </c>
      <c r="R94" s="47">
        <f>RANK(Q94,$Q$4:$Q$260,0)</f>
        <v>209</v>
      </c>
      <c r="S94" s="48">
        <f ca="1">(E94+G94+I94+((N94+P94)/2))/4</f>
        <v>6</v>
      </c>
    </row>
    <row r="95" spans="1:31" ht="20.100000000000001" customHeight="1">
      <c r="A95" s="41">
        <v>4</v>
      </c>
      <c r="B95">
        <v>20416</v>
      </c>
      <c r="C95" t="s">
        <v>122</v>
      </c>
      <c r="D95" s="42">
        <v>61</v>
      </c>
      <c r="E95" s="43">
        <f ca="1">IF(D95="","",VLOOKUP(D95,INDIRECT($D$2&amp;6),2,TRUE))</f>
        <v>4</v>
      </c>
      <c r="F95" s="42">
        <v>60</v>
      </c>
      <c r="G95" s="43">
        <f ca="1">IF(F95="","",VLOOKUP(F95,INDIRECT($F$2&amp;6),2,TRUE))</f>
        <v>4</v>
      </c>
      <c r="H95" s="42">
        <v>88</v>
      </c>
      <c r="I95" s="43">
        <f ca="1">IF(H95="","",VLOOKUP(H95,INDIRECT($H$2&amp;6),2,TRUE))</f>
        <v>2</v>
      </c>
      <c r="J95" s="44">
        <f ca="1">(E95+G95+I95)/3</f>
        <v>3.3333333333333335</v>
      </c>
      <c r="K95" s="45">
        <v>37</v>
      </c>
      <c r="L95" s="43">
        <f ca="1">IF(K95="","",VLOOKUP(K95,INDIRECT($K$2&amp;6),2,TRUE))</f>
        <v>2</v>
      </c>
      <c r="M95" s="42">
        <v>30.5</v>
      </c>
      <c r="N95" s="43">
        <f ca="1">IF(M95="","",VLOOKUP(M95,INDIRECT($M$2&amp;6),2,TRUE))</f>
        <v>4</v>
      </c>
      <c r="O95" s="42">
        <v>25.5</v>
      </c>
      <c r="P95" s="43">
        <f ca="1">IF(O95="","",VLOOKUP(O95,INDIRECT($O$2&amp;6),2,TRUE))</f>
        <v>4</v>
      </c>
      <c r="Q95" s="46">
        <f>D95+F95+H95+K95+M95+O95</f>
        <v>302</v>
      </c>
      <c r="R95" s="47">
        <f>RANK(Q95,$Q$4:$Q$260,0)</f>
        <v>62</v>
      </c>
      <c r="S95" s="48">
        <f ca="1">(E95+G95+I95+((N95+P95)/2))/4</f>
        <v>3.5</v>
      </c>
    </row>
    <row r="96" spans="1:31" ht="20.100000000000001" customHeight="1">
      <c r="A96" s="41">
        <v>4</v>
      </c>
      <c r="B96">
        <v>20417</v>
      </c>
      <c r="C96" t="s">
        <v>123</v>
      </c>
      <c r="D96" s="42">
        <v>45</v>
      </c>
      <c r="E96" s="43">
        <f ca="1">IF(D96="","",VLOOKUP(D96,INDIRECT($D$2&amp;6),2,TRUE))</f>
        <v>5</v>
      </c>
      <c r="F96" s="42">
        <v>33</v>
      </c>
      <c r="G96" s="43">
        <f ca="1">IF(F96="","",VLOOKUP(F96,INDIRECT($F$2&amp;6),2,TRUE))</f>
        <v>5</v>
      </c>
      <c r="H96" s="42">
        <v>64</v>
      </c>
      <c r="I96" s="43">
        <f ca="1">IF(H96="","",VLOOKUP(H96,INDIRECT($H$2&amp;6),2,TRUE))</f>
        <v>4</v>
      </c>
      <c r="J96" s="44">
        <f ca="1">(E96+G96+I96)/3</f>
        <v>4.666666666666667</v>
      </c>
      <c r="K96" s="45">
        <v>19</v>
      </c>
      <c r="L96" s="43">
        <f ca="1">IF(K96="","",VLOOKUP(K96,INDIRECT($K$2&amp;6),2,TRUE))</f>
        <v>6</v>
      </c>
      <c r="M96" s="42">
        <v>29.5</v>
      </c>
      <c r="N96" s="43">
        <f ca="1">IF(M96="","",VLOOKUP(M96,INDIRECT($M$2&amp;6),2,TRUE))</f>
        <v>4</v>
      </c>
      <c r="O96" s="42">
        <v>7.5</v>
      </c>
      <c r="P96" s="43">
        <f ca="1">IF(O96="","",VLOOKUP(O96,INDIRECT($O$2&amp;6),2,TRUE))</f>
        <v>8</v>
      </c>
      <c r="Q96" s="46">
        <f>D96+F96+H96+K96+M96+O96</f>
        <v>198</v>
      </c>
      <c r="R96" s="47">
        <f>RANK(Q96,$Q$4:$Q$260,0)</f>
        <v>160</v>
      </c>
      <c r="S96" s="48">
        <f ca="1">(E96+G96+I96+((N96+P96)/2))/4</f>
        <v>5</v>
      </c>
    </row>
    <row r="97" spans="1:19" ht="20.100000000000001" customHeight="1">
      <c r="A97" s="41">
        <v>4</v>
      </c>
      <c r="B97">
        <v>20418</v>
      </c>
      <c r="C97" t="s">
        <v>124</v>
      </c>
      <c r="D97" s="42">
        <v>19</v>
      </c>
      <c r="E97" s="43">
        <f ca="1">IF(D97="","",VLOOKUP(D97,INDIRECT($D$2&amp;6),2,TRUE))</f>
        <v>8</v>
      </c>
      <c r="F97" s="42">
        <v>57</v>
      </c>
      <c r="G97" s="43">
        <f ca="1">IF(F97="","",VLOOKUP(F97,INDIRECT($F$2&amp;6),2,TRUE))</f>
        <v>4</v>
      </c>
      <c r="H97" s="42">
        <v>72</v>
      </c>
      <c r="I97" s="43">
        <f ca="1">IF(H97="","",VLOOKUP(H97,INDIRECT($H$2&amp;6),2,TRUE))</f>
        <v>3</v>
      </c>
      <c r="J97" s="44">
        <f ca="1">(E97+G97+I97)/3</f>
        <v>5</v>
      </c>
      <c r="K97" s="45">
        <v>37</v>
      </c>
      <c r="L97" s="43">
        <f ca="1">IF(K97="","",VLOOKUP(K97,INDIRECT($K$2&amp;6),2,TRUE))</f>
        <v>2</v>
      </c>
      <c r="M97" s="42">
        <v>8.5</v>
      </c>
      <c r="N97" s="43">
        <f ca="1">IF(M97="","",VLOOKUP(M97,INDIRECT($M$2&amp;6),2,TRUE))</f>
        <v>8</v>
      </c>
      <c r="O97" s="42">
        <v>29.5</v>
      </c>
      <c r="P97" s="43">
        <f ca="1">IF(O97="","",VLOOKUP(O97,INDIRECT($O$2&amp;6),2,TRUE))</f>
        <v>3</v>
      </c>
      <c r="Q97" s="46">
        <f>D97+F97+H97+K97+M97+O97</f>
        <v>223</v>
      </c>
      <c r="R97" s="47">
        <f>RANK(Q97,$Q$4:$Q$260,0)</f>
        <v>132</v>
      </c>
      <c r="S97" s="48">
        <f ca="1">(E97+G97+I97+((N97+P97)/2))/4</f>
        <v>5.125</v>
      </c>
    </row>
    <row r="98" spans="1:19" ht="20.100000000000001" customHeight="1">
      <c r="A98" s="41">
        <v>4</v>
      </c>
      <c r="B98">
        <v>20419</v>
      </c>
      <c r="C98" t="s">
        <v>125</v>
      </c>
      <c r="D98" s="42">
        <v>40</v>
      </c>
      <c r="E98" s="43">
        <f ca="1">IF(D98="","",VLOOKUP(D98,INDIRECT($D$2&amp;6),2,TRUE))</f>
        <v>6</v>
      </c>
      <c r="F98" s="42">
        <v>69</v>
      </c>
      <c r="G98" s="43">
        <f ca="1">IF(F98="","",VLOOKUP(F98,INDIRECT($F$2&amp;6),2,TRUE))</f>
        <v>3</v>
      </c>
      <c r="H98" s="42">
        <v>62</v>
      </c>
      <c r="I98" s="43">
        <f ca="1">IF(H98="","",VLOOKUP(H98,INDIRECT($H$2&amp;6),2,TRUE))</f>
        <v>4</v>
      </c>
      <c r="J98" s="44">
        <f ca="1">(E98+G98+I98)/3</f>
        <v>4.333333333333333</v>
      </c>
      <c r="K98" s="45">
        <v>41</v>
      </c>
      <c r="L98" s="43">
        <f ca="1">IF(K98="","",VLOOKUP(K98,INDIRECT($K$2&amp;6),2,TRUE))</f>
        <v>1</v>
      </c>
      <c r="M98" s="42">
        <v>26.5</v>
      </c>
      <c r="N98" s="43">
        <f ca="1">IF(M98="","",VLOOKUP(M98,INDIRECT($M$2&amp;6),2,TRUE))</f>
        <v>4</v>
      </c>
      <c r="O98" s="42">
        <v>35</v>
      </c>
      <c r="P98" s="43">
        <f ca="1">IF(O98="","",VLOOKUP(O98,INDIRECT($O$2&amp;6),2,TRUE))</f>
        <v>2</v>
      </c>
      <c r="Q98" s="46">
        <f>D98+F98+H98+K98+M98+O98</f>
        <v>273.5</v>
      </c>
      <c r="R98" s="47">
        <f>RANK(Q98,$Q$4:$Q$260,0)</f>
        <v>85</v>
      </c>
      <c r="S98" s="48">
        <f ca="1">(E98+G98+I98+((N98+P98)/2))/4</f>
        <v>4</v>
      </c>
    </row>
    <row r="99" spans="1:19" ht="20.100000000000001" customHeight="1">
      <c r="A99" s="41">
        <v>4</v>
      </c>
      <c r="B99">
        <v>20420</v>
      </c>
      <c r="C99" t="s">
        <v>126</v>
      </c>
      <c r="D99" s="42">
        <v>80</v>
      </c>
      <c r="E99" s="43">
        <f ca="1">IF(D99="","",VLOOKUP(D99,INDIRECT($D$2&amp;6),2,TRUE))</f>
        <v>3</v>
      </c>
      <c r="F99" s="42">
        <v>76</v>
      </c>
      <c r="G99" s="43">
        <f ca="1">IF(F99="","",VLOOKUP(F99,INDIRECT($F$2&amp;6),2,TRUE))</f>
        <v>2</v>
      </c>
      <c r="H99" s="42">
        <v>81</v>
      </c>
      <c r="I99" s="43">
        <f ca="1">IF(H99="","",VLOOKUP(H99,INDIRECT($H$2&amp;6),2,TRUE))</f>
        <v>2</v>
      </c>
      <c r="J99" s="44">
        <f ca="1">(E99+G99+I99)/3</f>
        <v>2.3333333333333335</v>
      </c>
      <c r="K99" s="45">
        <v>47</v>
      </c>
      <c r="L99" s="43">
        <f ca="1">IF(K99="","",VLOOKUP(K99,INDIRECT($K$2&amp;6),2,TRUE))</f>
        <v>1</v>
      </c>
      <c r="M99" s="42">
        <v>39.5</v>
      </c>
      <c r="N99" s="43">
        <f ca="1">IF(M99="","",VLOOKUP(M99,INDIRECT($M$2&amp;6),2,TRUE))</f>
        <v>2</v>
      </c>
      <c r="O99" s="42">
        <v>35</v>
      </c>
      <c r="P99" s="43">
        <f ca="1">IF(O99="","",VLOOKUP(O99,INDIRECT($O$2&amp;6),2,TRUE))</f>
        <v>2</v>
      </c>
      <c r="Q99" s="46">
        <f>D99+F99+H99+K99+M99+O99</f>
        <v>358.5</v>
      </c>
      <c r="R99" s="47">
        <f>RANK(Q99,$Q$4:$Q$260,0)</f>
        <v>19</v>
      </c>
      <c r="S99" s="48">
        <f ca="1">(E99+G99+I99+((N99+P99)/2))/4</f>
        <v>2.25</v>
      </c>
    </row>
    <row r="100" spans="1:19" ht="20.100000000000001" customHeight="1">
      <c r="A100" s="41">
        <v>4</v>
      </c>
      <c r="B100">
        <v>20421</v>
      </c>
      <c r="C100" t="s">
        <v>127</v>
      </c>
      <c r="D100" s="42">
        <v>88</v>
      </c>
      <c r="E100" s="43">
        <f ca="1">IF(D100="","",VLOOKUP(D100,INDIRECT($D$2&amp;6),2,TRUE))</f>
        <v>2</v>
      </c>
      <c r="F100" s="42">
        <v>85</v>
      </c>
      <c r="G100" s="43">
        <f ca="1">IF(F100="","",VLOOKUP(F100,INDIRECT($F$2&amp;6),2,TRUE))</f>
        <v>1</v>
      </c>
      <c r="H100" s="42">
        <v>84</v>
      </c>
      <c r="I100" s="43">
        <f ca="1">IF(H100="","",VLOOKUP(H100,INDIRECT($H$2&amp;6),2,TRUE))</f>
        <v>2</v>
      </c>
      <c r="J100" s="44">
        <f ca="1">(E100+G100+I100)/3</f>
        <v>1.6666666666666667</v>
      </c>
      <c r="K100" s="45">
        <v>37</v>
      </c>
      <c r="L100" s="43">
        <f ca="1">IF(K100="","",VLOOKUP(K100,INDIRECT($K$2&amp;6),2,TRUE))</f>
        <v>2</v>
      </c>
      <c r="M100" s="42">
        <v>41.5</v>
      </c>
      <c r="N100" s="43">
        <f ca="1">IF(M100="","",VLOOKUP(M100,INDIRECT($M$2&amp;6),2,TRUE))</f>
        <v>2</v>
      </c>
      <c r="O100" s="42">
        <v>36.5</v>
      </c>
      <c r="P100" s="43">
        <f ca="1">IF(O100="","",VLOOKUP(O100,INDIRECT($O$2&amp;6),2,TRUE))</f>
        <v>2</v>
      </c>
      <c r="Q100" s="46">
        <f>D100+F100+H100+K100+M100+O100</f>
        <v>372</v>
      </c>
      <c r="R100" s="47">
        <f>RANK(Q100,$Q$4:$Q$260,0)</f>
        <v>11</v>
      </c>
      <c r="S100" s="48">
        <f ca="1">(E100+G100+I100+((N100+P100)/2))/4</f>
        <v>1.75</v>
      </c>
    </row>
    <row r="101" spans="1:19" ht="20.100000000000001" customHeight="1">
      <c r="A101" s="41">
        <v>4</v>
      </c>
      <c r="B101">
        <v>20422</v>
      </c>
      <c r="C101" t="s">
        <v>128</v>
      </c>
      <c r="D101" s="42">
        <v>64</v>
      </c>
      <c r="E101" s="43">
        <f ca="1">IF(D101="","",VLOOKUP(D101,INDIRECT($D$2&amp;6),2,TRUE))</f>
        <v>4</v>
      </c>
      <c r="F101" s="42">
        <v>20</v>
      </c>
      <c r="G101" s="43">
        <f ca="1">IF(F101="","",VLOOKUP(F101,INDIRECT($F$2&amp;6),2,TRUE))</f>
        <v>6</v>
      </c>
      <c r="H101" s="42">
        <v>83</v>
      </c>
      <c r="I101" s="43">
        <f ca="1">IF(H101="","",VLOOKUP(H101,INDIRECT($H$2&amp;6),2,TRUE))</f>
        <v>2</v>
      </c>
      <c r="J101" s="44">
        <f ca="1">(E101+G101+I101)/3</f>
        <v>4</v>
      </c>
      <c r="K101" s="45">
        <v>25</v>
      </c>
      <c r="L101" s="43">
        <f ca="1">IF(K101="","",VLOOKUP(K101,INDIRECT($K$2&amp;6),2,TRUE))</f>
        <v>4</v>
      </c>
      <c r="M101" s="42">
        <v>21</v>
      </c>
      <c r="N101" s="43">
        <f ca="1">IF(M101="","",VLOOKUP(M101,INDIRECT($M$2&amp;6),2,TRUE))</f>
        <v>5</v>
      </c>
      <c r="O101" s="42">
        <v>20.5</v>
      </c>
      <c r="P101" s="43">
        <f ca="1">IF(O101="","",VLOOKUP(O101,INDIRECT($O$2&amp;6),2,TRUE))</f>
        <v>5</v>
      </c>
      <c r="Q101" s="46">
        <f>D101+F101+H101+K101+M101+O101</f>
        <v>233.5</v>
      </c>
      <c r="R101" s="47">
        <f>RANK(Q101,$Q$4:$Q$260,0)</f>
        <v>120</v>
      </c>
      <c r="S101" s="48">
        <f ca="1">(E101+G101+I101+((N101+P101)/2))/4</f>
        <v>4.25</v>
      </c>
    </row>
    <row r="102" spans="1:19" ht="20.100000000000001" customHeight="1">
      <c r="A102" s="41">
        <v>4</v>
      </c>
      <c r="B102">
        <v>20423</v>
      </c>
      <c r="C102" t="s">
        <v>129</v>
      </c>
      <c r="D102" s="42">
        <v>79</v>
      </c>
      <c r="E102" s="43">
        <f ca="1">IF(D102="","",VLOOKUP(D102,INDIRECT($D$2&amp;6),2,TRUE))</f>
        <v>3</v>
      </c>
      <c r="F102" s="42">
        <v>77</v>
      </c>
      <c r="G102" s="43">
        <f ca="1">IF(F102="","",VLOOKUP(F102,INDIRECT($F$2&amp;6),2,TRUE))</f>
        <v>2</v>
      </c>
      <c r="H102" s="42">
        <v>73</v>
      </c>
      <c r="I102" s="43">
        <f ca="1">IF(H102="","",VLOOKUP(H102,INDIRECT($H$2&amp;6),2,TRUE))</f>
        <v>3</v>
      </c>
      <c r="J102" s="44">
        <f ca="1">(E102+G102+I102)/3</f>
        <v>2.6666666666666665</v>
      </c>
      <c r="K102" s="45">
        <v>42</v>
      </c>
      <c r="L102" s="43">
        <f ca="1">IF(K102="","",VLOOKUP(K102,INDIRECT($K$2&amp;6),2,TRUE))</f>
        <v>1</v>
      </c>
      <c r="M102" s="42">
        <v>28</v>
      </c>
      <c r="N102" s="43">
        <f ca="1">IF(M102="","",VLOOKUP(M102,INDIRECT($M$2&amp;6),2,TRUE))</f>
        <v>4</v>
      </c>
      <c r="O102" s="42">
        <v>35.5</v>
      </c>
      <c r="P102" s="43">
        <f ca="1">IF(O102="","",VLOOKUP(O102,INDIRECT($O$2&amp;6),2,TRUE))</f>
        <v>2</v>
      </c>
      <c r="Q102" s="46">
        <f>D102+F102+H102+K102+M102+O102</f>
        <v>334.5</v>
      </c>
      <c r="R102" s="47">
        <f>RANK(Q102,$Q$4:$Q$260,0)</f>
        <v>36</v>
      </c>
      <c r="S102" s="48">
        <f ca="1">(E102+G102+I102+((N102+P102)/2))/4</f>
        <v>2.75</v>
      </c>
    </row>
    <row r="103" spans="1:19" ht="20.100000000000001" customHeight="1">
      <c r="A103" s="41">
        <v>4</v>
      </c>
      <c r="B103">
        <v>20424</v>
      </c>
      <c r="C103" t="s">
        <v>130</v>
      </c>
      <c r="D103" s="42">
        <v>26</v>
      </c>
      <c r="E103" s="43">
        <f ca="1">IF(D103="","",VLOOKUP(D103,INDIRECT($D$2&amp;6),2,TRUE))</f>
        <v>7</v>
      </c>
      <c r="F103" s="42">
        <v>55</v>
      </c>
      <c r="G103" s="43">
        <f ca="1">IF(F103="","",VLOOKUP(F103,INDIRECT($F$2&amp;6),2,TRUE))</f>
        <v>4</v>
      </c>
      <c r="H103" s="42">
        <v>29</v>
      </c>
      <c r="I103" s="43">
        <f ca="1">IF(H103="","",VLOOKUP(H103,INDIRECT($H$2&amp;6),2,TRUE))</f>
        <v>8</v>
      </c>
      <c r="J103" s="44">
        <f ca="1">(E103+G103+I103)/3</f>
        <v>6.333333333333333</v>
      </c>
      <c r="K103" s="45">
        <v>7</v>
      </c>
      <c r="L103" s="43">
        <f ca="1">IF(K103="","",VLOOKUP(K103,INDIRECT($K$2&amp;6),2,TRUE))</f>
        <v>8</v>
      </c>
      <c r="M103" s="42">
        <v>2</v>
      </c>
      <c r="N103" s="43">
        <f ca="1">IF(M103="","",VLOOKUP(M103,INDIRECT($M$2&amp;6),2,TRUE))</f>
        <v>9</v>
      </c>
      <c r="O103" s="42">
        <v>20</v>
      </c>
      <c r="P103" s="43">
        <f ca="1">IF(O103="","",VLOOKUP(O103,INDIRECT($O$2&amp;6),2,TRUE))</f>
        <v>5</v>
      </c>
      <c r="Q103" s="46">
        <f>D103+F103+H103+K103+M103+O103</f>
        <v>139</v>
      </c>
      <c r="R103" s="47">
        <f>RANK(Q103,$Q$4:$Q$260,0)</f>
        <v>213</v>
      </c>
      <c r="S103" s="48">
        <f ca="1">(E103+G103+I103+((N103+P103)/2))/4</f>
        <v>6.5</v>
      </c>
    </row>
    <row r="104" spans="1:19" ht="20.100000000000001" customHeight="1">
      <c r="A104" s="41">
        <v>4</v>
      </c>
      <c r="B104">
        <v>20425</v>
      </c>
      <c r="C104" t="s">
        <v>131</v>
      </c>
      <c r="D104" s="42" t="e">
        <v>#N/A</v>
      </c>
      <c r="E104" s="43" t="e">
        <f ca="1">IF(D104="","",VLOOKUP(D104,INDIRECT($D$2&amp;6),2,TRUE))</f>
        <v>#N/A</v>
      </c>
      <c r="F104" s="42" t="e">
        <v>#N/A</v>
      </c>
      <c r="G104" s="43" t="e">
        <f ca="1">IF(F104="","",VLOOKUP(F104,INDIRECT($F$2&amp;6),2,TRUE))</f>
        <v>#N/A</v>
      </c>
      <c r="H104" s="42" t="e">
        <v>#N/A</v>
      </c>
      <c r="I104" s="43" t="e">
        <f ca="1">IF(H104="","",VLOOKUP(H104,INDIRECT($H$2&amp;6),2,TRUE))</f>
        <v>#N/A</v>
      </c>
      <c r="J104" s="44" t="e">
        <f ca="1">(E104+G104+I104)/3</f>
        <v>#N/A</v>
      </c>
      <c r="K104" s="45" t="e">
        <v>#N/A</v>
      </c>
      <c r="L104" s="43" t="e">
        <f ca="1">IF(K104="","",VLOOKUP(K104,INDIRECT($K$2&amp;6),2,TRUE))</f>
        <v>#N/A</v>
      </c>
      <c r="M104" s="42" t="e">
        <v>#N/A</v>
      </c>
      <c r="N104" s="43" t="e">
        <f ca="1">IF(M104="","",VLOOKUP(M104,INDIRECT($M$2&amp;6),2,TRUE))</f>
        <v>#N/A</v>
      </c>
      <c r="O104" s="42" t="e">
        <v>#N/A</v>
      </c>
      <c r="P104" s="43" t="e">
        <f ca="1">IF(O104="","",VLOOKUP(O104,INDIRECT($O$2&amp;6),2,TRUE))</f>
        <v>#N/A</v>
      </c>
      <c r="Q104" s="46"/>
      <c r="R104" s="47" t="e">
        <f>RANK(Q104,$Q$4:$Q$260,0)</f>
        <v>#N/A</v>
      </c>
      <c r="S104" s="48" t="e">
        <f ca="1">(E104+G104+I104+((N104+P104)/2))/4</f>
        <v>#N/A</v>
      </c>
    </row>
    <row r="105" spans="1:19" ht="20.100000000000001" customHeight="1">
      <c r="A105" s="41">
        <v>4</v>
      </c>
      <c r="B105">
        <v>20426</v>
      </c>
      <c r="C105" t="s">
        <v>132</v>
      </c>
      <c r="D105" s="42">
        <v>22</v>
      </c>
      <c r="E105" s="43">
        <f ca="1">IF(D105="","",VLOOKUP(D105,INDIRECT($D$2&amp;6),2,TRUE))</f>
        <v>7</v>
      </c>
      <c r="F105" s="42">
        <v>25</v>
      </c>
      <c r="G105" s="43">
        <f ca="1">IF(F105="","",VLOOKUP(F105,INDIRECT($F$2&amp;6),2,TRUE))</f>
        <v>6</v>
      </c>
      <c r="H105" s="42">
        <v>28</v>
      </c>
      <c r="I105" s="43">
        <f ca="1">IF(H105="","",VLOOKUP(H105,INDIRECT($H$2&amp;6),2,TRUE))</f>
        <v>8</v>
      </c>
      <c r="J105" s="44">
        <f ca="1">(E105+G105+I105)/3</f>
        <v>7</v>
      </c>
      <c r="K105" s="45">
        <v>41</v>
      </c>
      <c r="L105" s="43">
        <f ca="1">IF(K105="","",VLOOKUP(K105,INDIRECT($K$2&amp;6),2,TRUE))</f>
        <v>1</v>
      </c>
      <c r="M105" s="42">
        <v>3</v>
      </c>
      <c r="N105" s="43">
        <f ca="1">IF(M105="","",VLOOKUP(M105,INDIRECT($M$2&amp;6),2,TRUE))</f>
        <v>9</v>
      </c>
      <c r="O105" s="42">
        <v>11</v>
      </c>
      <c r="P105" s="43">
        <f ca="1">IF(O105="","",VLOOKUP(O105,INDIRECT($O$2&amp;6),2,TRUE))</f>
        <v>7</v>
      </c>
      <c r="Q105" s="46">
        <f>D105+F105+H105+K105+M105+O105</f>
        <v>130</v>
      </c>
      <c r="R105" s="47">
        <f>RANK(Q105,$Q$4:$Q$260,0)</f>
        <v>217</v>
      </c>
      <c r="S105" s="48">
        <f ca="1">(E105+G105+I105+((N105+P105)/2))/4</f>
        <v>7.25</v>
      </c>
    </row>
    <row r="106" spans="1:19" ht="20.100000000000001" customHeight="1">
      <c r="A106" s="41">
        <v>5</v>
      </c>
      <c r="B106">
        <v>20427</v>
      </c>
      <c r="C106" t="s">
        <v>133</v>
      </c>
      <c r="D106" s="42">
        <v>67</v>
      </c>
      <c r="E106" s="43">
        <f ca="1">IF(D106="","",VLOOKUP(D106,INDIRECT($D$2&amp;6),2,TRUE))</f>
        <v>4</v>
      </c>
      <c r="F106" s="42">
        <v>65</v>
      </c>
      <c r="G106" s="43">
        <f ca="1">IF(F106="","",VLOOKUP(F106,INDIRECT($F$2&amp;6),2,TRUE))</f>
        <v>3</v>
      </c>
      <c r="H106" s="42">
        <v>80</v>
      </c>
      <c r="I106" s="43">
        <f ca="1">IF(H106="","",VLOOKUP(H106,INDIRECT($H$2&amp;6),2,TRUE))</f>
        <v>2</v>
      </c>
      <c r="J106" s="44">
        <f ca="1">(E106+G106+I106)/3</f>
        <v>3</v>
      </c>
      <c r="K106" s="45">
        <v>34</v>
      </c>
      <c r="L106" s="43">
        <f ca="1">IF(K106="","",VLOOKUP(K106,INDIRECT($K$2&amp;6),2,TRUE))</f>
        <v>3</v>
      </c>
      <c r="M106" s="42">
        <v>32</v>
      </c>
      <c r="N106" s="43">
        <f ca="1">IF(M106="","",VLOOKUP(M106,INDIRECT($M$2&amp;6),2,TRUE))</f>
        <v>4</v>
      </c>
      <c r="O106" s="42">
        <v>33</v>
      </c>
      <c r="P106" s="43">
        <f ca="1">IF(O106="","",VLOOKUP(O106,INDIRECT($O$2&amp;6),2,TRUE))</f>
        <v>3</v>
      </c>
      <c r="Q106" s="46">
        <f>D106+F106+H106+K106+M106+O106</f>
        <v>311</v>
      </c>
      <c r="R106" s="47">
        <f>RANK(Q106,$Q$4:$Q$260,0)</f>
        <v>56</v>
      </c>
      <c r="S106" s="48">
        <f ca="1">(E106+G106+I106+((N106+P106)/2))/4</f>
        <v>3.125</v>
      </c>
    </row>
    <row r="107" spans="1:19" ht="20.100000000000001" customHeight="1">
      <c r="A107" s="41">
        <v>5</v>
      </c>
      <c r="B107">
        <v>20501</v>
      </c>
      <c r="C107" t="s">
        <v>134</v>
      </c>
      <c r="D107" s="42">
        <v>77</v>
      </c>
      <c r="E107" s="43">
        <f ca="1">IF(D107="","",VLOOKUP(D107,INDIRECT($D$2&amp;6),2,TRUE))</f>
        <v>3</v>
      </c>
      <c r="F107" s="42">
        <v>57</v>
      </c>
      <c r="G107" s="43">
        <f ca="1">IF(F107="","",VLOOKUP(F107,INDIRECT($F$2&amp;6),2,TRUE))</f>
        <v>4</v>
      </c>
      <c r="H107" s="42">
        <v>80</v>
      </c>
      <c r="I107" s="43">
        <f ca="1">IF(H107="","",VLOOKUP(H107,INDIRECT($H$2&amp;6),2,TRUE))</f>
        <v>2</v>
      </c>
      <c r="J107" s="44">
        <f ca="1">(E107+G107+I107)/3</f>
        <v>3</v>
      </c>
      <c r="K107" s="45">
        <v>33</v>
      </c>
      <c r="L107" s="43">
        <f ca="1">IF(K107="","",VLOOKUP(K107,INDIRECT($K$2&amp;6),2,TRUE))</f>
        <v>3</v>
      </c>
      <c r="M107" s="42">
        <v>37.5</v>
      </c>
      <c r="N107" s="43">
        <f ca="1">IF(M107="","",VLOOKUP(M107,INDIRECT($M$2&amp;6),2,TRUE))</f>
        <v>2</v>
      </c>
      <c r="O107" s="42">
        <v>13</v>
      </c>
      <c r="P107" s="43">
        <f ca="1">IF(O107="","",VLOOKUP(O107,INDIRECT($O$2&amp;6),2,TRUE))</f>
        <v>6</v>
      </c>
      <c r="Q107" s="46">
        <f>D107+F107+H107+K107+M107+O107</f>
        <v>297.5</v>
      </c>
      <c r="R107" s="47">
        <f>RANK(Q107,$Q$4:$Q$260,0)</f>
        <v>63</v>
      </c>
      <c r="S107" s="48">
        <f ca="1">(E107+G107+I107+((N107+P107)/2))/4</f>
        <v>3.25</v>
      </c>
    </row>
    <row r="108" spans="1:19" ht="20.100000000000001" customHeight="1">
      <c r="A108" s="41">
        <v>5</v>
      </c>
      <c r="B108">
        <v>20502</v>
      </c>
      <c r="C108" t="s">
        <v>135</v>
      </c>
      <c r="D108" s="42">
        <v>39</v>
      </c>
      <c r="E108" s="43">
        <f ca="1">IF(D108="","",VLOOKUP(D108,INDIRECT($D$2&amp;6),2,TRUE))</f>
        <v>6</v>
      </c>
      <c r="F108" s="42">
        <v>84</v>
      </c>
      <c r="G108" s="43">
        <f ca="1">IF(F108="","",VLOOKUP(F108,INDIRECT($F$2&amp;6),2,TRUE))</f>
        <v>1</v>
      </c>
      <c r="H108" s="42">
        <v>70</v>
      </c>
      <c r="I108" s="43">
        <f ca="1">IF(H108="","",VLOOKUP(H108,INDIRECT($H$2&amp;6),2,TRUE))</f>
        <v>3</v>
      </c>
      <c r="J108" s="44">
        <f ca="1">(E108+G108+I108)/3</f>
        <v>3.3333333333333335</v>
      </c>
      <c r="K108" s="45">
        <v>28</v>
      </c>
      <c r="L108" s="43">
        <f ca="1">IF(K108="","",VLOOKUP(K108,INDIRECT($K$2&amp;6),2,TRUE))</f>
        <v>4</v>
      </c>
      <c r="M108" s="42">
        <v>29</v>
      </c>
      <c r="N108" s="43">
        <f ca="1">IF(M108="","",VLOOKUP(M108,INDIRECT($M$2&amp;6),2,TRUE))</f>
        <v>4</v>
      </c>
      <c r="O108" s="42">
        <v>17.5</v>
      </c>
      <c r="P108" s="43">
        <f ca="1">IF(O108="","",VLOOKUP(O108,INDIRECT($O$2&amp;6),2,TRUE))</f>
        <v>5</v>
      </c>
      <c r="Q108" s="46">
        <f>D108+F108+H108+K108+M108+O108</f>
        <v>267.5</v>
      </c>
      <c r="R108" s="47">
        <f>RANK(Q108,$Q$4:$Q$260,0)</f>
        <v>91</v>
      </c>
      <c r="S108" s="48">
        <f ca="1">(E108+G108+I108+((N108+P108)/2))/4</f>
        <v>3.625</v>
      </c>
    </row>
    <row r="109" spans="1:19" ht="20.100000000000001" customHeight="1">
      <c r="A109" s="41">
        <v>5</v>
      </c>
      <c r="B109">
        <v>20503</v>
      </c>
      <c r="C109" t="s">
        <v>136</v>
      </c>
      <c r="D109" s="42">
        <v>67</v>
      </c>
      <c r="E109" s="43">
        <f ca="1">IF(D109="","",VLOOKUP(D109,INDIRECT($D$2&amp;6),2,TRUE))</f>
        <v>4</v>
      </c>
      <c r="F109" s="42">
        <v>58</v>
      </c>
      <c r="G109" s="43">
        <f ca="1">IF(F109="","",VLOOKUP(F109,INDIRECT($F$2&amp;6),2,TRUE))</f>
        <v>4</v>
      </c>
      <c r="H109" s="42">
        <v>73</v>
      </c>
      <c r="I109" s="43">
        <f ca="1">IF(H109="","",VLOOKUP(H109,INDIRECT($H$2&amp;6),2,TRUE))</f>
        <v>3</v>
      </c>
      <c r="J109" s="44">
        <f ca="1">(E109+G109+I109)/3</f>
        <v>3.6666666666666665</v>
      </c>
      <c r="K109" s="45">
        <v>50</v>
      </c>
      <c r="L109" s="43">
        <f ca="1">IF(K109="","",VLOOKUP(K109,INDIRECT($K$2&amp;6),2,TRUE))</f>
        <v>1</v>
      </c>
      <c r="M109" s="42">
        <v>40</v>
      </c>
      <c r="N109" s="43">
        <f ca="1">IF(M109="","",VLOOKUP(M109,INDIRECT($M$2&amp;6),2,TRUE))</f>
        <v>2</v>
      </c>
      <c r="O109" s="42">
        <v>33.5</v>
      </c>
      <c r="P109" s="43">
        <f ca="1">IF(O109="","",VLOOKUP(O109,INDIRECT($O$2&amp;6),2,TRUE))</f>
        <v>3</v>
      </c>
      <c r="Q109" s="46">
        <f>D109+F109+H109+K109+M109+O109</f>
        <v>321.5</v>
      </c>
      <c r="R109" s="47">
        <f>RANK(Q109,$Q$4:$Q$260,0)</f>
        <v>45</v>
      </c>
      <c r="S109" s="48">
        <f ca="1">(E109+G109+I109+((N109+P109)/2))/4</f>
        <v>3.375</v>
      </c>
    </row>
    <row r="110" spans="1:19" ht="20.100000000000001" customHeight="1">
      <c r="A110" s="41">
        <v>5</v>
      </c>
      <c r="B110">
        <v>20504</v>
      </c>
      <c r="C110" t="s">
        <v>137</v>
      </c>
      <c r="D110" s="42">
        <v>26</v>
      </c>
      <c r="E110" s="43">
        <f ca="1">IF(D110="","",VLOOKUP(D110,INDIRECT($D$2&amp;6),2,TRUE))</f>
        <v>7</v>
      </c>
      <c r="F110" s="42">
        <v>16</v>
      </c>
      <c r="G110" s="43">
        <f ca="1">IF(F110="","",VLOOKUP(F110,INDIRECT($F$2&amp;6),2,TRUE))</f>
        <v>7</v>
      </c>
      <c r="H110" s="42">
        <v>74</v>
      </c>
      <c r="I110" s="43">
        <f ca="1">IF(H110="","",VLOOKUP(H110,INDIRECT($H$2&amp;6),2,TRUE))</f>
        <v>3</v>
      </c>
      <c r="J110" s="44">
        <f ca="1">(E110+G110+I110)/3</f>
        <v>5.666666666666667</v>
      </c>
      <c r="K110" s="45">
        <v>16</v>
      </c>
      <c r="L110" s="43">
        <f ca="1">IF(K110="","",VLOOKUP(K110,INDIRECT($K$2&amp;6),2,TRUE))</f>
        <v>6</v>
      </c>
      <c r="M110" s="42">
        <v>8.5</v>
      </c>
      <c r="N110" s="43">
        <f ca="1">IF(M110="","",VLOOKUP(M110,INDIRECT($M$2&amp;6),2,TRUE))</f>
        <v>8</v>
      </c>
      <c r="O110" s="42">
        <v>13</v>
      </c>
      <c r="P110" s="43">
        <f ca="1">IF(O110="","",VLOOKUP(O110,INDIRECT($O$2&amp;6),2,TRUE))</f>
        <v>6</v>
      </c>
      <c r="Q110" s="46">
        <f>D110+F110+H110+K110+M110+O110</f>
        <v>153.5</v>
      </c>
      <c r="R110" s="47">
        <f>RANK(Q110,$Q$4:$Q$260,0)</f>
        <v>204</v>
      </c>
      <c r="S110" s="48">
        <f ca="1">(E110+G110+I110+((N110+P110)/2))/4</f>
        <v>6</v>
      </c>
    </row>
    <row r="111" spans="1:19" ht="20.100000000000001" customHeight="1">
      <c r="A111" s="41">
        <v>5</v>
      </c>
      <c r="B111">
        <v>20505</v>
      </c>
      <c r="C111" t="s">
        <v>138</v>
      </c>
      <c r="D111" s="42">
        <v>29</v>
      </c>
      <c r="E111" s="43">
        <f ca="1">IF(D111="","",VLOOKUP(D111,INDIRECT($D$2&amp;6),2,TRUE))</f>
        <v>7</v>
      </c>
      <c r="F111" s="42">
        <v>48</v>
      </c>
      <c r="G111" s="43">
        <f ca="1">IF(F111="","",VLOOKUP(F111,INDIRECT($F$2&amp;6),2,TRUE))</f>
        <v>4</v>
      </c>
      <c r="H111" s="42">
        <v>45</v>
      </c>
      <c r="I111" s="43">
        <f ca="1">IF(H111="","",VLOOKUP(H111,INDIRECT($H$2&amp;6),2,TRUE))</f>
        <v>6</v>
      </c>
      <c r="J111" s="44">
        <f ca="1">(E111+G111+I111)/3</f>
        <v>5.666666666666667</v>
      </c>
      <c r="K111" s="45">
        <v>41</v>
      </c>
      <c r="L111" s="43">
        <f ca="1">IF(K111="","",VLOOKUP(K111,INDIRECT($K$2&amp;6),2,TRUE))</f>
        <v>1</v>
      </c>
      <c r="M111" s="42">
        <v>21</v>
      </c>
      <c r="N111" s="43">
        <f ca="1">IF(M111="","",VLOOKUP(M111,INDIRECT($M$2&amp;6),2,TRUE))</f>
        <v>5</v>
      </c>
      <c r="O111" s="42">
        <v>27.5</v>
      </c>
      <c r="P111" s="43">
        <f ca="1">IF(O111="","",VLOOKUP(O111,INDIRECT($O$2&amp;6),2,TRUE))</f>
        <v>4</v>
      </c>
      <c r="Q111" s="46">
        <f>D111+F111+H111+K111+M111+O111</f>
        <v>211.5</v>
      </c>
      <c r="R111" s="47">
        <f>RANK(Q111,$Q$4:$Q$260,0)</f>
        <v>145</v>
      </c>
      <c r="S111" s="48">
        <f ca="1">(E111+G111+I111+((N111+P111)/2))/4</f>
        <v>5.375</v>
      </c>
    </row>
    <row r="112" spans="1:19" ht="20.100000000000001" customHeight="1">
      <c r="A112" s="41">
        <v>5</v>
      </c>
      <c r="B112">
        <v>20506</v>
      </c>
      <c r="C112" t="s">
        <v>139</v>
      </c>
      <c r="D112" s="42">
        <v>50</v>
      </c>
      <c r="E112" s="43">
        <f ca="1">IF(D112="","",VLOOKUP(D112,INDIRECT($D$2&amp;6),2,TRUE))</f>
        <v>5</v>
      </c>
      <c r="F112" s="42">
        <v>15</v>
      </c>
      <c r="G112" s="43">
        <f ca="1">IF(F112="","",VLOOKUP(F112,INDIRECT($F$2&amp;6),2,TRUE))</f>
        <v>7</v>
      </c>
      <c r="H112" s="42">
        <v>45</v>
      </c>
      <c r="I112" s="43">
        <f ca="1">IF(H112="","",VLOOKUP(H112,INDIRECT($H$2&amp;6),2,TRUE))</f>
        <v>6</v>
      </c>
      <c r="J112" s="44">
        <f ca="1">(E112+G112+I112)/3</f>
        <v>6</v>
      </c>
      <c r="K112" s="45">
        <v>26</v>
      </c>
      <c r="L112" s="43">
        <f ca="1">IF(K112="","",VLOOKUP(K112,INDIRECT($K$2&amp;6),2,TRUE))</f>
        <v>4</v>
      </c>
      <c r="M112" s="42">
        <v>27</v>
      </c>
      <c r="N112" s="43">
        <f ca="1">IF(M112="","",VLOOKUP(M112,INDIRECT($M$2&amp;6),2,TRUE))</f>
        <v>4</v>
      </c>
      <c r="O112" s="42">
        <v>8</v>
      </c>
      <c r="P112" s="43">
        <f ca="1">IF(O112="","",VLOOKUP(O112,INDIRECT($O$2&amp;6),2,TRUE))</f>
        <v>8</v>
      </c>
      <c r="Q112" s="46">
        <f>D112+F112+H112+K112+M112+O112</f>
        <v>171</v>
      </c>
      <c r="R112" s="47">
        <f>RANK(Q112,$Q$4:$Q$260,0)</f>
        <v>185</v>
      </c>
      <c r="S112" s="48">
        <f ca="1">(E112+G112+I112+((N112+P112)/2))/4</f>
        <v>6</v>
      </c>
    </row>
    <row r="113" spans="1:19" ht="20.100000000000001" customHeight="1">
      <c r="A113" s="41">
        <v>5</v>
      </c>
      <c r="B113">
        <v>20507</v>
      </c>
      <c r="C113" t="s">
        <v>140</v>
      </c>
      <c r="D113" s="42">
        <v>69</v>
      </c>
      <c r="E113" s="43">
        <f ca="1">IF(D113="","",VLOOKUP(D113,INDIRECT($D$2&amp;6),2,TRUE))</f>
        <v>4</v>
      </c>
      <c r="F113" s="42">
        <v>77</v>
      </c>
      <c r="G113" s="43">
        <f ca="1">IF(F113="","",VLOOKUP(F113,INDIRECT($F$2&amp;6),2,TRUE))</f>
        <v>2</v>
      </c>
      <c r="H113" s="42">
        <v>93</v>
      </c>
      <c r="I113" s="43">
        <f ca="1">IF(H113="","",VLOOKUP(H113,INDIRECT($H$2&amp;6),2,TRUE))</f>
        <v>1</v>
      </c>
      <c r="J113" s="44">
        <f ca="1">(E113+G113+I113)/3</f>
        <v>2.3333333333333335</v>
      </c>
      <c r="K113" s="45">
        <v>44</v>
      </c>
      <c r="L113" s="43">
        <f ca="1">IF(K113="","",VLOOKUP(K113,INDIRECT($K$2&amp;6),2,TRUE))</f>
        <v>1</v>
      </c>
      <c r="M113" s="42">
        <v>37</v>
      </c>
      <c r="N113" s="43">
        <f ca="1">IF(M113="","",VLOOKUP(M113,INDIRECT($M$2&amp;6),2,TRUE))</f>
        <v>2</v>
      </c>
      <c r="O113" s="42">
        <v>47</v>
      </c>
      <c r="P113" s="43">
        <f ca="1">IF(O113="","",VLOOKUP(O113,INDIRECT($O$2&amp;6),2,TRUE))</f>
        <v>1</v>
      </c>
      <c r="Q113" s="46">
        <f>D113+F113+H113+K113+M113+O113</f>
        <v>367</v>
      </c>
      <c r="R113" s="47">
        <f>RANK(Q113,$Q$4:$Q$260,0)</f>
        <v>14</v>
      </c>
      <c r="S113" s="48">
        <f ca="1">(E113+G113+I113+((N113+P113)/2))/4</f>
        <v>2.125</v>
      </c>
    </row>
    <row r="114" spans="1:19" ht="20.100000000000001" customHeight="1">
      <c r="A114" s="41">
        <v>5</v>
      </c>
      <c r="B114">
        <v>20508</v>
      </c>
      <c r="C114" t="s">
        <v>141</v>
      </c>
      <c r="D114" s="42" t="e">
        <v>#N/A</v>
      </c>
      <c r="E114" s="43" t="e">
        <f ca="1">IF(D114="","",VLOOKUP(D114,INDIRECT($D$2&amp;6),2,TRUE))</f>
        <v>#N/A</v>
      </c>
      <c r="F114" s="42" t="e">
        <v>#N/A</v>
      </c>
      <c r="G114" s="43" t="e">
        <f ca="1">IF(F114="","",VLOOKUP(F114,INDIRECT($F$2&amp;6),2,TRUE))</f>
        <v>#N/A</v>
      </c>
      <c r="H114" s="42" t="e">
        <v>#N/A</v>
      </c>
      <c r="I114" s="43" t="e">
        <f ca="1">IF(H114="","",VLOOKUP(H114,INDIRECT($H$2&amp;6),2,TRUE))</f>
        <v>#N/A</v>
      </c>
      <c r="J114" s="44" t="e">
        <f ca="1">(E114+G114+I114)/3</f>
        <v>#N/A</v>
      </c>
      <c r="K114" s="45" t="e">
        <v>#N/A</v>
      </c>
      <c r="L114" s="43" t="e">
        <f ca="1">IF(K114="","",VLOOKUP(K114,INDIRECT($K$2&amp;6),2,TRUE))</f>
        <v>#N/A</v>
      </c>
      <c r="M114" s="42" t="e">
        <v>#N/A</v>
      </c>
      <c r="N114" s="43" t="e">
        <f ca="1">IF(M114="","",VLOOKUP(M114,INDIRECT($M$2&amp;6),2,TRUE))</f>
        <v>#N/A</v>
      </c>
      <c r="O114" s="42" t="e">
        <v>#N/A</v>
      </c>
      <c r="P114" s="43" t="e">
        <f ca="1">IF(O114="","",VLOOKUP(O114,INDIRECT($O$2&amp;6),2,TRUE))</f>
        <v>#N/A</v>
      </c>
      <c r="Q114" s="46"/>
      <c r="R114" s="47" t="e">
        <f>RANK(Q114,$Q$4:$Q$260,0)</f>
        <v>#N/A</v>
      </c>
      <c r="S114" s="48" t="e">
        <f ca="1">(E114+G114+I114+((N114+P114)/2))/4</f>
        <v>#N/A</v>
      </c>
    </row>
    <row r="115" spans="1:19" ht="20.100000000000001" customHeight="1">
      <c r="A115" s="41">
        <v>5</v>
      </c>
      <c r="B115">
        <v>20509</v>
      </c>
      <c r="C115" t="s">
        <v>142</v>
      </c>
      <c r="D115" s="42">
        <v>84</v>
      </c>
      <c r="E115" s="43">
        <f ca="1">IF(D115="","",VLOOKUP(D115,INDIRECT($D$2&amp;6),2,TRUE))</f>
        <v>2</v>
      </c>
      <c r="F115" s="42">
        <v>65</v>
      </c>
      <c r="G115" s="43">
        <f ca="1">IF(F115="","",VLOOKUP(F115,INDIRECT($F$2&amp;6),2,TRUE))</f>
        <v>3</v>
      </c>
      <c r="H115" s="42">
        <v>88</v>
      </c>
      <c r="I115" s="43">
        <f ca="1">IF(H115="","",VLOOKUP(H115,INDIRECT($H$2&amp;6),2,TRUE))</f>
        <v>2</v>
      </c>
      <c r="J115" s="44">
        <f ca="1">(E115+G115+I115)/3</f>
        <v>2.3333333333333335</v>
      </c>
      <c r="K115" s="45">
        <v>47</v>
      </c>
      <c r="L115" s="43">
        <f ca="1">IF(K115="","",VLOOKUP(K115,INDIRECT($K$2&amp;6),2,TRUE))</f>
        <v>1</v>
      </c>
      <c r="M115" s="42">
        <v>39</v>
      </c>
      <c r="N115" s="43">
        <f ca="1">IF(M115="","",VLOOKUP(M115,INDIRECT($M$2&amp;6),2,TRUE))</f>
        <v>2</v>
      </c>
      <c r="O115" s="42">
        <v>39.5</v>
      </c>
      <c r="P115" s="43">
        <f ca="1">IF(O115="","",VLOOKUP(O115,INDIRECT($O$2&amp;6),2,TRUE))</f>
        <v>2</v>
      </c>
      <c r="Q115" s="46">
        <f>D115+F115+H115+K115+M115+O115</f>
        <v>362.5</v>
      </c>
      <c r="R115" s="47">
        <f>RANK(Q115,$Q$4:$Q$260,0)</f>
        <v>17</v>
      </c>
      <c r="S115" s="48">
        <f ca="1">(E115+G115+I115+((N115+P115)/2))/4</f>
        <v>2.25</v>
      </c>
    </row>
    <row r="116" spans="1:19" ht="20.100000000000001" customHeight="1">
      <c r="A116" s="41">
        <v>5</v>
      </c>
      <c r="B116">
        <v>20510</v>
      </c>
      <c r="C116" t="s">
        <v>143</v>
      </c>
      <c r="D116" s="42">
        <v>18</v>
      </c>
      <c r="E116" s="43">
        <f ca="1">IF(D116="","",VLOOKUP(D116,INDIRECT($D$2&amp;6),2,TRUE))</f>
        <v>8</v>
      </c>
      <c r="F116" s="42">
        <v>16</v>
      </c>
      <c r="G116" s="43">
        <f ca="1">IF(F116="","",VLOOKUP(F116,INDIRECT($F$2&amp;6),2,TRUE))</f>
        <v>7</v>
      </c>
      <c r="H116" s="42">
        <v>21</v>
      </c>
      <c r="I116" s="43">
        <f ca="1">IF(H116="","",VLOOKUP(H116,INDIRECT($H$2&amp;6),2,TRUE))</f>
        <v>8</v>
      </c>
      <c r="J116" s="44">
        <f ca="1">(E116+G116+I116)/3</f>
        <v>7.666666666666667</v>
      </c>
      <c r="K116" s="45">
        <v>12</v>
      </c>
      <c r="L116" s="43">
        <f ca="1">IF(K116="","",VLOOKUP(K116,INDIRECT($K$2&amp;6),2,TRUE))</f>
        <v>7</v>
      </c>
      <c r="M116" s="42">
        <v>10.5</v>
      </c>
      <c r="N116" s="43">
        <f ca="1">IF(M116="","",VLOOKUP(M116,INDIRECT($M$2&amp;6),2,TRUE))</f>
        <v>7</v>
      </c>
      <c r="O116" s="42">
        <v>11</v>
      </c>
      <c r="P116" s="43">
        <f ca="1">IF(O116="","",VLOOKUP(O116,INDIRECT($O$2&amp;6),2,TRUE))</f>
        <v>7</v>
      </c>
      <c r="Q116" s="46">
        <f>D116+F116+H116+K116+M116+O116</f>
        <v>88.5</v>
      </c>
      <c r="R116" s="47">
        <f>RANK(Q116,$Q$4:$Q$260,0)</f>
        <v>245</v>
      </c>
      <c r="S116" s="48">
        <f ca="1">(E116+G116+I116+((N116+P116)/2))/4</f>
        <v>7.5</v>
      </c>
    </row>
    <row r="117" spans="1:19" ht="20.100000000000001" customHeight="1">
      <c r="A117" s="41">
        <v>5</v>
      </c>
      <c r="B117">
        <v>20511</v>
      </c>
      <c r="C117" t="s">
        <v>144</v>
      </c>
      <c r="D117" s="42">
        <v>26</v>
      </c>
      <c r="E117" s="43">
        <f ca="1">IF(D117="","",VLOOKUP(D117,INDIRECT($D$2&amp;6),2,TRUE))</f>
        <v>7</v>
      </c>
      <c r="F117" s="42">
        <v>31</v>
      </c>
      <c r="G117" s="43">
        <f ca="1">IF(F117="","",VLOOKUP(F117,INDIRECT($F$2&amp;6),2,TRUE))</f>
        <v>5</v>
      </c>
      <c r="H117" s="42">
        <v>71</v>
      </c>
      <c r="I117" s="43">
        <f ca="1">IF(H117="","",VLOOKUP(H117,INDIRECT($H$2&amp;6),2,TRUE))</f>
        <v>3</v>
      </c>
      <c r="J117" s="44">
        <f ca="1">(E117+G117+I117)/3</f>
        <v>5</v>
      </c>
      <c r="K117" s="45">
        <v>11</v>
      </c>
      <c r="L117" s="43">
        <f ca="1">IF(K117="","",VLOOKUP(K117,INDIRECT($K$2&amp;6),2,TRUE))</f>
        <v>7</v>
      </c>
      <c r="M117" s="42">
        <v>20.5</v>
      </c>
      <c r="N117" s="43">
        <f ca="1">IF(M117="","",VLOOKUP(M117,INDIRECT($M$2&amp;6),2,TRUE))</f>
        <v>5</v>
      </c>
      <c r="O117" s="42">
        <v>8.5</v>
      </c>
      <c r="P117" s="43">
        <f ca="1">IF(O117="","",VLOOKUP(O117,INDIRECT($O$2&amp;6),2,TRUE))</f>
        <v>8</v>
      </c>
      <c r="Q117" s="46">
        <f>D117+F117+H117+K117+M117+O117</f>
        <v>168</v>
      </c>
      <c r="R117" s="47">
        <f>RANK(Q117,$Q$4:$Q$260,0)</f>
        <v>190</v>
      </c>
      <c r="S117" s="48">
        <f ca="1">(E117+G117+I117+((N117+P117)/2))/4</f>
        <v>5.375</v>
      </c>
    </row>
    <row r="118" spans="1:19" ht="20.100000000000001" customHeight="1">
      <c r="A118" s="41">
        <v>5</v>
      </c>
      <c r="B118">
        <v>20512</v>
      </c>
      <c r="C118" t="s">
        <v>145</v>
      </c>
      <c r="D118" s="42">
        <v>19</v>
      </c>
      <c r="E118" s="43">
        <f ca="1">IF(D118="","",VLOOKUP(D118,INDIRECT($D$2&amp;6),2,TRUE))</f>
        <v>8</v>
      </c>
      <c r="F118" s="42">
        <v>13</v>
      </c>
      <c r="G118" s="43">
        <f ca="1">IF(F118="","",VLOOKUP(F118,INDIRECT($F$2&amp;6),2,TRUE))</f>
        <v>7</v>
      </c>
      <c r="H118" s="42">
        <v>61</v>
      </c>
      <c r="I118" s="43">
        <f ca="1">IF(H118="","",VLOOKUP(H118,INDIRECT($H$2&amp;6),2,TRUE))</f>
        <v>4</v>
      </c>
      <c r="J118" s="44">
        <f ca="1">(E118+G118+I118)/3</f>
        <v>6.333333333333333</v>
      </c>
      <c r="K118" s="45">
        <v>11</v>
      </c>
      <c r="L118" s="43">
        <f ca="1">IF(K118="","",VLOOKUP(K118,INDIRECT($K$2&amp;6),2,TRUE))</f>
        <v>7</v>
      </c>
      <c r="M118" s="42">
        <v>8.5</v>
      </c>
      <c r="N118" s="43">
        <f ca="1">IF(M118="","",VLOOKUP(M118,INDIRECT($M$2&amp;6),2,TRUE))</f>
        <v>8</v>
      </c>
      <c r="O118" s="42">
        <v>13</v>
      </c>
      <c r="P118" s="43">
        <f ca="1">IF(O118="","",VLOOKUP(O118,INDIRECT($O$2&amp;6),2,TRUE))</f>
        <v>6</v>
      </c>
      <c r="Q118" s="46">
        <f>D118+F118+H118+K118+M118+O118</f>
        <v>125.5</v>
      </c>
      <c r="R118" s="47">
        <f>RANK(Q118,$Q$4:$Q$260,0)</f>
        <v>221</v>
      </c>
      <c r="S118" s="48">
        <f ca="1">(E118+G118+I118+((N118+P118)/2))/4</f>
        <v>6.5</v>
      </c>
    </row>
    <row r="119" spans="1:19" ht="20.100000000000001" customHeight="1">
      <c r="A119" s="41">
        <v>5</v>
      </c>
      <c r="B119">
        <v>20513</v>
      </c>
      <c r="C119" t="s">
        <v>146</v>
      </c>
      <c r="D119" s="42">
        <v>32</v>
      </c>
      <c r="E119" s="43">
        <f ca="1">IF(D119="","",VLOOKUP(D119,INDIRECT($D$2&amp;6),2,TRUE))</f>
        <v>6</v>
      </c>
      <c r="F119" s="42">
        <v>31</v>
      </c>
      <c r="G119" s="43">
        <f ca="1">IF(F119="","",VLOOKUP(F119,INDIRECT($F$2&amp;6),2,TRUE))</f>
        <v>5</v>
      </c>
      <c r="H119" s="42">
        <v>57</v>
      </c>
      <c r="I119" s="43">
        <f ca="1">IF(H119="","",VLOOKUP(H119,INDIRECT($H$2&amp;6),2,TRUE))</f>
        <v>5</v>
      </c>
      <c r="J119" s="44">
        <f ca="1">(E119+G119+I119)/3</f>
        <v>5.333333333333333</v>
      </c>
      <c r="K119" s="45">
        <v>14</v>
      </c>
      <c r="L119" s="43">
        <f ca="1">IF(K119="","",VLOOKUP(K119,INDIRECT($K$2&amp;6),2,TRUE))</f>
        <v>7</v>
      </c>
      <c r="M119" s="42">
        <v>16.5</v>
      </c>
      <c r="N119" s="43">
        <f ca="1">IF(M119="","",VLOOKUP(M119,INDIRECT($M$2&amp;6),2,TRUE))</f>
        <v>6</v>
      </c>
      <c r="O119" s="42">
        <v>8</v>
      </c>
      <c r="P119" s="43">
        <f ca="1">IF(O119="","",VLOOKUP(O119,INDIRECT($O$2&amp;6),2,TRUE))</f>
        <v>8</v>
      </c>
      <c r="Q119" s="46">
        <f>D119+F119+H119+K119+M119+O119</f>
        <v>158.5</v>
      </c>
      <c r="R119" s="47">
        <f>RANK(Q119,$Q$4:$Q$260,0)</f>
        <v>200</v>
      </c>
      <c r="S119" s="48">
        <f ca="1">(E119+G119+I119+((N119+P119)/2))/4</f>
        <v>5.75</v>
      </c>
    </row>
    <row r="120" spans="1:19" ht="20.100000000000001" customHeight="1">
      <c r="A120" s="41">
        <v>5</v>
      </c>
      <c r="B120">
        <v>20514</v>
      </c>
      <c r="C120" t="s">
        <v>147</v>
      </c>
      <c r="D120" s="42">
        <v>80</v>
      </c>
      <c r="E120" s="43">
        <f ca="1">IF(D120="","",VLOOKUP(D120,INDIRECT($D$2&amp;6),2,TRUE))</f>
        <v>3</v>
      </c>
      <c r="F120" s="42">
        <v>73</v>
      </c>
      <c r="G120" s="43">
        <f ca="1">IF(F120="","",VLOOKUP(F120,INDIRECT($F$2&amp;6),2,TRUE))</f>
        <v>2</v>
      </c>
      <c r="H120" s="42">
        <v>91</v>
      </c>
      <c r="I120" s="43">
        <f ca="1">IF(H120="","",VLOOKUP(H120,INDIRECT($H$2&amp;6),2,TRUE))</f>
        <v>1</v>
      </c>
      <c r="J120" s="44">
        <f ca="1">(E120+G120+I120)/3</f>
        <v>2</v>
      </c>
      <c r="K120" s="45">
        <v>40</v>
      </c>
      <c r="L120" s="43">
        <f ca="1">IF(K120="","",VLOOKUP(K120,INDIRECT($K$2&amp;6),2,TRUE))</f>
        <v>1</v>
      </c>
      <c r="M120" s="42">
        <v>21.5</v>
      </c>
      <c r="N120" s="43">
        <f ca="1">IF(M120="","",VLOOKUP(M120,INDIRECT($M$2&amp;6),2,TRUE))</f>
        <v>5</v>
      </c>
      <c r="O120" s="42">
        <v>29.5</v>
      </c>
      <c r="P120" s="43">
        <f ca="1">IF(O120="","",VLOOKUP(O120,INDIRECT($O$2&amp;6),2,TRUE))</f>
        <v>3</v>
      </c>
      <c r="Q120" s="46">
        <f>D120+F120+H120+K120+M120+O120</f>
        <v>335</v>
      </c>
      <c r="R120" s="47">
        <f>RANK(Q120,$Q$4:$Q$260,0)</f>
        <v>34</v>
      </c>
      <c r="S120" s="48">
        <f ca="1">(E120+G120+I120+((N120+P120)/2))/4</f>
        <v>2.5</v>
      </c>
    </row>
    <row r="121" spans="1:19" ht="20.100000000000001" customHeight="1">
      <c r="A121" s="41">
        <v>5</v>
      </c>
      <c r="B121">
        <v>20515</v>
      </c>
      <c r="C121" t="s">
        <v>148</v>
      </c>
      <c r="D121" s="42">
        <v>19</v>
      </c>
      <c r="E121" s="43">
        <f ca="1">IF(D121="","",VLOOKUP(D121,INDIRECT($D$2&amp;6),2,TRUE))</f>
        <v>8</v>
      </c>
      <c r="F121" s="42">
        <v>57</v>
      </c>
      <c r="G121" s="43">
        <f ca="1">IF(F121="","",VLOOKUP(F121,INDIRECT($F$2&amp;6),2,TRUE))</f>
        <v>4</v>
      </c>
      <c r="H121" s="42">
        <v>65</v>
      </c>
      <c r="I121" s="43">
        <f ca="1">IF(H121="","",VLOOKUP(H121,INDIRECT($H$2&amp;6),2,TRUE))</f>
        <v>4</v>
      </c>
      <c r="J121" s="44">
        <f ca="1">(E121+G121+I121)/3</f>
        <v>5.333333333333333</v>
      </c>
      <c r="K121" s="45">
        <v>31</v>
      </c>
      <c r="L121" s="43">
        <f ca="1">IF(K121="","",VLOOKUP(K121,INDIRECT($K$2&amp;6),2,TRUE))</f>
        <v>3</v>
      </c>
      <c r="M121" s="42">
        <v>15.5</v>
      </c>
      <c r="N121" s="43">
        <f ca="1">IF(M121="","",VLOOKUP(M121,INDIRECT($M$2&amp;6),2,TRUE))</f>
        <v>6</v>
      </c>
      <c r="O121" s="42">
        <v>6.5</v>
      </c>
      <c r="P121" s="43">
        <f ca="1">IF(O121="","",VLOOKUP(O121,INDIRECT($O$2&amp;6),2,TRUE))</f>
        <v>8</v>
      </c>
      <c r="Q121" s="46">
        <f>D121+F121+H121+K121+M121+O121</f>
        <v>194</v>
      </c>
      <c r="R121" s="47">
        <f>RANK(Q121,$Q$4:$Q$260,0)</f>
        <v>165</v>
      </c>
      <c r="S121" s="48">
        <f ca="1">(E121+G121+I121+((N121+P121)/2))/4</f>
        <v>5.75</v>
      </c>
    </row>
    <row r="122" spans="1:19" ht="20.100000000000001" customHeight="1">
      <c r="A122" s="41">
        <v>5</v>
      </c>
      <c r="B122">
        <v>20516</v>
      </c>
      <c r="C122" t="s">
        <v>149</v>
      </c>
      <c r="D122" s="42">
        <v>34</v>
      </c>
      <c r="E122" s="43">
        <f ca="1">IF(D122="","",VLOOKUP(D122,INDIRECT($D$2&amp;6),2,TRUE))</f>
        <v>6</v>
      </c>
      <c r="F122" s="42">
        <v>46</v>
      </c>
      <c r="G122" s="43">
        <f ca="1">IF(F122="","",VLOOKUP(F122,INDIRECT($F$2&amp;6),2,TRUE))</f>
        <v>4</v>
      </c>
      <c r="H122" s="42">
        <v>62</v>
      </c>
      <c r="I122" s="43">
        <f ca="1">IF(H122="","",VLOOKUP(H122,INDIRECT($H$2&amp;6),2,TRUE))</f>
        <v>4</v>
      </c>
      <c r="J122" s="44">
        <f ca="1">(E122+G122+I122)/3</f>
        <v>4.666666666666667</v>
      </c>
      <c r="K122" s="45">
        <v>15</v>
      </c>
      <c r="L122" s="43">
        <f ca="1">IF(K122="","",VLOOKUP(K122,INDIRECT($K$2&amp;6),2,TRUE))</f>
        <v>6</v>
      </c>
      <c r="M122" s="42">
        <v>22</v>
      </c>
      <c r="N122" s="43">
        <f ca="1">IF(M122="","",VLOOKUP(M122,INDIRECT($M$2&amp;6),2,TRUE))</f>
        <v>5</v>
      </c>
      <c r="O122" s="42">
        <v>10</v>
      </c>
      <c r="P122" s="43">
        <f ca="1">IF(O122="","",VLOOKUP(O122,INDIRECT($O$2&amp;6),2,TRUE))</f>
        <v>7</v>
      </c>
      <c r="Q122" s="46">
        <f>D122+F122+H122+K122+M122+O122</f>
        <v>189</v>
      </c>
      <c r="R122" s="47">
        <f>RANK(Q122,$Q$4:$Q$260,0)</f>
        <v>173</v>
      </c>
      <c r="S122" s="48">
        <f ca="1">(E122+G122+I122+((N122+P122)/2))/4</f>
        <v>5</v>
      </c>
    </row>
    <row r="123" spans="1:19" ht="20.100000000000001" customHeight="1">
      <c r="A123" s="41">
        <v>5</v>
      </c>
      <c r="B123">
        <v>20517</v>
      </c>
      <c r="C123" t="s">
        <v>150</v>
      </c>
      <c r="D123" s="42">
        <v>53</v>
      </c>
      <c r="E123" s="43">
        <f ca="1">IF(D123="","",VLOOKUP(D123,INDIRECT($D$2&amp;6),2,TRUE))</f>
        <v>5</v>
      </c>
      <c r="F123" s="42">
        <v>54</v>
      </c>
      <c r="G123" s="43">
        <f ca="1">IF(F123="","",VLOOKUP(F123,INDIRECT($F$2&amp;6),2,TRUE))</f>
        <v>4</v>
      </c>
      <c r="H123" s="42">
        <v>52</v>
      </c>
      <c r="I123" s="43">
        <f ca="1">IF(H123="","",VLOOKUP(H123,INDIRECT($H$2&amp;6),2,TRUE))</f>
        <v>5</v>
      </c>
      <c r="J123" s="44">
        <f ca="1">(E123+G123+I123)/3</f>
        <v>4.666666666666667</v>
      </c>
      <c r="K123" s="45">
        <v>31</v>
      </c>
      <c r="L123" s="43">
        <f ca="1">IF(K123="","",VLOOKUP(K123,INDIRECT($K$2&amp;6),2,TRUE))</f>
        <v>3</v>
      </c>
      <c r="M123" s="42">
        <v>10</v>
      </c>
      <c r="N123" s="43">
        <f ca="1">IF(M123="","",VLOOKUP(M123,INDIRECT($M$2&amp;6),2,TRUE))</f>
        <v>7</v>
      </c>
      <c r="O123" s="42">
        <v>8.5</v>
      </c>
      <c r="P123" s="43">
        <f ca="1">IF(O123="","",VLOOKUP(O123,INDIRECT($O$2&amp;6),2,TRUE))</f>
        <v>8</v>
      </c>
      <c r="Q123" s="46">
        <f>D123+F123+H123+K123+M123+O123</f>
        <v>208.5</v>
      </c>
      <c r="R123" s="47">
        <f>RANK(Q123,$Q$4:$Q$260,0)</f>
        <v>150</v>
      </c>
      <c r="S123" s="48">
        <f ca="1">(E123+G123+I123+((N123+P123)/2))/4</f>
        <v>5.375</v>
      </c>
    </row>
    <row r="124" spans="1:19" ht="20.100000000000001" customHeight="1">
      <c r="A124" s="41">
        <v>5</v>
      </c>
      <c r="B124">
        <v>20518</v>
      </c>
      <c r="C124" t="s">
        <v>151</v>
      </c>
      <c r="D124" s="42">
        <v>48</v>
      </c>
      <c r="E124" s="43">
        <f ca="1">IF(D124="","",VLOOKUP(D124,INDIRECT($D$2&amp;6),2,TRUE))</f>
        <v>5</v>
      </c>
      <c r="F124" s="42">
        <v>49</v>
      </c>
      <c r="G124" s="43">
        <f ca="1">IF(F124="","",VLOOKUP(F124,INDIRECT($F$2&amp;6),2,TRUE))</f>
        <v>4</v>
      </c>
      <c r="H124" s="42">
        <v>68</v>
      </c>
      <c r="I124" s="43">
        <f ca="1">IF(H124="","",VLOOKUP(H124,INDIRECT($H$2&amp;6),2,TRUE))</f>
        <v>4</v>
      </c>
      <c r="J124" s="44">
        <f ca="1">(E124+G124+I124)/3</f>
        <v>4.333333333333333</v>
      </c>
      <c r="K124" s="45">
        <v>16</v>
      </c>
      <c r="L124" s="43">
        <f ca="1">IF(K124="","",VLOOKUP(K124,INDIRECT($K$2&amp;6),2,TRUE))</f>
        <v>6</v>
      </c>
      <c r="M124" s="42">
        <v>30</v>
      </c>
      <c r="N124" s="43">
        <f ca="1">IF(M124="","",VLOOKUP(M124,INDIRECT($M$2&amp;6),2,TRUE))</f>
        <v>4</v>
      </c>
      <c r="O124" s="42">
        <v>21.5</v>
      </c>
      <c r="P124" s="43">
        <f ca="1">IF(O124="","",VLOOKUP(O124,INDIRECT($O$2&amp;6),2,TRUE))</f>
        <v>4</v>
      </c>
      <c r="Q124" s="46">
        <f>D124+F124+H124+K124+M124+O124</f>
        <v>232.5</v>
      </c>
      <c r="R124" s="47">
        <f>RANK(Q124,$Q$4:$Q$260,0)</f>
        <v>123</v>
      </c>
      <c r="S124" s="48">
        <f ca="1">(E124+G124+I124+((N124+P124)/2))/4</f>
        <v>4.25</v>
      </c>
    </row>
    <row r="125" spans="1:19" ht="20.100000000000001" customHeight="1">
      <c r="A125" s="41">
        <v>5</v>
      </c>
      <c r="B125">
        <v>20519</v>
      </c>
      <c r="C125" t="s">
        <v>152</v>
      </c>
      <c r="D125" s="42">
        <v>16</v>
      </c>
      <c r="E125" s="43">
        <f ca="1">IF(D125="","",VLOOKUP(D125,INDIRECT($D$2&amp;6),2,TRUE))</f>
        <v>9</v>
      </c>
      <c r="F125" s="42">
        <v>30</v>
      </c>
      <c r="G125" s="43">
        <f ca="1">IF(F125="","",VLOOKUP(F125,INDIRECT($F$2&amp;6),2,TRUE))</f>
        <v>5</v>
      </c>
      <c r="H125" s="42">
        <v>53</v>
      </c>
      <c r="I125" s="43">
        <f ca="1">IF(H125="","",VLOOKUP(H125,INDIRECT($H$2&amp;6),2,TRUE))</f>
        <v>5</v>
      </c>
      <c r="J125" s="44">
        <f ca="1">(E125+G125+I125)/3</f>
        <v>6.333333333333333</v>
      </c>
      <c r="K125" s="45">
        <v>15</v>
      </c>
      <c r="L125" s="43">
        <f ca="1">IF(K125="","",VLOOKUP(K125,INDIRECT($K$2&amp;6),2,TRUE))</f>
        <v>6</v>
      </c>
      <c r="M125" s="42">
        <v>5.5</v>
      </c>
      <c r="N125" s="43">
        <f ca="1">IF(M125="","",VLOOKUP(M125,INDIRECT($M$2&amp;6),2,TRUE))</f>
        <v>8</v>
      </c>
      <c r="O125" s="42">
        <v>10</v>
      </c>
      <c r="P125" s="43">
        <f ca="1">IF(O125="","",VLOOKUP(O125,INDIRECT($O$2&amp;6),2,TRUE))</f>
        <v>7</v>
      </c>
      <c r="Q125" s="46">
        <f>D125+F125+H125+K125+M125+O125</f>
        <v>129.5</v>
      </c>
      <c r="R125" s="47">
        <f>RANK(Q125,$Q$4:$Q$260,0)</f>
        <v>218</v>
      </c>
      <c r="S125" s="48">
        <f ca="1">(E125+G125+I125+((N125+P125)/2))/4</f>
        <v>6.625</v>
      </c>
    </row>
    <row r="126" spans="1:19" ht="20.100000000000001" customHeight="1">
      <c r="A126" s="41">
        <v>5</v>
      </c>
      <c r="B126">
        <v>20520</v>
      </c>
      <c r="C126" t="s">
        <v>153</v>
      </c>
      <c r="D126" s="42">
        <v>29</v>
      </c>
      <c r="E126" s="43">
        <f ca="1">IF(D126="","",VLOOKUP(D126,INDIRECT($D$2&amp;6),2,TRUE))</f>
        <v>7</v>
      </c>
      <c r="F126" s="42">
        <v>64</v>
      </c>
      <c r="G126" s="43">
        <f ca="1">IF(F126="","",VLOOKUP(F126,INDIRECT($F$2&amp;6),2,TRUE))</f>
        <v>3</v>
      </c>
      <c r="H126" s="42">
        <v>45</v>
      </c>
      <c r="I126" s="43">
        <f ca="1">IF(H126="","",VLOOKUP(H126,INDIRECT($H$2&amp;6),2,TRUE))</f>
        <v>6</v>
      </c>
      <c r="J126" s="44">
        <f ca="1">(E126+G126+I126)/3</f>
        <v>5.333333333333333</v>
      </c>
      <c r="K126" s="45">
        <v>26</v>
      </c>
      <c r="L126" s="43">
        <f ca="1">IF(K126="","",VLOOKUP(K126,INDIRECT($K$2&amp;6),2,TRUE))</f>
        <v>4</v>
      </c>
      <c r="M126" s="42">
        <v>27</v>
      </c>
      <c r="N126" s="43">
        <f ca="1">IF(M126="","",VLOOKUP(M126,INDIRECT($M$2&amp;6),2,TRUE))</f>
        <v>4</v>
      </c>
      <c r="O126" s="42">
        <v>37</v>
      </c>
      <c r="P126" s="43">
        <f ca="1">IF(O126="","",VLOOKUP(O126,INDIRECT($O$2&amp;6),2,TRUE))</f>
        <v>2</v>
      </c>
      <c r="Q126" s="46">
        <f>D126+F126+H126+K126+M126+O126</f>
        <v>228</v>
      </c>
      <c r="R126" s="47">
        <f>RANK(Q126,$Q$4:$Q$260,0)</f>
        <v>129</v>
      </c>
      <c r="S126" s="48">
        <f ca="1">(E126+G126+I126+((N126+P126)/2))/4</f>
        <v>4.75</v>
      </c>
    </row>
    <row r="127" spans="1:19" ht="20.100000000000001" customHeight="1">
      <c r="A127" s="41">
        <v>5</v>
      </c>
      <c r="B127">
        <v>20521</v>
      </c>
      <c r="C127" t="s">
        <v>154</v>
      </c>
      <c r="D127" s="42">
        <v>48</v>
      </c>
      <c r="E127" s="43">
        <f ca="1">IF(D127="","",VLOOKUP(D127,INDIRECT($D$2&amp;6),2,TRUE))</f>
        <v>5</v>
      </c>
      <c r="F127" s="42">
        <v>60</v>
      </c>
      <c r="G127" s="43">
        <f ca="1">IF(F127="","",VLOOKUP(F127,INDIRECT($F$2&amp;6),2,TRUE))</f>
        <v>4</v>
      </c>
      <c r="H127" s="42">
        <v>60</v>
      </c>
      <c r="I127" s="43">
        <f ca="1">IF(H127="","",VLOOKUP(H127,INDIRECT($H$2&amp;6),2,TRUE))</f>
        <v>4</v>
      </c>
      <c r="J127" s="44">
        <f ca="1">(E127+G127+I127)/3</f>
        <v>4.333333333333333</v>
      </c>
      <c r="K127" s="45">
        <v>5</v>
      </c>
      <c r="L127" s="43">
        <f ca="1">IF(K127="","",VLOOKUP(K127,INDIRECT($K$2&amp;6),2,TRUE))</f>
        <v>8</v>
      </c>
      <c r="M127" s="42">
        <v>13</v>
      </c>
      <c r="N127" s="43">
        <f ca="1">IF(M127="","",VLOOKUP(M127,INDIRECT($M$2&amp;6),2,TRUE))</f>
        <v>6</v>
      </c>
      <c r="O127" s="42">
        <v>19</v>
      </c>
      <c r="P127" s="43">
        <f ca="1">IF(O127="","",VLOOKUP(O127,INDIRECT($O$2&amp;6),2,TRUE))</f>
        <v>5</v>
      </c>
      <c r="Q127" s="46">
        <f>D127+F127+H127+K127+M127+O127</f>
        <v>205</v>
      </c>
      <c r="R127" s="47">
        <f>RANK(Q127,$Q$4:$Q$260,0)</f>
        <v>153</v>
      </c>
      <c r="S127" s="48">
        <f ca="1">(E127+G127+I127+((N127+P127)/2))/4</f>
        <v>4.625</v>
      </c>
    </row>
    <row r="128" spans="1:19" ht="20.100000000000001" customHeight="1">
      <c r="A128" s="41">
        <v>5</v>
      </c>
      <c r="B128">
        <v>20522</v>
      </c>
      <c r="C128" t="s">
        <v>155</v>
      </c>
      <c r="D128" s="42">
        <v>61</v>
      </c>
      <c r="E128" s="43">
        <f ca="1">IF(D128="","",VLOOKUP(D128,INDIRECT($D$2&amp;6),2,TRUE))</f>
        <v>4</v>
      </c>
      <c r="F128" s="42">
        <v>54</v>
      </c>
      <c r="G128" s="43">
        <f ca="1">IF(F128="","",VLOOKUP(F128,INDIRECT($F$2&amp;6),2,TRUE))</f>
        <v>4</v>
      </c>
      <c r="H128" s="42">
        <v>67</v>
      </c>
      <c r="I128" s="43">
        <f ca="1">IF(H128="","",VLOOKUP(H128,INDIRECT($H$2&amp;6),2,TRUE))</f>
        <v>4</v>
      </c>
      <c r="J128" s="44">
        <f ca="1">(E128+G128+I128)/3</f>
        <v>4</v>
      </c>
      <c r="K128" s="45">
        <v>32</v>
      </c>
      <c r="L128" s="43">
        <f ca="1">IF(K128="","",VLOOKUP(K128,INDIRECT($K$2&amp;6),2,TRUE))</f>
        <v>3</v>
      </c>
      <c r="M128" s="42">
        <v>8.5</v>
      </c>
      <c r="N128" s="43">
        <f ca="1">IF(M128="","",VLOOKUP(M128,INDIRECT($M$2&amp;6),2,TRUE))</f>
        <v>8</v>
      </c>
      <c r="O128" s="42">
        <v>27.5</v>
      </c>
      <c r="P128" s="43">
        <f ca="1">IF(O128="","",VLOOKUP(O128,INDIRECT($O$2&amp;6),2,TRUE))</f>
        <v>4</v>
      </c>
      <c r="Q128" s="46">
        <f>D128+F128+H128+K128+M128+O128</f>
        <v>250</v>
      </c>
      <c r="R128" s="47">
        <f>RANK(Q128,$Q$4:$Q$260,0)</f>
        <v>108</v>
      </c>
      <c r="S128" s="48">
        <f ca="1">(E128+G128+I128+((N128+P128)/2))/4</f>
        <v>4.5</v>
      </c>
    </row>
    <row r="129" spans="1:39" ht="20.100000000000001" customHeight="1">
      <c r="A129" s="41">
        <v>5</v>
      </c>
      <c r="B129">
        <v>20523</v>
      </c>
      <c r="C129" t="s">
        <v>156</v>
      </c>
      <c r="D129" s="42">
        <v>73</v>
      </c>
      <c r="E129" s="43">
        <f ca="1">IF(D129="","",VLOOKUP(D129,INDIRECT($D$2&amp;6),2,TRUE))</f>
        <v>3</v>
      </c>
      <c r="F129" s="42">
        <v>73</v>
      </c>
      <c r="G129" s="43">
        <f ca="1">IF(F129="","",VLOOKUP(F129,INDIRECT($F$2&amp;6),2,TRUE))</f>
        <v>2</v>
      </c>
      <c r="H129" s="42">
        <v>74</v>
      </c>
      <c r="I129" s="43">
        <f ca="1">IF(H129="","",VLOOKUP(H129,INDIRECT($H$2&amp;6),2,TRUE))</f>
        <v>3</v>
      </c>
      <c r="J129" s="44">
        <f ca="1">(E129+G129+I129)/3</f>
        <v>2.6666666666666665</v>
      </c>
      <c r="K129" s="45">
        <v>47</v>
      </c>
      <c r="L129" s="43">
        <f ca="1">IF(K129="","",VLOOKUP(K129,INDIRECT($K$2&amp;6),2,TRUE))</f>
        <v>1</v>
      </c>
      <c r="M129" s="42">
        <v>43</v>
      </c>
      <c r="N129" s="43">
        <f ca="1">IF(M129="","",VLOOKUP(M129,INDIRECT($M$2&amp;6),2,TRUE))</f>
        <v>1</v>
      </c>
      <c r="O129" s="42">
        <v>41.5</v>
      </c>
      <c r="P129" s="43">
        <f ca="1">IF(O129="","",VLOOKUP(O129,INDIRECT($O$2&amp;6),2,TRUE))</f>
        <v>2</v>
      </c>
      <c r="Q129" s="46">
        <f>D129+F129+H129+K129+M129+O129</f>
        <v>351.5</v>
      </c>
      <c r="R129" s="47">
        <f>RANK(Q129,$Q$4:$Q$260,0)</f>
        <v>24</v>
      </c>
      <c r="S129" s="48">
        <f ca="1">(E129+G129+I129+((N129+P129)/2))/4</f>
        <v>2.375</v>
      </c>
    </row>
    <row r="130" spans="1:39" ht="20.100000000000001" customHeight="1">
      <c r="A130" s="41">
        <v>5</v>
      </c>
      <c r="B130">
        <v>20524</v>
      </c>
      <c r="C130" t="s">
        <v>157</v>
      </c>
      <c r="D130" s="42">
        <v>91</v>
      </c>
      <c r="E130" s="43">
        <f ca="1">IF(D130="","",VLOOKUP(D130,INDIRECT($D$2&amp;6),2,TRUE))</f>
        <v>1</v>
      </c>
      <c r="F130" s="42">
        <v>84</v>
      </c>
      <c r="G130" s="43">
        <f ca="1">IF(F130="","",VLOOKUP(F130,INDIRECT($F$2&amp;6),2,TRUE))</f>
        <v>1</v>
      </c>
      <c r="H130" s="42">
        <v>89</v>
      </c>
      <c r="I130" s="43">
        <f ca="1">IF(H130="","",VLOOKUP(H130,INDIRECT($H$2&amp;6),2,TRUE))</f>
        <v>2</v>
      </c>
      <c r="J130" s="44">
        <f ca="1">(E130+G130+I130)/3</f>
        <v>1.3333333333333333</v>
      </c>
      <c r="K130" s="45">
        <v>46</v>
      </c>
      <c r="L130" s="43">
        <f ca="1">IF(K130="","",VLOOKUP(K130,INDIRECT($K$2&amp;6),2,TRUE))</f>
        <v>1</v>
      </c>
      <c r="M130" s="42">
        <v>30</v>
      </c>
      <c r="N130" s="43">
        <f ca="1">IF(M130="","",VLOOKUP(M130,INDIRECT($M$2&amp;6),2,TRUE))</f>
        <v>4</v>
      </c>
      <c r="O130" s="42">
        <v>36</v>
      </c>
      <c r="P130" s="43">
        <f ca="1">IF(O130="","",VLOOKUP(O130,INDIRECT($O$2&amp;6),2,TRUE))</f>
        <v>2</v>
      </c>
      <c r="Q130" s="46">
        <f>D130+F130+H130+K130+M130+O130</f>
        <v>376</v>
      </c>
      <c r="R130" s="47">
        <f>RANK(Q130,$Q$4:$Q$260,0)</f>
        <v>9</v>
      </c>
      <c r="S130" s="48">
        <f ca="1">(E130+G130+I130+((N130+P130)/2))/4</f>
        <v>1.75</v>
      </c>
    </row>
    <row r="131" spans="1:39" ht="20.100000000000001" customHeight="1">
      <c r="A131" s="41">
        <v>5</v>
      </c>
      <c r="B131">
        <v>20525</v>
      </c>
      <c r="C131" t="s">
        <v>158</v>
      </c>
      <c r="D131" s="42">
        <v>70</v>
      </c>
      <c r="E131" s="43">
        <f ca="1">IF(D131="","",VLOOKUP(D131,INDIRECT($D$2&amp;6),2,TRUE))</f>
        <v>4</v>
      </c>
      <c r="F131" s="42">
        <v>72</v>
      </c>
      <c r="G131" s="43">
        <f ca="1">IF(F131="","",VLOOKUP(F131,INDIRECT($F$2&amp;6),2,TRUE))</f>
        <v>3</v>
      </c>
      <c r="H131" s="42">
        <v>87</v>
      </c>
      <c r="I131" s="43">
        <f ca="1">IF(H131="","",VLOOKUP(H131,INDIRECT($H$2&amp;6),2,TRUE))</f>
        <v>2</v>
      </c>
      <c r="J131" s="44">
        <f ca="1">(E131+G131+I131)/3</f>
        <v>3</v>
      </c>
      <c r="K131" s="45">
        <v>33</v>
      </c>
      <c r="L131" s="43">
        <f ca="1">IF(K131="","",VLOOKUP(K131,INDIRECT($K$2&amp;6),2,TRUE))</f>
        <v>3</v>
      </c>
      <c r="M131" s="42">
        <v>30.5</v>
      </c>
      <c r="N131" s="43">
        <f ca="1">IF(M131="","",VLOOKUP(M131,INDIRECT($M$2&amp;6),2,TRUE))</f>
        <v>4</v>
      </c>
      <c r="O131" s="42">
        <v>48.5</v>
      </c>
      <c r="P131" s="43">
        <f ca="1">IF(O131="","",VLOOKUP(O131,INDIRECT($O$2&amp;6),2,TRUE))</f>
        <v>1</v>
      </c>
      <c r="Q131" s="46">
        <f>D131+F131+H131+K131+M131+O131</f>
        <v>341</v>
      </c>
      <c r="R131" s="47">
        <f>RANK(Q131,$Q$4:$Q$260,0)</f>
        <v>31</v>
      </c>
      <c r="S131" s="48">
        <f ca="1">(E131+G131+I131+((N131+P131)/2))/4</f>
        <v>2.875</v>
      </c>
    </row>
    <row r="132" spans="1:39" ht="20.100000000000001" customHeight="1">
      <c r="A132" s="41">
        <v>6</v>
      </c>
      <c r="B132">
        <v>20526</v>
      </c>
      <c r="C132" t="s">
        <v>159</v>
      </c>
      <c r="D132" s="42">
        <v>56</v>
      </c>
      <c r="E132" s="43">
        <f ca="1">IF(D132="","",VLOOKUP(D132,INDIRECT($D$2&amp;6),2,TRUE))</f>
        <v>5</v>
      </c>
      <c r="F132" s="42">
        <v>55</v>
      </c>
      <c r="G132" s="43">
        <f ca="1">IF(F132="","",VLOOKUP(F132,INDIRECT($F$2&amp;6),2,TRUE))</f>
        <v>4</v>
      </c>
      <c r="H132" s="42">
        <v>67</v>
      </c>
      <c r="I132" s="43">
        <f ca="1">IF(H132="","",VLOOKUP(H132,INDIRECT($H$2&amp;6),2,TRUE))</f>
        <v>4</v>
      </c>
      <c r="J132" s="44">
        <f ca="1">(E132+G132+I132)/3</f>
        <v>4.333333333333333</v>
      </c>
      <c r="K132" s="45">
        <v>26</v>
      </c>
      <c r="L132" s="43">
        <f ca="1">IF(K132="","",VLOOKUP(K132,INDIRECT($K$2&amp;6),2,TRUE))</f>
        <v>4</v>
      </c>
      <c r="M132" s="42">
        <v>35.5</v>
      </c>
      <c r="N132" s="43">
        <f ca="1">IF(M132="","",VLOOKUP(M132,INDIRECT($M$2&amp;6),2,TRUE))</f>
        <v>3</v>
      </c>
      <c r="O132" s="42">
        <v>48.5</v>
      </c>
      <c r="P132" s="43">
        <f ca="1">IF(O132="","",VLOOKUP(O132,INDIRECT($O$2&amp;6),2,TRUE))</f>
        <v>1</v>
      </c>
      <c r="Q132" s="46">
        <f>D132+F132+H132+K132+M132+O132</f>
        <v>288</v>
      </c>
      <c r="R132" s="47">
        <f>RANK(Q132,$Q$4:$Q$260,0)</f>
        <v>69</v>
      </c>
      <c r="S132" s="48">
        <f ca="1">(E132+G132+I132+((N132+P132)/2))/4</f>
        <v>3.75</v>
      </c>
    </row>
    <row r="133" spans="1:39" ht="20.100000000000001" customHeight="1">
      <c r="A133" s="41">
        <v>6</v>
      </c>
      <c r="B133">
        <v>20527</v>
      </c>
      <c r="C133" t="s">
        <v>160</v>
      </c>
      <c r="D133" s="42">
        <v>43</v>
      </c>
      <c r="E133" s="43">
        <f ca="1">IF(D133="","",VLOOKUP(D133,INDIRECT($D$2&amp;6),2,TRUE))</f>
        <v>6</v>
      </c>
      <c r="F133" s="42">
        <v>37</v>
      </c>
      <c r="G133" s="43">
        <f ca="1">IF(F133="","",VLOOKUP(F133,INDIRECT($F$2&amp;6),2,TRUE))</f>
        <v>5</v>
      </c>
      <c r="H133" s="42">
        <v>70</v>
      </c>
      <c r="I133" s="43">
        <f ca="1">IF(H133="","",VLOOKUP(H133,INDIRECT($H$2&amp;6),2,TRUE))</f>
        <v>3</v>
      </c>
      <c r="J133" s="44">
        <f ca="1">(E133+G133+I133)/3</f>
        <v>4.666666666666667</v>
      </c>
      <c r="K133" s="45">
        <v>15</v>
      </c>
      <c r="L133" s="43">
        <f ca="1">IF(K133="","",VLOOKUP(K133,INDIRECT($K$2&amp;6),2,TRUE))</f>
        <v>6</v>
      </c>
      <c r="M133" s="42">
        <v>23</v>
      </c>
      <c r="N133" s="43">
        <f ca="1">IF(M133="","",VLOOKUP(M133,INDIRECT($M$2&amp;6),2,TRUE))</f>
        <v>5</v>
      </c>
      <c r="O133" s="42">
        <v>9.5</v>
      </c>
      <c r="P133" s="43">
        <f ca="1">IF(O133="","",VLOOKUP(O133,INDIRECT($O$2&amp;6),2,TRUE))</f>
        <v>7</v>
      </c>
      <c r="Q133" s="46">
        <f>D133+F133+H133+K133+M133+O133</f>
        <v>197.5</v>
      </c>
      <c r="R133" s="47">
        <f>RANK(Q133,$Q$4:$Q$260,0)</f>
        <v>161</v>
      </c>
      <c r="S133" s="48">
        <f ca="1">(E133+G133+I133+((N133+P133)/2))/4</f>
        <v>5</v>
      </c>
    </row>
    <row r="134" spans="1:39" ht="20.100000000000001" customHeight="1">
      <c r="A134" s="41">
        <v>6</v>
      </c>
      <c r="B134">
        <v>20601</v>
      </c>
      <c r="C134" t="s">
        <v>161</v>
      </c>
      <c r="D134" s="42">
        <v>85</v>
      </c>
      <c r="E134" s="43">
        <f ca="1">IF(D134="","",VLOOKUP(D134,INDIRECT($D$2&amp;6),2,TRUE))</f>
        <v>2</v>
      </c>
      <c r="F134" s="42">
        <v>68</v>
      </c>
      <c r="G134" s="43">
        <f ca="1">IF(F134="","",VLOOKUP(F134,INDIRECT($F$2&amp;6),2,TRUE))</f>
        <v>3</v>
      </c>
      <c r="H134" s="42">
        <v>77</v>
      </c>
      <c r="I134" s="43">
        <f ca="1">IF(H134="","",VLOOKUP(H134,INDIRECT($H$2&amp;6),2,TRUE))</f>
        <v>3</v>
      </c>
      <c r="J134" s="44">
        <f ca="1">(E134+G134+I134)/3</f>
        <v>2.6666666666666665</v>
      </c>
      <c r="K134" s="45">
        <v>21</v>
      </c>
      <c r="L134" s="43">
        <f ca="1">IF(K134="","",VLOOKUP(K134,INDIRECT($K$2&amp;6),2,TRUE))</f>
        <v>5</v>
      </c>
      <c r="M134" s="42">
        <v>33</v>
      </c>
      <c r="N134" s="43">
        <f ca="1">IF(M134="","",VLOOKUP(M134,INDIRECT($M$2&amp;6),2,TRUE))</f>
        <v>3</v>
      </c>
      <c r="O134" s="42">
        <v>22.5</v>
      </c>
      <c r="P134" s="43">
        <f ca="1">IF(O134="","",VLOOKUP(O134,INDIRECT($O$2&amp;6),2,TRUE))</f>
        <v>4</v>
      </c>
      <c r="Q134" s="46">
        <f>D134+F134+H134+K134+M134+O134</f>
        <v>306.5</v>
      </c>
      <c r="R134" s="47">
        <f>RANK(Q134,$Q$4:$Q$260,0)</f>
        <v>59</v>
      </c>
      <c r="S134" s="48">
        <f ca="1">(E134+G134+I134+((N134+P134)/2))/4</f>
        <v>2.875</v>
      </c>
    </row>
    <row r="135" spans="1:39" ht="20.100000000000001" customHeight="1">
      <c r="A135" s="41">
        <v>6</v>
      </c>
      <c r="B135">
        <v>20602</v>
      </c>
      <c r="C135" t="s">
        <v>162</v>
      </c>
      <c r="D135" s="42" t="e">
        <v>#N/A</v>
      </c>
      <c r="E135" s="43" t="e">
        <f ca="1">IF(D135="","",VLOOKUP(D135,INDIRECT($D$2&amp;6),2,TRUE))</f>
        <v>#N/A</v>
      </c>
      <c r="F135" s="42" t="e">
        <v>#N/A</v>
      </c>
      <c r="G135" s="43" t="e">
        <f ca="1">IF(F135="","",VLOOKUP(F135,INDIRECT($F$2&amp;6),2,TRUE))</f>
        <v>#N/A</v>
      </c>
      <c r="H135" s="42" t="e">
        <v>#N/A</v>
      </c>
      <c r="I135" s="43" t="e">
        <f ca="1">IF(H135="","",VLOOKUP(H135,INDIRECT($H$2&amp;6),2,TRUE))</f>
        <v>#N/A</v>
      </c>
      <c r="J135" s="44" t="e">
        <f ca="1">(E135+G135+I135)/3</f>
        <v>#N/A</v>
      </c>
      <c r="K135" s="45" t="e">
        <v>#N/A</v>
      </c>
      <c r="L135" s="43" t="e">
        <f ca="1">IF(K135="","",VLOOKUP(K135,INDIRECT($K$2&amp;6),2,TRUE))</f>
        <v>#N/A</v>
      </c>
      <c r="M135" s="42" t="e">
        <v>#N/A</v>
      </c>
      <c r="N135" s="43" t="e">
        <f ca="1">IF(M135="","",VLOOKUP(M135,INDIRECT($M$2&amp;6),2,TRUE))</f>
        <v>#N/A</v>
      </c>
      <c r="O135" s="42" t="e">
        <v>#N/A</v>
      </c>
      <c r="P135" s="43" t="e">
        <f ca="1">IF(O135="","",VLOOKUP(O135,INDIRECT($O$2&amp;6),2,TRUE))</f>
        <v>#N/A</v>
      </c>
      <c r="Q135" s="46"/>
      <c r="R135" s="47" t="e">
        <f>RANK(Q135,$Q$4:$Q$260,0)</f>
        <v>#N/A</v>
      </c>
      <c r="S135" s="48" t="e">
        <f ca="1">(E135+G135+I135+((N135+P135)/2))/4</f>
        <v>#N/A</v>
      </c>
    </row>
    <row r="136" spans="1:39" ht="20.100000000000001" customHeight="1">
      <c r="A136" s="41">
        <v>6</v>
      </c>
      <c r="B136">
        <v>20603</v>
      </c>
      <c r="C136" t="s">
        <v>163</v>
      </c>
      <c r="D136" s="42">
        <v>58</v>
      </c>
      <c r="E136" s="43">
        <f ca="1">IF(D136="","",VLOOKUP(D136,INDIRECT($D$2&amp;6),2,TRUE))</f>
        <v>5</v>
      </c>
      <c r="F136" s="42">
        <v>16</v>
      </c>
      <c r="G136" s="43">
        <f ca="1">IF(F136="","",VLOOKUP(F136,INDIRECT($F$2&amp;6),2,TRUE))</f>
        <v>7</v>
      </c>
      <c r="H136" s="42">
        <v>41</v>
      </c>
      <c r="I136" s="43">
        <f ca="1">IF(H136="","",VLOOKUP(H136,INDIRECT($H$2&amp;6),2,TRUE))</f>
        <v>6</v>
      </c>
      <c r="J136" s="44">
        <f ca="1">(E136+G136+I136)/3</f>
        <v>6</v>
      </c>
      <c r="K136" s="45">
        <v>3</v>
      </c>
      <c r="L136" s="43">
        <f ca="1">IF(K136="","",VLOOKUP(K136,INDIRECT($K$2&amp;6),2,TRUE))</f>
        <v>9</v>
      </c>
      <c r="M136" s="42">
        <v>7.5</v>
      </c>
      <c r="N136" s="43">
        <f ca="1">IF(M136="","",VLOOKUP(M136,INDIRECT($M$2&amp;6),2,TRUE))</f>
        <v>8</v>
      </c>
      <c r="O136" s="42">
        <v>10.5</v>
      </c>
      <c r="P136" s="43">
        <f ca="1">IF(O136="","",VLOOKUP(O136,INDIRECT($O$2&amp;6),2,TRUE))</f>
        <v>7</v>
      </c>
      <c r="Q136" s="46">
        <f>D136+F136+H136+K136+M136+O136</f>
        <v>136</v>
      </c>
      <c r="R136" s="47">
        <f>RANK(Q136,$Q$4:$Q$260,0)</f>
        <v>215</v>
      </c>
      <c r="S136" s="48">
        <f ca="1">(E136+G136+I136+((N136+P136)/2))/4</f>
        <v>6.375</v>
      </c>
    </row>
    <row r="137" spans="1:39" ht="20.100000000000001" customHeight="1">
      <c r="A137" s="41">
        <v>6</v>
      </c>
      <c r="B137">
        <v>20604</v>
      </c>
      <c r="C137" t="s">
        <v>164</v>
      </c>
      <c r="D137" s="42">
        <v>41</v>
      </c>
      <c r="E137" s="43">
        <f ca="1">IF(D137="","",VLOOKUP(D137,INDIRECT($D$2&amp;6),2,TRUE))</f>
        <v>6</v>
      </c>
      <c r="F137" s="42">
        <v>49</v>
      </c>
      <c r="G137" s="43">
        <f ca="1">IF(F137="","",VLOOKUP(F137,INDIRECT($F$2&amp;6),2,TRUE))</f>
        <v>4</v>
      </c>
      <c r="H137" s="42">
        <v>66</v>
      </c>
      <c r="I137" s="43">
        <f ca="1">IF(H137="","",VLOOKUP(H137,INDIRECT($H$2&amp;6),2,TRUE))</f>
        <v>4</v>
      </c>
      <c r="J137" s="44">
        <f ca="1">(E137+G137+I137)/3</f>
        <v>4.666666666666667</v>
      </c>
      <c r="K137" s="45">
        <v>39</v>
      </c>
      <c r="L137" s="43">
        <f ca="1">IF(K137="","",VLOOKUP(K137,INDIRECT($K$2&amp;6),2,TRUE))</f>
        <v>2</v>
      </c>
      <c r="M137" s="42">
        <v>24</v>
      </c>
      <c r="N137" s="43">
        <f ca="1">IF(M137="","",VLOOKUP(M137,INDIRECT($M$2&amp;6),2,TRUE))</f>
        <v>5</v>
      </c>
      <c r="O137" s="42">
        <v>24.5</v>
      </c>
      <c r="P137" s="43">
        <f ca="1">IF(O137="","",VLOOKUP(O137,INDIRECT($O$2&amp;6),2,TRUE))</f>
        <v>4</v>
      </c>
      <c r="Q137" s="46">
        <f>D137+F137+H137+K137+M137+O137</f>
        <v>243.5</v>
      </c>
      <c r="R137" s="47">
        <f>RANK(Q137,$Q$4:$Q$260,0)</f>
        <v>110</v>
      </c>
      <c r="S137" s="48">
        <f ca="1">(E137+G137+I137+((N137+P137)/2))/4</f>
        <v>4.625</v>
      </c>
      <c r="AF137" s="73"/>
      <c r="AG137" s="73"/>
      <c r="AH137" s="73"/>
      <c r="AI137" s="73"/>
      <c r="AJ137" s="73"/>
      <c r="AK137" s="73"/>
      <c r="AL137" s="73"/>
      <c r="AM137" s="73"/>
    </row>
    <row r="138" spans="1:39" ht="20.100000000000001" customHeight="1">
      <c r="A138" s="41">
        <v>6</v>
      </c>
      <c r="B138">
        <v>20605</v>
      </c>
      <c r="C138" t="s">
        <v>165</v>
      </c>
      <c r="D138" s="42">
        <v>78</v>
      </c>
      <c r="E138" s="43">
        <f ca="1">IF(D138="","",VLOOKUP(D138,INDIRECT($D$2&amp;6),2,TRUE))</f>
        <v>3</v>
      </c>
      <c r="F138" s="42">
        <v>54</v>
      </c>
      <c r="G138" s="43">
        <f ca="1">IF(F138="","",VLOOKUP(F138,INDIRECT($F$2&amp;6),2,TRUE))</f>
        <v>4</v>
      </c>
      <c r="H138" s="42">
        <v>81</v>
      </c>
      <c r="I138" s="43">
        <f ca="1">IF(H138="","",VLOOKUP(H138,INDIRECT($H$2&amp;6),2,TRUE))</f>
        <v>2</v>
      </c>
      <c r="J138" s="44">
        <f ca="1">(E138+G138+I138)/3</f>
        <v>3</v>
      </c>
      <c r="K138" s="45">
        <v>41</v>
      </c>
      <c r="L138" s="43">
        <f ca="1">IF(K138="","",VLOOKUP(K138,INDIRECT($K$2&amp;6),2,TRUE))</f>
        <v>1</v>
      </c>
      <c r="M138" s="42">
        <v>30.5</v>
      </c>
      <c r="N138" s="43">
        <f ca="1">IF(M138="","",VLOOKUP(M138,INDIRECT($M$2&amp;6),2,TRUE))</f>
        <v>4</v>
      </c>
      <c r="O138" s="42">
        <v>33.5</v>
      </c>
      <c r="P138" s="43">
        <f ca="1">IF(O138="","",VLOOKUP(O138,INDIRECT($O$2&amp;6),2,TRUE))</f>
        <v>3</v>
      </c>
      <c r="Q138" s="46">
        <f>D138+F138+H138+K138+M138+O138</f>
        <v>318</v>
      </c>
      <c r="R138" s="47">
        <f>RANK(Q138,$Q$4:$Q$260,0)</f>
        <v>48</v>
      </c>
      <c r="S138" s="48">
        <f ca="1">(E138+G138+I138+((N138+P138)/2))/4</f>
        <v>3.125</v>
      </c>
      <c r="U138" s="73"/>
      <c r="V138" s="73"/>
      <c r="AF138" s="73"/>
      <c r="AG138" s="73"/>
      <c r="AH138" s="73"/>
      <c r="AI138" s="73"/>
      <c r="AJ138" s="73"/>
      <c r="AK138" s="73"/>
      <c r="AL138" s="73"/>
      <c r="AM138" s="73"/>
    </row>
    <row r="139" spans="1:39" ht="20.100000000000001" customHeight="1">
      <c r="A139" s="41">
        <v>6</v>
      </c>
      <c r="B139">
        <v>20606</v>
      </c>
      <c r="C139" t="s">
        <v>166</v>
      </c>
      <c r="D139" s="42">
        <v>56</v>
      </c>
      <c r="E139" s="43">
        <f ca="1">IF(D139="","",VLOOKUP(D139,INDIRECT($D$2&amp;6),2,TRUE))</f>
        <v>5</v>
      </c>
      <c r="F139" s="42">
        <v>61</v>
      </c>
      <c r="G139" s="43">
        <f ca="1">IF(F139="","",VLOOKUP(F139,INDIRECT($F$2&amp;6),2,TRUE))</f>
        <v>4</v>
      </c>
      <c r="H139" s="42">
        <v>79</v>
      </c>
      <c r="I139" s="43">
        <f ca="1">IF(H139="","",VLOOKUP(H139,INDIRECT($H$2&amp;6),2,TRUE))</f>
        <v>3</v>
      </c>
      <c r="J139" s="44">
        <f ca="1">(E139+G139+I139)/3</f>
        <v>4</v>
      </c>
      <c r="K139" s="45">
        <v>24</v>
      </c>
      <c r="L139" s="43">
        <f ca="1">IF(K139="","",VLOOKUP(K139,INDIRECT($K$2&amp;6),2,TRUE))</f>
        <v>5</v>
      </c>
      <c r="M139" s="42">
        <v>30.5</v>
      </c>
      <c r="N139" s="43">
        <f ca="1">IF(M139="","",VLOOKUP(M139,INDIRECT($M$2&amp;6),2,TRUE))</f>
        <v>4</v>
      </c>
      <c r="O139" s="42">
        <v>34</v>
      </c>
      <c r="P139" s="43">
        <f ca="1">IF(O139="","",VLOOKUP(O139,INDIRECT($O$2&amp;6),2,TRUE))</f>
        <v>3</v>
      </c>
      <c r="Q139" s="46">
        <f>D139+F139+H139+K139+M139+O139</f>
        <v>284.5</v>
      </c>
      <c r="R139" s="47">
        <f>RANK(Q139,$Q$4:$Q$260,0)</f>
        <v>72</v>
      </c>
      <c r="S139" s="48">
        <f ca="1">(E139+G139+I139+((N139+P139)/2))/4</f>
        <v>3.875</v>
      </c>
      <c r="U139" s="73"/>
      <c r="V139" s="73"/>
      <c r="AF139" s="73"/>
      <c r="AG139" s="73"/>
      <c r="AH139" s="73"/>
      <c r="AI139" s="73"/>
      <c r="AJ139" s="73"/>
      <c r="AK139" s="73"/>
      <c r="AL139" s="73"/>
      <c r="AM139" s="73"/>
    </row>
    <row r="140" spans="1:39" ht="20.100000000000001" customHeight="1">
      <c r="A140" s="41">
        <v>6</v>
      </c>
      <c r="B140">
        <v>20607</v>
      </c>
      <c r="C140" t="s">
        <v>167</v>
      </c>
      <c r="D140" s="42">
        <v>36</v>
      </c>
      <c r="E140" s="43">
        <f ca="1">IF(D140="","",VLOOKUP(D140,INDIRECT($D$2&amp;6),2,TRUE))</f>
        <v>6</v>
      </c>
      <c r="F140" s="42">
        <v>15</v>
      </c>
      <c r="G140" s="43">
        <f ca="1">IF(F140="","",VLOOKUP(F140,INDIRECT($F$2&amp;6),2,TRUE))</f>
        <v>7</v>
      </c>
      <c r="H140" s="42">
        <v>51</v>
      </c>
      <c r="I140" s="43">
        <f ca="1">IF(H140="","",VLOOKUP(H140,INDIRECT($H$2&amp;6),2,TRUE))</f>
        <v>5</v>
      </c>
      <c r="J140" s="44">
        <f ca="1">(E140+G140+I140)/3</f>
        <v>6</v>
      </c>
      <c r="K140" s="45">
        <v>9</v>
      </c>
      <c r="L140" s="43">
        <f ca="1">IF(K140="","",VLOOKUP(K140,INDIRECT($K$2&amp;6),2,TRUE))</f>
        <v>8</v>
      </c>
      <c r="M140" s="42">
        <v>19.5</v>
      </c>
      <c r="N140" s="43">
        <f ca="1">IF(M140="","",VLOOKUP(M140,INDIRECT($M$2&amp;6),2,TRUE))</f>
        <v>6</v>
      </c>
      <c r="O140" s="42">
        <v>17</v>
      </c>
      <c r="P140" s="43">
        <f ca="1">IF(O140="","",VLOOKUP(O140,INDIRECT($O$2&amp;6),2,TRUE))</f>
        <v>5</v>
      </c>
      <c r="Q140" s="46">
        <f>D140+F140+H140+K140+M140+O140</f>
        <v>147.5</v>
      </c>
      <c r="R140" s="47">
        <f>RANK(Q140,$Q$4:$Q$260,0)</f>
        <v>210</v>
      </c>
      <c r="S140" s="48">
        <f ca="1">(E140+G140+I140+((N140+P140)/2))/4</f>
        <v>5.875</v>
      </c>
      <c r="U140" s="73"/>
      <c r="V140" s="73"/>
      <c r="AF140" s="73"/>
      <c r="AG140" s="73"/>
      <c r="AH140" s="73"/>
      <c r="AI140" s="73"/>
      <c r="AJ140" s="73"/>
      <c r="AK140" s="73"/>
      <c r="AL140" s="73"/>
      <c r="AM140" s="73"/>
    </row>
    <row r="141" spans="1:39" ht="20.100000000000001" customHeight="1">
      <c r="A141" s="41">
        <v>6</v>
      </c>
      <c r="B141">
        <v>20608</v>
      </c>
      <c r="C141" t="s">
        <v>168</v>
      </c>
      <c r="D141" s="42">
        <v>65</v>
      </c>
      <c r="E141" s="43">
        <f ca="1">IF(D141="","",VLOOKUP(D141,INDIRECT($D$2&amp;6),2,TRUE))</f>
        <v>4</v>
      </c>
      <c r="F141" s="42">
        <v>47</v>
      </c>
      <c r="G141" s="43">
        <f ca="1">IF(F141="","",VLOOKUP(F141,INDIRECT($F$2&amp;6),2,TRUE))</f>
        <v>4</v>
      </c>
      <c r="H141" s="42">
        <v>66</v>
      </c>
      <c r="I141" s="43">
        <f ca="1">IF(H141="","",VLOOKUP(H141,INDIRECT($H$2&amp;6),2,TRUE))</f>
        <v>4</v>
      </c>
      <c r="J141" s="44">
        <f ca="1">(E141+G141+I141)/3</f>
        <v>4</v>
      </c>
      <c r="K141" s="45">
        <v>28</v>
      </c>
      <c r="L141" s="43">
        <f ca="1">IF(K141="","",VLOOKUP(K141,INDIRECT($K$2&amp;6),2,TRUE))</f>
        <v>4</v>
      </c>
      <c r="M141" s="42">
        <v>36.5</v>
      </c>
      <c r="N141" s="43">
        <f ca="1">IF(M141="","",VLOOKUP(M141,INDIRECT($M$2&amp;6),2,TRUE))</f>
        <v>3</v>
      </c>
      <c r="O141" s="42">
        <v>30</v>
      </c>
      <c r="P141" s="43">
        <f ca="1">IF(O141="","",VLOOKUP(O141,INDIRECT($O$2&amp;6),2,TRUE))</f>
        <v>3</v>
      </c>
      <c r="Q141" s="46">
        <f>D141+F141+H141+K141+M141+O141</f>
        <v>272.5</v>
      </c>
      <c r="R141" s="47">
        <f>RANK(Q141,$Q$4:$Q$260,0)</f>
        <v>86</v>
      </c>
      <c r="S141" s="48">
        <f ca="1">(E141+G141+I141+((N141+P141)/2))/4</f>
        <v>3.75</v>
      </c>
      <c r="U141" s="73"/>
      <c r="V141" s="73"/>
      <c r="AF141" s="73"/>
      <c r="AG141" s="73"/>
      <c r="AH141" s="73"/>
      <c r="AI141" s="73"/>
      <c r="AJ141" s="73"/>
      <c r="AK141" s="73"/>
      <c r="AL141" s="73"/>
      <c r="AM141" s="73"/>
    </row>
    <row r="142" spans="1:39" ht="20.100000000000001" customHeight="1">
      <c r="A142" s="41">
        <v>6</v>
      </c>
      <c r="B142">
        <v>20609</v>
      </c>
      <c r="C142" t="s">
        <v>169</v>
      </c>
      <c r="D142" s="42">
        <v>80</v>
      </c>
      <c r="E142" s="43">
        <f ca="1">IF(D142="","",VLOOKUP(D142,INDIRECT($D$2&amp;6),2,TRUE))</f>
        <v>3</v>
      </c>
      <c r="F142" s="42">
        <v>65</v>
      </c>
      <c r="G142" s="43">
        <f ca="1">IF(F142="","",VLOOKUP(F142,INDIRECT($F$2&amp;6),2,TRUE))</f>
        <v>3</v>
      </c>
      <c r="H142" s="42">
        <v>76</v>
      </c>
      <c r="I142" s="43">
        <f ca="1">IF(H142="","",VLOOKUP(H142,INDIRECT($H$2&amp;6),2,TRUE))</f>
        <v>3</v>
      </c>
      <c r="J142" s="44">
        <f ca="1">(E142+G142+I142)/3</f>
        <v>3</v>
      </c>
      <c r="K142" s="45">
        <v>39</v>
      </c>
      <c r="L142" s="43">
        <f ca="1">IF(K142="","",VLOOKUP(K142,INDIRECT($K$2&amp;6),2,TRUE))</f>
        <v>2</v>
      </c>
      <c r="M142" s="42">
        <v>38</v>
      </c>
      <c r="N142" s="43">
        <f ca="1">IF(M142="","",VLOOKUP(M142,INDIRECT($M$2&amp;6),2,TRUE))</f>
        <v>2</v>
      </c>
      <c r="O142" s="42">
        <v>30.5</v>
      </c>
      <c r="P142" s="43">
        <f ca="1">IF(O142="","",VLOOKUP(O142,INDIRECT($O$2&amp;6),2,TRUE))</f>
        <v>3</v>
      </c>
      <c r="Q142" s="46">
        <f>D142+F142+H142+K142+M142+O142</f>
        <v>328.5</v>
      </c>
      <c r="R142" s="47">
        <f>RANK(Q142,$Q$4:$Q$260,0)</f>
        <v>38</v>
      </c>
      <c r="S142" s="48">
        <f ca="1">(E142+G142+I142+((N142+P142)/2))/4</f>
        <v>2.875</v>
      </c>
      <c r="U142" s="73"/>
      <c r="V142" s="73"/>
      <c r="AF142" s="73"/>
      <c r="AG142" s="73"/>
      <c r="AH142" s="73"/>
      <c r="AI142" s="73"/>
      <c r="AJ142" s="73"/>
      <c r="AK142" s="73"/>
      <c r="AL142" s="73"/>
      <c r="AM142" s="73"/>
    </row>
    <row r="143" spans="1:39" ht="20.100000000000001" customHeight="1">
      <c r="A143" s="41">
        <v>6</v>
      </c>
      <c r="B143">
        <v>20610</v>
      </c>
      <c r="C143" t="s">
        <v>170</v>
      </c>
      <c r="D143" s="42">
        <v>58</v>
      </c>
      <c r="E143" s="43">
        <f ca="1">IF(D143="","",VLOOKUP(D143,INDIRECT($D$2&amp;6),2,TRUE))</f>
        <v>5</v>
      </c>
      <c r="F143" s="42">
        <v>35</v>
      </c>
      <c r="G143" s="43">
        <f ca="1">IF(F143="","",VLOOKUP(F143,INDIRECT($F$2&amp;6),2,TRUE))</f>
        <v>5</v>
      </c>
      <c r="H143" s="42">
        <v>57</v>
      </c>
      <c r="I143" s="43">
        <f ca="1">IF(H143="","",VLOOKUP(H143,INDIRECT($H$2&amp;6),2,TRUE))</f>
        <v>5</v>
      </c>
      <c r="J143" s="44">
        <f ca="1">(E143+G143+I143)/3</f>
        <v>5</v>
      </c>
      <c r="K143" s="45">
        <v>27</v>
      </c>
      <c r="L143" s="43">
        <f ca="1">IF(K143="","",VLOOKUP(K143,INDIRECT($K$2&amp;6),2,TRUE))</f>
        <v>4</v>
      </c>
      <c r="M143" s="42">
        <v>21.5</v>
      </c>
      <c r="N143" s="43">
        <f ca="1">IF(M143="","",VLOOKUP(M143,INDIRECT($M$2&amp;6),2,TRUE))</f>
        <v>5</v>
      </c>
      <c r="O143" s="42">
        <v>13</v>
      </c>
      <c r="P143" s="43">
        <f ca="1">IF(O143="","",VLOOKUP(O143,INDIRECT($O$2&amp;6),2,TRUE))</f>
        <v>6</v>
      </c>
      <c r="Q143" s="46">
        <f>D143+F143+H143+K143+M143+O143</f>
        <v>211.5</v>
      </c>
      <c r="R143" s="47">
        <f>RANK(Q143,$Q$4:$Q$260,0)</f>
        <v>145</v>
      </c>
      <c r="S143" s="48">
        <f ca="1">(E143+G143+I143+((N143+P143)/2))/4</f>
        <v>5.125</v>
      </c>
      <c r="U143" s="73"/>
      <c r="V143" s="73"/>
      <c r="AF143" s="73"/>
      <c r="AG143" s="73"/>
      <c r="AH143" s="73"/>
      <c r="AI143" s="73"/>
      <c r="AJ143" s="73"/>
      <c r="AK143" s="73"/>
      <c r="AL143" s="73"/>
      <c r="AM143" s="73"/>
    </row>
    <row r="144" spans="1:39" ht="20.100000000000001" customHeight="1">
      <c r="A144" s="41">
        <v>6</v>
      </c>
      <c r="B144">
        <v>20611</v>
      </c>
      <c r="C144" t="s">
        <v>171</v>
      </c>
      <c r="D144" s="42">
        <v>70</v>
      </c>
      <c r="E144" s="43">
        <f ca="1">IF(D144="","",VLOOKUP(D144,INDIRECT($D$2&amp;6),2,TRUE))</f>
        <v>4</v>
      </c>
      <c r="F144" s="42">
        <v>61</v>
      </c>
      <c r="G144" s="43">
        <f ca="1">IF(F144="","",VLOOKUP(F144,INDIRECT($F$2&amp;6),2,TRUE))</f>
        <v>4</v>
      </c>
      <c r="H144" s="42">
        <v>69</v>
      </c>
      <c r="I144" s="43">
        <f ca="1">IF(H144="","",VLOOKUP(H144,INDIRECT($H$2&amp;6),2,TRUE))</f>
        <v>4</v>
      </c>
      <c r="J144" s="44">
        <f ca="1">(E144+G144+I144)/3</f>
        <v>4</v>
      </c>
      <c r="K144" s="45">
        <v>27</v>
      </c>
      <c r="L144" s="43">
        <f ca="1">IF(K144="","",VLOOKUP(K144,INDIRECT($K$2&amp;6),2,TRUE))</f>
        <v>4</v>
      </c>
      <c r="M144" s="42">
        <v>41.5</v>
      </c>
      <c r="N144" s="43">
        <f ca="1">IF(M144="","",VLOOKUP(M144,INDIRECT($M$2&amp;6),2,TRUE))</f>
        <v>2</v>
      </c>
      <c r="O144" s="42">
        <v>16</v>
      </c>
      <c r="P144" s="43">
        <f ca="1">IF(O144="","",VLOOKUP(O144,INDIRECT($O$2&amp;6),2,TRUE))</f>
        <v>5</v>
      </c>
      <c r="Q144" s="46">
        <f>D144+F144+H144+K144+M144+O144</f>
        <v>284.5</v>
      </c>
      <c r="R144" s="47">
        <f>RANK(Q144,$Q$4:$Q$260,0)</f>
        <v>72</v>
      </c>
      <c r="S144" s="48">
        <f ca="1">(E144+G144+I144+((N144+P144)/2))/4</f>
        <v>3.875</v>
      </c>
      <c r="U144" s="73"/>
      <c r="V144" s="73"/>
      <c r="AF144" s="73"/>
      <c r="AG144" s="73"/>
      <c r="AH144" s="73"/>
      <c r="AI144" s="73"/>
      <c r="AJ144" s="73"/>
      <c r="AK144" s="73"/>
      <c r="AL144" s="73"/>
      <c r="AM144" s="73"/>
    </row>
    <row r="145" spans="1:39" ht="20.100000000000001" customHeight="1">
      <c r="A145" s="41">
        <v>6</v>
      </c>
      <c r="B145">
        <v>20612</v>
      </c>
      <c r="C145" t="s">
        <v>172</v>
      </c>
      <c r="D145" s="42">
        <v>83</v>
      </c>
      <c r="E145" s="43">
        <f ca="1">IF(D145="","",VLOOKUP(D145,INDIRECT($D$2&amp;6),2,TRUE))</f>
        <v>2</v>
      </c>
      <c r="F145" s="42">
        <v>62</v>
      </c>
      <c r="G145" s="43">
        <f ca="1">IF(F145="","",VLOOKUP(F145,INDIRECT($F$2&amp;6),2,TRUE))</f>
        <v>3</v>
      </c>
      <c r="H145" s="42">
        <v>90</v>
      </c>
      <c r="I145" s="43">
        <f ca="1">IF(H145="","",VLOOKUP(H145,INDIRECT($H$2&amp;6),2,TRUE))</f>
        <v>1</v>
      </c>
      <c r="J145" s="44">
        <f ca="1">(E145+G145+I145)/3</f>
        <v>2</v>
      </c>
      <c r="K145" s="45">
        <v>18</v>
      </c>
      <c r="L145" s="43">
        <f ca="1">IF(K145="","",VLOOKUP(K145,INDIRECT($K$2&amp;6),2,TRUE))</f>
        <v>6</v>
      </c>
      <c r="M145" s="42">
        <v>32.5</v>
      </c>
      <c r="N145" s="43">
        <f ca="1">IF(M145="","",VLOOKUP(M145,INDIRECT($M$2&amp;6),2,TRUE))</f>
        <v>3</v>
      </c>
      <c r="O145" s="42">
        <v>34</v>
      </c>
      <c r="P145" s="43">
        <f ca="1">IF(O145="","",VLOOKUP(O145,INDIRECT($O$2&amp;6),2,TRUE))</f>
        <v>3</v>
      </c>
      <c r="Q145" s="46">
        <f>D145+F145+H145+K145+M145+O145</f>
        <v>319.5</v>
      </c>
      <c r="R145" s="47">
        <f>RANK(Q145,$Q$4:$Q$260,0)</f>
        <v>47</v>
      </c>
      <c r="S145" s="48">
        <f ca="1">(E145+G145+I145+((N145+P145)/2))/4</f>
        <v>2.25</v>
      </c>
      <c r="U145" s="73"/>
      <c r="V145" s="73"/>
      <c r="AF145" s="73"/>
      <c r="AG145" s="73"/>
      <c r="AH145" s="73"/>
      <c r="AI145" s="73"/>
      <c r="AJ145" s="73"/>
      <c r="AK145" s="73"/>
      <c r="AL145" s="73"/>
      <c r="AM145" s="73"/>
    </row>
    <row r="146" spans="1:39" ht="20.100000000000001" customHeight="1">
      <c r="A146" s="41">
        <v>6</v>
      </c>
      <c r="B146">
        <v>20613</v>
      </c>
      <c r="C146" t="s">
        <v>173</v>
      </c>
      <c r="D146" s="42">
        <v>87</v>
      </c>
      <c r="E146" s="43">
        <f ca="1">IF(D146="","",VLOOKUP(D146,INDIRECT($D$2&amp;6),2,TRUE))</f>
        <v>2</v>
      </c>
      <c r="F146" s="42">
        <v>57</v>
      </c>
      <c r="G146" s="43">
        <f ca="1">IF(F146="","",VLOOKUP(F146,INDIRECT($F$2&amp;6),2,TRUE))</f>
        <v>4</v>
      </c>
      <c r="H146" s="42">
        <v>82</v>
      </c>
      <c r="I146" s="43">
        <f ca="1">IF(H146="","",VLOOKUP(H146,INDIRECT($H$2&amp;6),2,TRUE))</f>
        <v>2</v>
      </c>
      <c r="J146" s="44">
        <f ca="1">(E146+G146+I146)/3</f>
        <v>2.6666666666666665</v>
      </c>
      <c r="K146" s="45">
        <v>28</v>
      </c>
      <c r="L146" s="43">
        <f ca="1">IF(K146="","",VLOOKUP(K146,INDIRECT($K$2&amp;6),2,TRUE))</f>
        <v>4</v>
      </c>
      <c r="M146" s="42">
        <v>38.5</v>
      </c>
      <c r="N146" s="43">
        <f ca="1">IF(M146="","",VLOOKUP(M146,INDIRECT($M$2&amp;6),2,TRUE))</f>
        <v>2</v>
      </c>
      <c r="O146" s="42">
        <v>35</v>
      </c>
      <c r="P146" s="43">
        <f ca="1">IF(O146="","",VLOOKUP(O146,INDIRECT($O$2&amp;6),2,TRUE))</f>
        <v>2</v>
      </c>
      <c r="Q146" s="46">
        <f>D146+F146+H146+K146+M146+O146</f>
        <v>327.5</v>
      </c>
      <c r="R146" s="47">
        <f>RANK(Q146,$Q$4:$Q$260,0)</f>
        <v>40</v>
      </c>
      <c r="S146" s="48">
        <f ca="1">(E146+G146+I146+((N146+P146)/2))/4</f>
        <v>2.5</v>
      </c>
      <c r="U146" s="73"/>
      <c r="V146" s="73"/>
      <c r="AF146" s="73"/>
      <c r="AG146" s="73"/>
      <c r="AH146" s="73"/>
      <c r="AI146" s="73"/>
      <c r="AJ146" s="73"/>
      <c r="AK146" s="73"/>
      <c r="AL146" s="73"/>
      <c r="AM146" s="73"/>
    </row>
    <row r="147" spans="1:39" ht="20.100000000000001" customHeight="1">
      <c r="A147" s="41">
        <v>6</v>
      </c>
      <c r="B147">
        <v>20614</v>
      </c>
      <c r="C147" t="s">
        <v>174</v>
      </c>
      <c r="D147" s="42">
        <v>49</v>
      </c>
      <c r="E147" s="43">
        <f ca="1">IF(D147="","",VLOOKUP(D147,INDIRECT($D$2&amp;6),2,TRUE))</f>
        <v>5</v>
      </c>
      <c r="F147" s="42">
        <v>17</v>
      </c>
      <c r="G147" s="43">
        <f ca="1">IF(F147="","",VLOOKUP(F147,INDIRECT($F$2&amp;6),2,TRUE))</f>
        <v>6</v>
      </c>
      <c r="H147" s="42">
        <v>34</v>
      </c>
      <c r="I147" s="43">
        <f ca="1">IF(H147="","",VLOOKUP(H147,INDIRECT($H$2&amp;6),2,TRUE))</f>
        <v>7</v>
      </c>
      <c r="J147" s="44">
        <f ca="1">(E147+G147+I147)/3</f>
        <v>6</v>
      </c>
      <c r="K147" s="45">
        <v>21</v>
      </c>
      <c r="L147" s="43">
        <f ca="1">IF(K147="","",VLOOKUP(K147,INDIRECT($K$2&amp;6),2,TRUE))</f>
        <v>5</v>
      </c>
      <c r="M147" s="42">
        <v>14</v>
      </c>
      <c r="N147" s="43">
        <f ca="1">IF(M147="","",VLOOKUP(M147,INDIRECT($M$2&amp;6),2,TRUE))</f>
        <v>6</v>
      </c>
      <c r="O147" s="42">
        <v>19.5</v>
      </c>
      <c r="P147" s="43">
        <f ca="1">IF(O147="","",VLOOKUP(O147,INDIRECT($O$2&amp;6),2,TRUE))</f>
        <v>5</v>
      </c>
      <c r="Q147" s="46">
        <f>D147+F147+H147+K147+M147+O147</f>
        <v>154.5</v>
      </c>
      <c r="R147" s="47">
        <f>RANK(Q147,$Q$4:$Q$260,0)</f>
        <v>202</v>
      </c>
      <c r="S147" s="48">
        <f ca="1">(E147+G147+I147+((N147+P147)/2))/4</f>
        <v>5.875</v>
      </c>
      <c r="U147" s="73"/>
      <c r="V147" s="73"/>
      <c r="AF147" s="73"/>
      <c r="AG147" s="73"/>
      <c r="AH147" s="73"/>
      <c r="AI147" s="73"/>
      <c r="AJ147" s="73"/>
      <c r="AK147" s="73"/>
      <c r="AL147" s="73"/>
      <c r="AM147" s="73"/>
    </row>
    <row r="148" spans="1:39" ht="20.100000000000001" customHeight="1">
      <c r="A148" s="41">
        <v>6</v>
      </c>
      <c r="B148">
        <v>20615</v>
      </c>
      <c r="C148" t="s">
        <v>175</v>
      </c>
      <c r="D148" s="42">
        <v>27</v>
      </c>
      <c r="E148" s="43">
        <f ca="1">IF(D148="","",VLOOKUP(D148,INDIRECT($D$2&amp;6),2,TRUE))</f>
        <v>7</v>
      </c>
      <c r="F148" s="42">
        <v>6</v>
      </c>
      <c r="G148" s="43">
        <f ca="1">IF(F148="","",VLOOKUP(F148,INDIRECT($F$2&amp;6),2,TRUE))</f>
        <v>9</v>
      </c>
      <c r="H148" s="42">
        <v>25</v>
      </c>
      <c r="I148" s="43">
        <f ca="1">IF(H148="","",VLOOKUP(H148,INDIRECT($H$2&amp;6),2,TRUE))</f>
        <v>8</v>
      </c>
      <c r="J148" s="44">
        <f ca="1">(E148+G148+I148)/3</f>
        <v>8</v>
      </c>
      <c r="K148" s="45">
        <v>18</v>
      </c>
      <c r="L148" s="43">
        <f ca="1">IF(K148="","",VLOOKUP(K148,INDIRECT($K$2&amp;6),2,TRUE))</f>
        <v>6</v>
      </c>
      <c r="M148" s="42">
        <v>10</v>
      </c>
      <c r="N148" s="43">
        <f ca="1">IF(M148="","",VLOOKUP(M148,INDIRECT($M$2&amp;6),2,TRUE))</f>
        <v>7</v>
      </c>
      <c r="O148" s="42">
        <v>10</v>
      </c>
      <c r="P148" s="43">
        <f ca="1">IF(O148="","",VLOOKUP(O148,INDIRECT($O$2&amp;6),2,TRUE))</f>
        <v>7</v>
      </c>
      <c r="Q148" s="46">
        <f>D148+F148+H148+K148+M148+O148</f>
        <v>96</v>
      </c>
      <c r="R148" s="47">
        <f>RANK(Q148,$Q$4:$Q$260,0)</f>
        <v>238</v>
      </c>
      <c r="S148" s="48">
        <f ca="1">(E148+G148+I148+((N148+P148)/2))/4</f>
        <v>7.75</v>
      </c>
      <c r="U148" s="73"/>
      <c r="V148" s="73"/>
      <c r="AF148" s="73"/>
      <c r="AG148" s="73"/>
      <c r="AH148" s="73"/>
      <c r="AI148" s="73"/>
      <c r="AJ148" s="73"/>
      <c r="AK148" s="73"/>
      <c r="AL148" s="73"/>
      <c r="AM148" s="73"/>
    </row>
    <row r="149" spans="1:39" ht="20.100000000000001" customHeight="1">
      <c r="A149" s="41">
        <v>6</v>
      </c>
      <c r="B149">
        <v>20616</v>
      </c>
      <c r="C149" t="s">
        <v>176</v>
      </c>
      <c r="D149" s="42">
        <v>50</v>
      </c>
      <c r="E149" s="43">
        <f ca="1">IF(D149="","",VLOOKUP(D149,INDIRECT($D$2&amp;6),2,TRUE))</f>
        <v>5</v>
      </c>
      <c r="F149" s="42">
        <v>10</v>
      </c>
      <c r="G149" s="43">
        <f ca="1">IF(F149="","",VLOOKUP(F149,INDIRECT($F$2&amp;6),2,TRUE))</f>
        <v>8</v>
      </c>
      <c r="H149" s="42">
        <v>70</v>
      </c>
      <c r="I149" s="43">
        <f ca="1">IF(H149="","",VLOOKUP(H149,INDIRECT($H$2&amp;6),2,TRUE))</f>
        <v>3</v>
      </c>
      <c r="J149" s="44">
        <f ca="1">(E149+G149+I149)/3</f>
        <v>5.333333333333333</v>
      </c>
      <c r="K149" s="45">
        <v>23</v>
      </c>
      <c r="L149" s="43">
        <f ca="1">IF(K149="","",VLOOKUP(K149,INDIRECT($K$2&amp;6),2,TRUE))</f>
        <v>5</v>
      </c>
      <c r="M149" s="42">
        <v>23.5</v>
      </c>
      <c r="N149" s="43">
        <f ca="1">IF(M149="","",VLOOKUP(M149,INDIRECT($M$2&amp;6),2,TRUE))</f>
        <v>5</v>
      </c>
      <c r="O149" s="42">
        <v>15.5</v>
      </c>
      <c r="P149" s="43">
        <f ca="1">IF(O149="","",VLOOKUP(O149,INDIRECT($O$2&amp;6),2,TRUE))</f>
        <v>5</v>
      </c>
      <c r="Q149" s="46">
        <f>D149+F149+H149+K149+M149+O149</f>
        <v>192</v>
      </c>
      <c r="R149" s="47">
        <f>RANK(Q149,$Q$4:$Q$260,0)</f>
        <v>169</v>
      </c>
      <c r="S149" s="48">
        <f ca="1">(E149+G149+I149+((N149+P149)/2))/4</f>
        <v>5.25</v>
      </c>
      <c r="U149" s="73"/>
      <c r="V149" s="73"/>
      <c r="AF149" s="73"/>
      <c r="AG149" s="73"/>
      <c r="AH149" s="73"/>
      <c r="AI149" s="73"/>
      <c r="AJ149" s="73"/>
      <c r="AK149" s="73"/>
      <c r="AL149" s="73"/>
      <c r="AM149" s="73"/>
    </row>
    <row r="150" spans="1:39" ht="20.100000000000001" customHeight="1">
      <c r="A150" s="41">
        <v>6</v>
      </c>
      <c r="B150">
        <v>20617</v>
      </c>
      <c r="C150" t="s">
        <v>177</v>
      </c>
      <c r="D150" s="42">
        <v>22</v>
      </c>
      <c r="E150" s="43">
        <f ca="1">IF(D150="","",VLOOKUP(D150,INDIRECT($D$2&amp;6),2,TRUE))</f>
        <v>7</v>
      </c>
      <c r="F150" s="42">
        <v>19</v>
      </c>
      <c r="G150" s="43">
        <f ca="1">IF(F150="","",VLOOKUP(F150,INDIRECT($F$2&amp;6),2,TRUE))</f>
        <v>6</v>
      </c>
      <c r="H150" s="42">
        <v>35</v>
      </c>
      <c r="I150" s="43">
        <f ca="1">IF(H150="","",VLOOKUP(H150,INDIRECT($H$2&amp;6),2,TRUE))</f>
        <v>7</v>
      </c>
      <c r="J150" s="44">
        <f ca="1">(E150+G150+I150)/3</f>
        <v>6.666666666666667</v>
      </c>
      <c r="K150" s="45">
        <v>12</v>
      </c>
      <c r="L150" s="43">
        <f ca="1">IF(K150="","",VLOOKUP(K150,INDIRECT($K$2&amp;6),2,TRUE))</f>
        <v>7</v>
      </c>
      <c r="M150" s="42">
        <v>7.5</v>
      </c>
      <c r="N150" s="43">
        <f ca="1">IF(M150="","",VLOOKUP(M150,INDIRECT($M$2&amp;6),2,TRUE))</f>
        <v>8</v>
      </c>
      <c r="O150" s="42">
        <v>13</v>
      </c>
      <c r="P150" s="43">
        <f ca="1">IF(O150="","",VLOOKUP(O150,INDIRECT($O$2&amp;6),2,TRUE))</f>
        <v>6</v>
      </c>
      <c r="Q150" s="46">
        <f>D150+F150+H150+K150+M150+O150</f>
        <v>108.5</v>
      </c>
      <c r="R150" s="47">
        <f>RANK(Q150,$Q$4:$Q$260,0)</f>
        <v>231</v>
      </c>
      <c r="S150" s="48">
        <f ca="1">(E150+G150+I150+((N150+P150)/2))/4</f>
        <v>6.75</v>
      </c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</row>
    <row r="151" spans="1:39" ht="20.100000000000001" customHeight="1">
      <c r="A151" s="41">
        <v>6</v>
      </c>
      <c r="B151">
        <v>20618</v>
      </c>
      <c r="C151" t="s">
        <v>178</v>
      </c>
      <c r="D151" s="42">
        <v>41</v>
      </c>
      <c r="E151" s="43">
        <f ca="1">IF(D151="","",VLOOKUP(D151,INDIRECT($D$2&amp;6),2,TRUE))</f>
        <v>6</v>
      </c>
      <c r="F151" s="42">
        <v>15</v>
      </c>
      <c r="G151" s="43">
        <f ca="1">IF(F151="","",VLOOKUP(F151,INDIRECT($F$2&amp;6),2,TRUE))</f>
        <v>7</v>
      </c>
      <c r="H151" s="42">
        <v>41</v>
      </c>
      <c r="I151" s="43">
        <f ca="1">IF(H151="","",VLOOKUP(H151,INDIRECT($H$2&amp;6),2,TRUE))</f>
        <v>6</v>
      </c>
      <c r="J151" s="44">
        <f ca="1">(E151+G151+I151)/3</f>
        <v>6.333333333333333</v>
      </c>
      <c r="K151" s="45">
        <v>33</v>
      </c>
      <c r="L151" s="43">
        <f ca="1">IF(K151="","",VLOOKUP(K151,INDIRECT($K$2&amp;6),2,TRUE))</f>
        <v>3</v>
      </c>
      <c r="M151" s="42">
        <v>26</v>
      </c>
      <c r="N151" s="43">
        <f ca="1">IF(M151="","",VLOOKUP(M151,INDIRECT($M$2&amp;6),2,TRUE))</f>
        <v>4</v>
      </c>
      <c r="O151" s="42">
        <v>11</v>
      </c>
      <c r="P151" s="43">
        <f ca="1">IF(O151="","",VLOOKUP(O151,INDIRECT($O$2&amp;6),2,TRUE))</f>
        <v>7</v>
      </c>
      <c r="Q151" s="46">
        <f>D151+F151+H151+K151+M151+O151</f>
        <v>167</v>
      </c>
      <c r="R151" s="47">
        <f>RANK(Q151,$Q$4:$Q$260,0)</f>
        <v>193</v>
      </c>
      <c r="S151" s="48">
        <f ca="1">(E151+G151+I151+((N151+P151)/2))/4</f>
        <v>6.125</v>
      </c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</row>
    <row r="152" spans="1:39" ht="20.100000000000001" customHeight="1">
      <c r="A152" s="41">
        <v>6</v>
      </c>
      <c r="B152">
        <v>20619</v>
      </c>
      <c r="C152" t="s">
        <v>179</v>
      </c>
      <c r="D152" s="42">
        <v>65</v>
      </c>
      <c r="E152" s="43">
        <f ca="1">IF(D152="","",VLOOKUP(D152,INDIRECT($D$2&amp;6),2,TRUE))</f>
        <v>4</v>
      </c>
      <c r="F152" s="42">
        <v>34</v>
      </c>
      <c r="G152" s="43">
        <f ca="1">IF(F152="","",VLOOKUP(F152,INDIRECT($F$2&amp;6),2,TRUE))</f>
        <v>5</v>
      </c>
      <c r="H152" s="42">
        <v>64</v>
      </c>
      <c r="I152" s="43">
        <f ca="1">IF(H152="","",VLOOKUP(H152,INDIRECT($H$2&amp;6),2,TRUE))</f>
        <v>4</v>
      </c>
      <c r="J152" s="44">
        <f ca="1">(E152+G152+I152)/3</f>
        <v>4.333333333333333</v>
      </c>
      <c r="K152" s="45">
        <v>35</v>
      </c>
      <c r="L152" s="43">
        <f ca="1">IF(K152="","",VLOOKUP(K152,INDIRECT($K$2&amp;6),2,TRUE))</f>
        <v>2</v>
      </c>
      <c r="M152" s="42">
        <v>26.5</v>
      </c>
      <c r="N152" s="43">
        <f ca="1">IF(M152="","",VLOOKUP(M152,INDIRECT($M$2&amp;6),2,TRUE))</f>
        <v>4</v>
      </c>
      <c r="O152" s="42">
        <v>12</v>
      </c>
      <c r="P152" s="43">
        <f ca="1">IF(O152="","",VLOOKUP(O152,INDIRECT($O$2&amp;6),2,TRUE))</f>
        <v>6</v>
      </c>
      <c r="Q152" s="46">
        <f>D152+F152+H152+K152+M152+O152</f>
        <v>236.5</v>
      </c>
      <c r="R152" s="47">
        <f>RANK(Q152,$Q$4:$Q$260,0)</f>
        <v>118</v>
      </c>
      <c r="S152" s="48">
        <f ca="1">(E152+G152+I152+((N152+P152)/2))/4</f>
        <v>4.5</v>
      </c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</row>
    <row r="153" spans="1:39" ht="20.100000000000001" customHeight="1">
      <c r="A153" s="41">
        <v>6</v>
      </c>
      <c r="B153">
        <v>20620</v>
      </c>
      <c r="C153" t="s">
        <v>180</v>
      </c>
      <c r="D153" s="42">
        <v>14</v>
      </c>
      <c r="E153" s="43">
        <f ca="1">IF(D153="","",VLOOKUP(D153,INDIRECT($D$2&amp;6),2,TRUE))</f>
        <v>9</v>
      </c>
      <c r="F153" s="42">
        <v>9</v>
      </c>
      <c r="G153" s="43">
        <f ca="1">IF(F153="","",VLOOKUP(F153,INDIRECT($F$2&amp;6),2,TRUE))</f>
        <v>8</v>
      </c>
      <c r="H153" s="42">
        <v>28</v>
      </c>
      <c r="I153" s="43">
        <f ca="1">IF(H153="","",VLOOKUP(H153,INDIRECT($H$2&amp;6),2,TRUE))</f>
        <v>8</v>
      </c>
      <c r="J153" s="44">
        <f ca="1">(E153+G153+I153)/3</f>
        <v>8.3333333333333339</v>
      </c>
      <c r="K153" s="45">
        <v>14</v>
      </c>
      <c r="L153" s="43">
        <f ca="1">IF(K153="","",VLOOKUP(K153,INDIRECT($K$2&amp;6),2,TRUE))</f>
        <v>7</v>
      </c>
      <c r="M153" s="42">
        <v>8.5</v>
      </c>
      <c r="N153" s="43">
        <f ca="1">IF(M153="","",VLOOKUP(M153,INDIRECT($M$2&amp;6),2,TRUE))</f>
        <v>8</v>
      </c>
      <c r="O153" s="42">
        <v>11</v>
      </c>
      <c r="P153" s="43">
        <f ca="1">IF(O153="","",VLOOKUP(O153,INDIRECT($O$2&amp;6),2,TRUE))</f>
        <v>7</v>
      </c>
      <c r="Q153" s="46">
        <f>D153+F153+H153+K153+M153+O153</f>
        <v>84.5</v>
      </c>
      <c r="R153" s="47">
        <f>RANK(Q153,$Q$4:$Q$260,0)</f>
        <v>246</v>
      </c>
      <c r="S153" s="48">
        <f ca="1">(E153+G153+I153+((N153+P153)/2))/4</f>
        <v>8.125</v>
      </c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</row>
    <row r="154" spans="1:39" ht="20.100000000000001" customHeight="1">
      <c r="A154" s="41">
        <v>6</v>
      </c>
      <c r="B154">
        <v>20621</v>
      </c>
      <c r="C154" t="s">
        <v>181</v>
      </c>
      <c r="D154" s="42">
        <v>45</v>
      </c>
      <c r="E154" s="43">
        <f ca="1">IF(D154="","",VLOOKUP(D154,INDIRECT($D$2&amp;6),2,TRUE))</f>
        <v>5</v>
      </c>
      <c r="F154" s="42">
        <v>38</v>
      </c>
      <c r="G154" s="43">
        <f ca="1">IF(F154="","",VLOOKUP(F154,INDIRECT($F$2&amp;6),2,TRUE))</f>
        <v>5</v>
      </c>
      <c r="H154" s="42">
        <v>56</v>
      </c>
      <c r="I154" s="43">
        <f ca="1">IF(H154="","",VLOOKUP(H154,INDIRECT($H$2&amp;6),2,TRUE))</f>
        <v>5</v>
      </c>
      <c r="J154" s="44">
        <f ca="1">(E154+G154+I154)/3</f>
        <v>5</v>
      </c>
      <c r="K154" s="45">
        <v>6</v>
      </c>
      <c r="L154" s="43">
        <f ca="1">IF(K154="","",VLOOKUP(K154,INDIRECT($K$2&amp;6),2,TRUE))</f>
        <v>8</v>
      </c>
      <c r="M154" s="42">
        <v>21</v>
      </c>
      <c r="N154" s="43">
        <f ca="1">IF(M154="","",VLOOKUP(M154,INDIRECT($M$2&amp;6),2,TRUE))</f>
        <v>5</v>
      </c>
      <c r="O154" s="42">
        <v>19.5</v>
      </c>
      <c r="P154" s="43">
        <f ca="1">IF(O154="","",VLOOKUP(O154,INDIRECT($O$2&amp;6),2,TRUE))</f>
        <v>5</v>
      </c>
      <c r="Q154" s="46">
        <f>D154+F154+H154+K154+M154+O154</f>
        <v>185.5</v>
      </c>
      <c r="R154" s="47">
        <f>RANK(Q154,$Q$4:$Q$260,0)</f>
        <v>176</v>
      </c>
      <c r="S154" s="48">
        <f ca="1">(E154+G154+I154+((N154+P154)/2))/4</f>
        <v>5</v>
      </c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</row>
    <row r="155" spans="1:39" ht="20.100000000000001" customHeight="1">
      <c r="A155" s="41">
        <v>6</v>
      </c>
      <c r="B155">
        <v>20622</v>
      </c>
      <c r="C155" t="s">
        <v>182</v>
      </c>
      <c r="D155" s="42">
        <v>53</v>
      </c>
      <c r="E155" s="43">
        <f ca="1">IF(D155="","",VLOOKUP(D155,INDIRECT($D$2&amp;6),2,TRUE))</f>
        <v>5</v>
      </c>
      <c r="F155" s="42">
        <v>28</v>
      </c>
      <c r="G155" s="43">
        <f ca="1">IF(F155="","",VLOOKUP(F155,INDIRECT($F$2&amp;6),2,TRUE))</f>
        <v>5</v>
      </c>
      <c r="H155" s="42">
        <v>70</v>
      </c>
      <c r="I155" s="43">
        <f ca="1">IF(H155="","",VLOOKUP(H155,INDIRECT($H$2&amp;6),2,TRUE))</f>
        <v>3</v>
      </c>
      <c r="J155" s="44">
        <f ca="1">(E155+G155+I155)/3</f>
        <v>4.333333333333333</v>
      </c>
      <c r="K155" s="45">
        <v>39</v>
      </c>
      <c r="L155" s="43">
        <f ca="1">IF(K155="","",VLOOKUP(K155,INDIRECT($K$2&amp;6),2,TRUE))</f>
        <v>2</v>
      </c>
      <c r="M155" s="42">
        <v>25</v>
      </c>
      <c r="N155" s="43">
        <f ca="1">IF(M155="","",VLOOKUP(M155,INDIRECT($M$2&amp;6),2,TRUE))</f>
        <v>5</v>
      </c>
      <c r="O155" s="42">
        <v>7.5</v>
      </c>
      <c r="P155" s="43">
        <f ca="1">IF(O155="","",VLOOKUP(O155,INDIRECT($O$2&amp;6),2,TRUE))</f>
        <v>8</v>
      </c>
      <c r="Q155" s="46">
        <f>D155+F155+H155+K155+M155+O155</f>
        <v>222.5</v>
      </c>
      <c r="R155" s="47">
        <f>RANK(Q155,$Q$4:$Q$260,0)</f>
        <v>133</v>
      </c>
      <c r="S155" s="48">
        <f ca="1">(E155+G155+I155+((N155+P155)/2))/4</f>
        <v>4.875</v>
      </c>
      <c r="W155" s="73"/>
      <c r="X155" s="73"/>
      <c r="Y155" s="73"/>
      <c r="Z155" s="73"/>
      <c r="AA155" s="73"/>
      <c r="AB155" s="73"/>
      <c r="AC155" s="73"/>
      <c r="AD155" s="73"/>
      <c r="AE155" s="73"/>
    </row>
    <row r="156" spans="1:39" ht="20.100000000000001" customHeight="1">
      <c r="A156" s="41">
        <v>6</v>
      </c>
      <c r="B156">
        <v>20623</v>
      </c>
      <c r="C156" t="s">
        <v>183</v>
      </c>
      <c r="D156" s="42">
        <v>76</v>
      </c>
      <c r="E156" s="43">
        <f ca="1">IF(D156="","",VLOOKUP(D156,INDIRECT($D$2&amp;6),2,TRUE))</f>
        <v>3</v>
      </c>
      <c r="F156" s="42">
        <v>69</v>
      </c>
      <c r="G156" s="43">
        <f ca="1">IF(F156="","",VLOOKUP(F156,INDIRECT($F$2&amp;6),2,TRUE))</f>
        <v>3</v>
      </c>
      <c r="H156" s="42">
        <v>74</v>
      </c>
      <c r="I156" s="43">
        <f ca="1">IF(H156="","",VLOOKUP(H156,INDIRECT($H$2&amp;6),2,TRUE))</f>
        <v>3</v>
      </c>
      <c r="J156" s="44">
        <f ca="1">(E156+G156+I156)/3</f>
        <v>3</v>
      </c>
      <c r="K156" s="45">
        <v>32</v>
      </c>
      <c r="L156" s="43">
        <f ca="1">IF(K156="","",VLOOKUP(K156,INDIRECT($K$2&amp;6),2,TRUE))</f>
        <v>3</v>
      </c>
      <c r="M156" s="42">
        <v>37</v>
      </c>
      <c r="N156" s="43">
        <f ca="1">IF(M156="","",VLOOKUP(M156,INDIRECT($M$2&amp;6),2,TRUE))</f>
        <v>2</v>
      </c>
      <c r="O156" s="42">
        <v>39</v>
      </c>
      <c r="P156" s="43">
        <f ca="1">IF(O156="","",VLOOKUP(O156,INDIRECT($O$2&amp;6),2,TRUE))</f>
        <v>2</v>
      </c>
      <c r="Q156" s="46">
        <f>D156+F156+H156+K156+M156+O156</f>
        <v>327</v>
      </c>
      <c r="R156" s="47">
        <f>RANK(Q156,$Q$4:$Q$260,0)</f>
        <v>41</v>
      </c>
      <c r="S156" s="48">
        <f ca="1">(E156+G156+I156+((N156+P156)/2))/4</f>
        <v>2.75</v>
      </c>
      <c r="W156" s="73"/>
      <c r="X156" s="73"/>
      <c r="Y156" s="73"/>
      <c r="Z156" s="73"/>
      <c r="AA156" s="73"/>
      <c r="AB156" s="73"/>
      <c r="AC156" s="73"/>
      <c r="AD156" s="73"/>
      <c r="AE156" s="73"/>
    </row>
    <row r="157" spans="1:39" ht="20.100000000000001" customHeight="1">
      <c r="A157" s="41">
        <v>7</v>
      </c>
      <c r="B157">
        <v>20624</v>
      </c>
      <c r="C157" t="s">
        <v>184</v>
      </c>
      <c r="D157" s="42">
        <v>70</v>
      </c>
      <c r="E157" s="43">
        <f ca="1">IF(D157="","",VLOOKUP(D157,INDIRECT($D$2&amp;6),2,TRUE))</f>
        <v>4</v>
      </c>
      <c r="F157" s="42">
        <v>56</v>
      </c>
      <c r="G157" s="43">
        <f ca="1">IF(F157="","",VLOOKUP(F157,INDIRECT($F$2&amp;6),2,TRUE))</f>
        <v>4</v>
      </c>
      <c r="H157" s="42">
        <v>95</v>
      </c>
      <c r="I157" s="43">
        <f ca="1">IF(H157="","",VLOOKUP(H157,INDIRECT($H$2&amp;6),2,TRUE))</f>
        <v>1</v>
      </c>
      <c r="J157" s="44">
        <f ca="1">(E157+G157+I157)/3</f>
        <v>3</v>
      </c>
      <c r="K157" s="45">
        <v>32</v>
      </c>
      <c r="L157" s="43">
        <f ca="1">IF(K157="","",VLOOKUP(K157,INDIRECT($K$2&amp;6),2,TRUE))</f>
        <v>3</v>
      </c>
      <c r="M157" s="42">
        <v>33.5</v>
      </c>
      <c r="N157" s="43">
        <f ca="1">IF(M157="","",VLOOKUP(M157,INDIRECT($M$2&amp;6),2,TRUE))</f>
        <v>3</v>
      </c>
      <c r="O157" s="42">
        <v>17.5</v>
      </c>
      <c r="P157" s="43">
        <f ca="1">IF(O157="","",VLOOKUP(O157,INDIRECT($O$2&amp;6),2,TRUE))</f>
        <v>5</v>
      </c>
      <c r="Q157" s="46">
        <f>D157+F157+H157+K157+M157+O157</f>
        <v>304</v>
      </c>
      <c r="R157" s="47">
        <f>RANK(Q157,$Q$4:$Q$260,0)</f>
        <v>60</v>
      </c>
      <c r="S157" s="48">
        <f ca="1">(E157+G157+I157+((N157+P157)/2))/4</f>
        <v>3.25</v>
      </c>
      <c r="W157" s="73"/>
      <c r="X157" s="73"/>
      <c r="Y157" s="73"/>
      <c r="Z157" s="73"/>
      <c r="AA157" s="73"/>
      <c r="AB157" s="73"/>
      <c r="AC157" s="73"/>
      <c r="AD157" s="73"/>
      <c r="AE157" s="73"/>
    </row>
    <row r="158" spans="1:39" ht="20.100000000000001" customHeight="1">
      <c r="A158" s="41">
        <v>7</v>
      </c>
      <c r="B158">
        <v>20625</v>
      </c>
      <c r="C158" t="s">
        <v>185</v>
      </c>
      <c r="D158" s="42">
        <v>98</v>
      </c>
      <c r="E158" s="43">
        <f ca="1">IF(D158="","",VLOOKUP(D158,INDIRECT($D$2&amp;6),2,TRUE))</f>
        <v>1</v>
      </c>
      <c r="F158" s="42">
        <v>88</v>
      </c>
      <c r="G158" s="43">
        <f ca="1">IF(F158="","",VLOOKUP(F158,INDIRECT($F$2&amp;6),2,TRUE))</f>
        <v>1</v>
      </c>
      <c r="H158" s="42">
        <v>90</v>
      </c>
      <c r="I158" s="43">
        <f ca="1">IF(H158="","",VLOOKUP(H158,INDIRECT($H$2&amp;6),2,TRUE))</f>
        <v>1</v>
      </c>
      <c r="J158" s="44">
        <f ca="1">(E158+G158+I158)/3</f>
        <v>1</v>
      </c>
      <c r="K158" s="45">
        <v>50</v>
      </c>
      <c r="L158" s="43">
        <f ca="1">IF(K158="","",VLOOKUP(K158,INDIRECT($K$2&amp;6),2,TRUE))</f>
        <v>1</v>
      </c>
      <c r="M158" s="42">
        <v>43.5</v>
      </c>
      <c r="N158" s="43">
        <f ca="1">IF(M158="","",VLOOKUP(M158,INDIRECT($M$2&amp;6),2,TRUE))</f>
        <v>1</v>
      </c>
      <c r="O158" s="42">
        <v>42</v>
      </c>
      <c r="P158" s="43">
        <f ca="1">IF(O158="","",VLOOKUP(O158,INDIRECT($O$2&amp;6),2,TRUE))</f>
        <v>2</v>
      </c>
      <c r="Q158" s="46">
        <f>D158+F158+H158+K158+M158+O158</f>
        <v>411.5</v>
      </c>
      <c r="R158" s="47">
        <f>RANK(Q158,$Q$4:$Q$260,0)</f>
        <v>1</v>
      </c>
      <c r="S158" s="48">
        <f ca="1">(E158+G158+I158+((N158+P158)/2))/4</f>
        <v>1.125</v>
      </c>
      <c r="W158" s="73"/>
      <c r="X158" s="73"/>
      <c r="Y158" s="73"/>
      <c r="Z158" s="73"/>
      <c r="AA158" s="73"/>
      <c r="AB158" s="73"/>
      <c r="AC158" s="73"/>
      <c r="AD158" s="73"/>
      <c r="AE158" s="73"/>
    </row>
    <row r="159" spans="1:39" ht="20.100000000000001" customHeight="1">
      <c r="A159" s="41">
        <v>7</v>
      </c>
      <c r="B159">
        <v>20701</v>
      </c>
      <c r="C159" t="s">
        <v>186</v>
      </c>
      <c r="D159" s="42">
        <v>55</v>
      </c>
      <c r="E159" s="43">
        <f ca="1">IF(D159="","",VLOOKUP(D159,INDIRECT($D$2&amp;6),2,TRUE))</f>
        <v>5</v>
      </c>
      <c r="F159" s="42">
        <v>30</v>
      </c>
      <c r="G159" s="43">
        <f ca="1">IF(F159="","",VLOOKUP(F159,INDIRECT($F$2&amp;6),2,TRUE))</f>
        <v>5</v>
      </c>
      <c r="H159" s="42">
        <v>49</v>
      </c>
      <c r="I159" s="43">
        <f ca="1">IF(H159="","",VLOOKUP(H159,INDIRECT($H$2&amp;6),2,TRUE))</f>
        <v>6</v>
      </c>
      <c r="J159" s="44">
        <f ca="1">(E159+G159+I159)/3</f>
        <v>5.333333333333333</v>
      </c>
      <c r="K159" s="45">
        <v>24</v>
      </c>
      <c r="L159" s="43">
        <f ca="1">IF(K159="","",VLOOKUP(K159,INDIRECT($K$2&amp;6),2,TRUE))</f>
        <v>5</v>
      </c>
      <c r="M159" s="42">
        <v>15</v>
      </c>
      <c r="N159" s="43">
        <f ca="1">IF(M159="","",VLOOKUP(M159,INDIRECT($M$2&amp;6),2,TRUE))</f>
        <v>6</v>
      </c>
      <c r="O159" s="42">
        <v>9</v>
      </c>
      <c r="P159" s="43">
        <f ca="1">IF(O159="","",VLOOKUP(O159,INDIRECT($O$2&amp;6),2,TRUE))</f>
        <v>7</v>
      </c>
      <c r="Q159" s="46">
        <f>D159+F159+H159+K159+M159+O159</f>
        <v>182</v>
      </c>
      <c r="R159" s="47">
        <f>RANK(Q159,$Q$4:$Q$260,0)</f>
        <v>178</v>
      </c>
      <c r="S159" s="48">
        <f ca="1">(E159+G159+I159+((N159+P159)/2))/4</f>
        <v>5.625</v>
      </c>
      <c r="W159" s="73"/>
      <c r="X159" s="73"/>
      <c r="Y159" s="73"/>
      <c r="Z159" s="73"/>
      <c r="AA159" s="73"/>
      <c r="AB159" s="73"/>
      <c r="AC159" s="73"/>
      <c r="AD159" s="73"/>
      <c r="AE159" s="73"/>
    </row>
    <row r="160" spans="1:39" ht="20.100000000000001" customHeight="1">
      <c r="A160" s="41">
        <v>7</v>
      </c>
      <c r="B160">
        <v>20702</v>
      </c>
      <c r="C160" t="s">
        <v>187</v>
      </c>
      <c r="D160" s="42" t="e">
        <v>#N/A</v>
      </c>
      <c r="E160" s="43" t="e">
        <f ca="1">IF(D160="","",VLOOKUP(D160,INDIRECT($D$2&amp;6),2,TRUE))</f>
        <v>#N/A</v>
      </c>
      <c r="F160" s="42" t="e">
        <v>#N/A</v>
      </c>
      <c r="G160" s="43" t="e">
        <f ca="1">IF(F160="","",VLOOKUP(F160,INDIRECT($F$2&amp;6),2,TRUE))</f>
        <v>#N/A</v>
      </c>
      <c r="H160" s="42" t="e">
        <v>#N/A</v>
      </c>
      <c r="I160" s="43" t="e">
        <f ca="1">IF(H160="","",VLOOKUP(H160,INDIRECT($H$2&amp;6),2,TRUE))</f>
        <v>#N/A</v>
      </c>
      <c r="J160" s="44" t="e">
        <f ca="1">(E160+G160+I160)/3</f>
        <v>#N/A</v>
      </c>
      <c r="K160" s="45" t="e">
        <v>#N/A</v>
      </c>
      <c r="L160" s="43" t="e">
        <f ca="1">IF(K160="","",VLOOKUP(K160,INDIRECT($K$2&amp;6),2,TRUE))</f>
        <v>#N/A</v>
      </c>
      <c r="M160" s="42" t="e">
        <v>#N/A</v>
      </c>
      <c r="N160" s="43" t="e">
        <f ca="1">IF(M160="","",VLOOKUP(M160,INDIRECT($M$2&amp;6),2,TRUE))</f>
        <v>#N/A</v>
      </c>
      <c r="O160" s="42" t="e">
        <v>#N/A</v>
      </c>
      <c r="P160" s="43" t="e">
        <f ca="1">IF(O160="","",VLOOKUP(O160,INDIRECT($O$2&amp;6),2,TRUE))</f>
        <v>#N/A</v>
      </c>
      <c r="Q160" s="46"/>
      <c r="R160" s="47" t="e">
        <f>RANK(Q160,$Q$4:$Q$260,0)</f>
        <v>#N/A</v>
      </c>
      <c r="S160" s="48" t="e">
        <f ca="1">(E160+G160+I160+((N160+P160)/2))/4</f>
        <v>#N/A</v>
      </c>
      <c r="W160" s="73"/>
      <c r="X160" s="73"/>
      <c r="Y160" s="73"/>
      <c r="Z160" s="73"/>
      <c r="AA160" s="73"/>
      <c r="AB160" s="73"/>
      <c r="AC160" s="73"/>
      <c r="AD160" s="73"/>
      <c r="AE160" s="73"/>
    </row>
    <row r="161" spans="1:31" ht="20.100000000000001" customHeight="1">
      <c r="A161" s="41">
        <v>7</v>
      </c>
      <c r="B161">
        <v>20703</v>
      </c>
      <c r="C161" t="s">
        <v>188</v>
      </c>
      <c r="D161" s="42">
        <v>40</v>
      </c>
      <c r="E161" s="43">
        <f ca="1">IF(D161="","",VLOOKUP(D161,INDIRECT($D$2&amp;6),2,TRUE))</f>
        <v>6</v>
      </c>
      <c r="F161" s="42">
        <v>32</v>
      </c>
      <c r="G161" s="43">
        <f ca="1">IF(F161="","",VLOOKUP(F161,INDIRECT($F$2&amp;6),2,TRUE))</f>
        <v>5</v>
      </c>
      <c r="H161" s="42">
        <v>23</v>
      </c>
      <c r="I161" s="43">
        <f ca="1">IF(H161="","",VLOOKUP(H161,INDIRECT($H$2&amp;6),2,TRUE))</f>
        <v>8</v>
      </c>
      <c r="J161" s="44">
        <f ca="1">(E161+G161+I161)/3</f>
        <v>6.333333333333333</v>
      </c>
      <c r="K161" s="45">
        <v>19</v>
      </c>
      <c r="L161" s="43">
        <f ca="1">IF(K161="","",VLOOKUP(K161,INDIRECT($K$2&amp;6),2,TRUE))</f>
        <v>6</v>
      </c>
      <c r="M161" s="42">
        <v>23</v>
      </c>
      <c r="N161" s="43">
        <f ca="1">IF(M161="","",VLOOKUP(M161,INDIRECT($M$2&amp;6),2,TRUE))</f>
        <v>5</v>
      </c>
      <c r="O161" s="42">
        <v>13</v>
      </c>
      <c r="P161" s="43">
        <f ca="1">IF(O161="","",VLOOKUP(O161,INDIRECT($O$2&amp;6),2,TRUE))</f>
        <v>6</v>
      </c>
      <c r="Q161" s="46">
        <f>D161+F161+H161+K161+M161+O161</f>
        <v>150</v>
      </c>
      <c r="R161" s="47">
        <f>RANK(Q161,$Q$4:$Q$260,0)</f>
        <v>208</v>
      </c>
      <c r="S161" s="48">
        <f ca="1">(E161+G161+I161+((N161+P161)/2))/4</f>
        <v>6.125</v>
      </c>
      <c r="W161" s="73"/>
      <c r="X161" s="73"/>
      <c r="Y161" s="73"/>
      <c r="Z161" s="73"/>
      <c r="AA161" s="73"/>
      <c r="AB161" s="73"/>
      <c r="AC161" s="73"/>
      <c r="AD161" s="73"/>
      <c r="AE161" s="73"/>
    </row>
    <row r="162" spans="1:31" ht="20.100000000000001" customHeight="1">
      <c r="A162" s="41">
        <v>7</v>
      </c>
      <c r="B162">
        <v>20704</v>
      </c>
      <c r="C162" t="s">
        <v>189</v>
      </c>
      <c r="D162" s="42">
        <v>44</v>
      </c>
      <c r="E162" s="43">
        <f ca="1">IF(D162="","",VLOOKUP(D162,INDIRECT($D$2&amp;6),2,TRUE))</f>
        <v>5</v>
      </c>
      <c r="F162" s="42">
        <v>16</v>
      </c>
      <c r="G162" s="43">
        <f ca="1">IF(F162="","",VLOOKUP(F162,INDIRECT($F$2&amp;6),2,TRUE))</f>
        <v>7</v>
      </c>
      <c r="H162" s="42">
        <v>46</v>
      </c>
      <c r="I162" s="43">
        <f ca="1">IF(H162="","",VLOOKUP(H162,INDIRECT($H$2&amp;6),2,TRUE))</f>
        <v>6</v>
      </c>
      <c r="J162" s="44">
        <f ca="1">(E162+G162+I162)/3</f>
        <v>6</v>
      </c>
      <c r="K162" s="45">
        <v>24</v>
      </c>
      <c r="L162" s="43">
        <f ca="1">IF(K162="","",VLOOKUP(K162,INDIRECT($K$2&amp;6),2,TRUE))</f>
        <v>5</v>
      </c>
      <c r="M162" s="42">
        <v>32.5</v>
      </c>
      <c r="N162" s="43">
        <f ca="1">IF(M162="","",VLOOKUP(M162,INDIRECT($M$2&amp;6),2,TRUE))</f>
        <v>3</v>
      </c>
      <c r="O162" s="42">
        <v>20.5</v>
      </c>
      <c r="P162" s="43">
        <f ca="1">IF(O162="","",VLOOKUP(O162,INDIRECT($O$2&amp;6),2,TRUE))</f>
        <v>5</v>
      </c>
      <c r="Q162" s="46">
        <f>D162+F162+H162+K162+M162+O162</f>
        <v>183</v>
      </c>
      <c r="R162" s="47">
        <f>RANK(Q162,$Q$4:$Q$260,0)</f>
        <v>177</v>
      </c>
      <c r="S162" s="48">
        <f ca="1">(E162+G162+I162+((N162+P162)/2))/4</f>
        <v>5.5</v>
      </c>
      <c r="W162" s="73"/>
      <c r="X162" s="73"/>
      <c r="Y162" s="73"/>
      <c r="Z162" s="73"/>
      <c r="AA162" s="73"/>
      <c r="AB162" s="73"/>
      <c r="AC162" s="73"/>
      <c r="AD162" s="73"/>
      <c r="AE162" s="73"/>
    </row>
    <row r="163" spans="1:31" ht="20.100000000000001" customHeight="1">
      <c r="A163" s="41">
        <v>7</v>
      </c>
      <c r="B163">
        <v>20705</v>
      </c>
      <c r="C163" t="s">
        <v>190</v>
      </c>
      <c r="D163" s="42">
        <v>94</v>
      </c>
      <c r="E163" s="43">
        <f ca="1">IF(D163="","",VLOOKUP(D163,INDIRECT($D$2&amp;6),2,TRUE))</f>
        <v>1</v>
      </c>
      <c r="F163" s="42">
        <v>72</v>
      </c>
      <c r="G163" s="43">
        <f ca="1">IF(F163="","",VLOOKUP(F163,INDIRECT($F$2&amp;6),2,TRUE))</f>
        <v>3</v>
      </c>
      <c r="H163" s="42">
        <v>91</v>
      </c>
      <c r="I163" s="43">
        <f ca="1">IF(H163="","",VLOOKUP(H163,INDIRECT($H$2&amp;6),2,TRUE))</f>
        <v>1</v>
      </c>
      <c r="J163" s="44">
        <f ca="1">(E163+G163+I163)/3</f>
        <v>1.6666666666666667</v>
      </c>
      <c r="K163" s="45">
        <v>41</v>
      </c>
      <c r="L163" s="43">
        <f ca="1">IF(K163="","",VLOOKUP(K163,INDIRECT($K$2&amp;6),2,TRUE))</f>
        <v>1</v>
      </c>
      <c r="M163" s="42">
        <v>41.5</v>
      </c>
      <c r="N163" s="43">
        <f ca="1">IF(M163="","",VLOOKUP(M163,INDIRECT($M$2&amp;6),2,TRUE))</f>
        <v>2</v>
      </c>
      <c r="O163" s="42">
        <v>28</v>
      </c>
      <c r="P163" s="43">
        <f ca="1">IF(O163="","",VLOOKUP(O163,INDIRECT($O$2&amp;6),2,TRUE))</f>
        <v>3</v>
      </c>
      <c r="Q163" s="46">
        <f>D163+F163+H163+K163+M163+O163</f>
        <v>367.5</v>
      </c>
      <c r="R163" s="47">
        <f>RANK(Q163,$Q$4:$Q$260,0)</f>
        <v>13</v>
      </c>
      <c r="S163" s="48">
        <f ca="1">(E163+G163+I163+((N163+P163)/2))/4</f>
        <v>1.875</v>
      </c>
      <c r="W163" s="73"/>
      <c r="X163" s="73"/>
      <c r="Y163" s="73"/>
      <c r="Z163" s="73"/>
      <c r="AA163" s="73"/>
      <c r="AB163" s="73"/>
      <c r="AC163" s="73"/>
      <c r="AD163" s="73"/>
      <c r="AE163" s="73"/>
    </row>
    <row r="164" spans="1:31" ht="20.100000000000001" customHeight="1">
      <c r="A164" s="41">
        <v>7</v>
      </c>
      <c r="B164">
        <v>20706</v>
      </c>
      <c r="C164" t="s">
        <v>191</v>
      </c>
      <c r="D164" s="42">
        <v>59</v>
      </c>
      <c r="E164" s="43">
        <f ca="1">IF(D164="","",VLOOKUP(D164,INDIRECT($D$2&amp;6),2,TRUE))</f>
        <v>4</v>
      </c>
      <c r="F164" s="42">
        <v>58</v>
      </c>
      <c r="G164" s="43">
        <f ca="1">IF(F164="","",VLOOKUP(F164,INDIRECT($F$2&amp;6),2,TRUE))</f>
        <v>4</v>
      </c>
      <c r="H164" s="42">
        <v>78</v>
      </c>
      <c r="I164" s="43">
        <f ca="1">IF(H164="","",VLOOKUP(H164,INDIRECT($H$2&amp;6),2,TRUE))</f>
        <v>3</v>
      </c>
      <c r="J164" s="44">
        <f ca="1">(E164+G164+I164)/3</f>
        <v>3.6666666666666665</v>
      </c>
      <c r="K164" s="45">
        <v>36</v>
      </c>
      <c r="L164" s="43">
        <f ca="1">IF(K164="","",VLOOKUP(K164,INDIRECT($K$2&amp;6),2,TRUE))</f>
        <v>2</v>
      </c>
      <c r="M164" s="42">
        <v>31</v>
      </c>
      <c r="N164" s="43">
        <f ca="1">IF(M164="","",VLOOKUP(M164,INDIRECT($M$2&amp;6),2,TRUE))</f>
        <v>4</v>
      </c>
      <c r="O164" s="42">
        <v>12</v>
      </c>
      <c r="P164" s="43">
        <f ca="1">IF(O164="","",VLOOKUP(O164,INDIRECT($O$2&amp;6),2,TRUE))</f>
        <v>6</v>
      </c>
      <c r="Q164" s="46">
        <f>D164+F164+H164+K164+M164+O164</f>
        <v>274</v>
      </c>
      <c r="R164" s="47">
        <f>RANK(Q164,$Q$4:$Q$260,0)</f>
        <v>82</v>
      </c>
      <c r="S164" s="48">
        <f ca="1">(E164+G164+I164+((N164+P164)/2))/4</f>
        <v>4</v>
      </c>
      <c r="W164" s="73"/>
      <c r="X164" s="73"/>
      <c r="Y164" s="73"/>
      <c r="Z164" s="73"/>
      <c r="AA164" s="73"/>
      <c r="AB164" s="73"/>
      <c r="AC164" s="73"/>
      <c r="AD164" s="73"/>
      <c r="AE164" s="73"/>
    </row>
    <row r="165" spans="1:31" ht="20.100000000000001" customHeight="1">
      <c r="A165" s="41">
        <v>7</v>
      </c>
      <c r="B165">
        <v>20707</v>
      </c>
      <c r="C165" t="s">
        <v>192</v>
      </c>
      <c r="D165" s="42">
        <v>52</v>
      </c>
      <c r="E165" s="43">
        <f ca="1">IF(D165="","",VLOOKUP(D165,INDIRECT($D$2&amp;6),2,TRUE))</f>
        <v>5</v>
      </c>
      <c r="F165" s="42">
        <v>47</v>
      </c>
      <c r="G165" s="43">
        <f ca="1">IF(F165="","",VLOOKUP(F165,INDIRECT($F$2&amp;6),2,TRUE))</f>
        <v>4</v>
      </c>
      <c r="H165" s="42">
        <v>65</v>
      </c>
      <c r="I165" s="43">
        <f ca="1">IF(H165="","",VLOOKUP(H165,INDIRECT($H$2&amp;6),2,TRUE))</f>
        <v>4</v>
      </c>
      <c r="J165" s="44">
        <f ca="1">(E165+G165+I165)/3</f>
        <v>4.333333333333333</v>
      </c>
      <c r="K165" s="45">
        <v>41</v>
      </c>
      <c r="L165" s="43">
        <f ca="1">IF(K165="","",VLOOKUP(K165,INDIRECT($K$2&amp;6),2,TRUE))</f>
        <v>1</v>
      </c>
      <c r="M165" s="42">
        <v>31</v>
      </c>
      <c r="N165" s="43">
        <f ca="1">IF(M165="","",VLOOKUP(M165,INDIRECT($M$2&amp;6),2,TRUE))</f>
        <v>4</v>
      </c>
      <c r="O165" s="42">
        <v>26</v>
      </c>
      <c r="P165" s="43">
        <f ca="1">IF(O165="","",VLOOKUP(O165,INDIRECT($O$2&amp;6),2,TRUE))</f>
        <v>4</v>
      </c>
      <c r="Q165" s="46">
        <f>D165+F165+H165+K165+M165+O165</f>
        <v>262</v>
      </c>
      <c r="R165" s="47">
        <f>RANK(Q165,$Q$4:$Q$260,0)</f>
        <v>93</v>
      </c>
      <c r="S165" s="48">
        <f ca="1">(E165+G165+I165+((N165+P165)/2))/4</f>
        <v>4.25</v>
      </c>
      <c r="W165" s="73"/>
      <c r="X165" s="73"/>
      <c r="Y165" s="73"/>
      <c r="Z165" s="73"/>
      <c r="AA165" s="73"/>
      <c r="AB165" s="73"/>
      <c r="AC165" s="73"/>
      <c r="AD165" s="73"/>
      <c r="AE165" s="73"/>
    </row>
    <row r="166" spans="1:31" s="3" customFormat="1" ht="20.100000000000001" customHeight="1">
      <c r="A166" s="41">
        <v>7</v>
      </c>
      <c r="B166">
        <v>20708</v>
      </c>
      <c r="C166" t="s">
        <v>193</v>
      </c>
      <c r="D166" s="42">
        <v>32</v>
      </c>
      <c r="E166" s="43">
        <f ca="1">IF(D166="","",VLOOKUP(D166,INDIRECT($D$2&amp;6),2,TRUE))</f>
        <v>6</v>
      </c>
      <c r="F166" s="42">
        <v>13</v>
      </c>
      <c r="G166" s="43">
        <f ca="1">IF(F166="","",VLOOKUP(F166,INDIRECT($F$2&amp;6),2,TRUE))</f>
        <v>7</v>
      </c>
      <c r="H166" s="42">
        <v>46</v>
      </c>
      <c r="I166" s="43">
        <f ca="1">IF(H166="","",VLOOKUP(H166,INDIRECT($H$2&amp;6),2,TRUE))</f>
        <v>6</v>
      </c>
      <c r="J166" s="44">
        <f ca="1">(E166+G166+I166)/3</f>
        <v>6.333333333333333</v>
      </c>
      <c r="K166" s="45">
        <v>9</v>
      </c>
      <c r="L166" s="43">
        <f ca="1">IF(K166="","",VLOOKUP(K166,INDIRECT($K$2&amp;6),2,TRUE))</f>
        <v>8</v>
      </c>
      <c r="M166" s="42">
        <v>17</v>
      </c>
      <c r="N166" s="43">
        <f ca="1">IF(M166="","",VLOOKUP(M166,INDIRECT($M$2&amp;6),2,TRUE))</f>
        <v>6</v>
      </c>
      <c r="O166" s="42">
        <v>17.5</v>
      </c>
      <c r="P166" s="43">
        <f ca="1">IF(O166="","",VLOOKUP(O166,INDIRECT($O$2&amp;6),2,TRUE))</f>
        <v>5</v>
      </c>
      <c r="Q166" s="46">
        <f>D166+F166+H166+K166+M166+O166</f>
        <v>134.5</v>
      </c>
      <c r="R166" s="47">
        <f>RANK(Q166,$Q$4:$Q$260,0)</f>
        <v>216</v>
      </c>
      <c r="S166" s="48">
        <f ca="1">(E166+G166+I166+((N166+P166)/2))/4</f>
        <v>6.125</v>
      </c>
      <c r="T166" s="2"/>
    </row>
    <row r="167" spans="1:31" s="3" customFormat="1" ht="20.100000000000001" customHeight="1">
      <c r="A167" s="41">
        <v>7</v>
      </c>
      <c r="B167">
        <v>20709</v>
      </c>
      <c r="C167" t="s">
        <v>194</v>
      </c>
      <c r="D167" s="42">
        <v>52</v>
      </c>
      <c r="E167" s="43">
        <f ca="1">IF(D167="","",VLOOKUP(D167,INDIRECT($D$2&amp;6),2,TRUE))</f>
        <v>5</v>
      </c>
      <c r="F167" s="42">
        <v>59</v>
      </c>
      <c r="G167" s="43">
        <f ca="1">IF(F167="","",VLOOKUP(F167,INDIRECT($F$2&amp;6),2,TRUE))</f>
        <v>4</v>
      </c>
      <c r="H167" s="42">
        <v>47</v>
      </c>
      <c r="I167" s="43">
        <f ca="1">IF(H167="","",VLOOKUP(H167,INDIRECT($H$2&amp;6),2,TRUE))</f>
        <v>6</v>
      </c>
      <c r="J167" s="44">
        <f ca="1">(E167+G167+I167)/3</f>
        <v>5</v>
      </c>
      <c r="K167" s="45">
        <v>16</v>
      </c>
      <c r="L167" s="43">
        <f ca="1">IF(K167="","",VLOOKUP(K167,INDIRECT($K$2&amp;6),2,TRUE))</f>
        <v>6</v>
      </c>
      <c r="M167" s="42">
        <v>23.5</v>
      </c>
      <c r="N167" s="43">
        <f ca="1">IF(M167="","",VLOOKUP(M167,INDIRECT($M$2&amp;6),2,TRUE))</f>
        <v>5</v>
      </c>
      <c r="O167" s="42">
        <v>16</v>
      </c>
      <c r="P167" s="43">
        <f ca="1">IF(O167="","",VLOOKUP(O167,INDIRECT($O$2&amp;6),2,TRUE))</f>
        <v>5</v>
      </c>
      <c r="Q167" s="46">
        <f>D167+F167+H167+K167+M167+O167</f>
        <v>213.5</v>
      </c>
      <c r="R167" s="47">
        <f>RANK(Q167,$Q$4:$Q$260,0)</f>
        <v>144</v>
      </c>
      <c r="S167" s="48">
        <f ca="1">(E167+G167+I167+((N167+P167)/2))/4</f>
        <v>5</v>
      </c>
      <c r="T167" s="2"/>
    </row>
    <row r="168" spans="1:31" s="3" customFormat="1" ht="20.100000000000001" customHeight="1">
      <c r="A168" s="41">
        <v>7</v>
      </c>
      <c r="B168">
        <v>20710</v>
      </c>
      <c r="C168" t="s">
        <v>195</v>
      </c>
      <c r="D168" s="42">
        <v>92</v>
      </c>
      <c r="E168" s="43">
        <f ca="1">IF(D168="","",VLOOKUP(D168,INDIRECT($D$2&amp;6),2,TRUE))</f>
        <v>1</v>
      </c>
      <c r="F168" s="42">
        <v>84</v>
      </c>
      <c r="G168" s="43">
        <f ca="1">IF(F168="","",VLOOKUP(F168,INDIRECT($F$2&amp;6),2,TRUE))</f>
        <v>1</v>
      </c>
      <c r="H168" s="42">
        <v>90</v>
      </c>
      <c r="I168" s="43">
        <f ca="1">IF(H168="","",VLOOKUP(H168,INDIRECT($H$2&amp;6),2,TRUE))</f>
        <v>1</v>
      </c>
      <c r="J168" s="44">
        <f ca="1">(E168+G168+I168)/3</f>
        <v>1</v>
      </c>
      <c r="K168" s="45">
        <v>41</v>
      </c>
      <c r="L168" s="43">
        <f ca="1">IF(K168="","",VLOOKUP(K168,INDIRECT($K$2&amp;6),2,TRUE))</f>
        <v>1</v>
      </c>
      <c r="M168" s="42">
        <v>37</v>
      </c>
      <c r="N168" s="43">
        <f ca="1">IF(M168="","",VLOOKUP(M168,INDIRECT($M$2&amp;6),2,TRUE))</f>
        <v>2</v>
      </c>
      <c r="O168" s="42">
        <v>39.5</v>
      </c>
      <c r="P168" s="43">
        <f ca="1">IF(O168="","",VLOOKUP(O168,INDIRECT($O$2&amp;6),2,TRUE))</f>
        <v>2</v>
      </c>
      <c r="Q168" s="46">
        <f>D168+F168+H168+K168+M168+O168</f>
        <v>383.5</v>
      </c>
      <c r="R168" s="47">
        <f>RANK(Q168,$Q$4:$Q$260,0)</f>
        <v>7</v>
      </c>
      <c r="S168" s="48">
        <f ca="1">(E168+G168+I168+((N168+P168)/2))/4</f>
        <v>1.25</v>
      </c>
      <c r="T168" s="2"/>
    </row>
    <row r="169" spans="1:31" s="3" customFormat="1" ht="20.100000000000001" customHeight="1">
      <c r="A169" s="41">
        <v>7</v>
      </c>
      <c r="B169">
        <v>20711</v>
      </c>
      <c r="C169" t="s">
        <v>196</v>
      </c>
      <c r="D169" s="42">
        <v>70</v>
      </c>
      <c r="E169" s="43">
        <f ca="1">IF(D169="","",VLOOKUP(D169,INDIRECT($D$2&amp;6),2,TRUE))</f>
        <v>4</v>
      </c>
      <c r="F169" s="42">
        <v>47</v>
      </c>
      <c r="G169" s="43">
        <f ca="1">IF(F169="","",VLOOKUP(F169,INDIRECT($F$2&amp;6),2,TRUE))</f>
        <v>4</v>
      </c>
      <c r="H169" s="42">
        <v>66</v>
      </c>
      <c r="I169" s="43">
        <f ca="1">IF(H169="","",VLOOKUP(H169,INDIRECT($H$2&amp;6),2,TRUE))</f>
        <v>4</v>
      </c>
      <c r="J169" s="44">
        <f ca="1">(E169+G169+I169)/3</f>
        <v>4</v>
      </c>
      <c r="K169" s="45">
        <v>41</v>
      </c>
      <c r="L169" s="43">
        <f ca="1">IF(K169="","",VLOOKUP(K169,INDIRECT($K$2&amp;6),2,TRUE))</f>
        <v>1</v>
      </c>
      <c r="M169" s="42">
        <v>31.5</v>
      </c>
      <c r="N169" s="43">
        <f ca="1">IF(M169="","",VLOOKUP(M169,INDIRECT($M$2&amp;6),2,TRUE))</f>
        <v>4</v>
      </c>
      <c r="O169" s="42">
        <v>23.5</v>
      </c>
      <c r="P169" s="43">
        <f ca="1">IF(O169="","",VLOOKUP(O169,INDIRECT($O$2&amp;6),2,TRUE))</f>
        <v>4</v>
      </c>
      <c r="Q169" s="46">
        <f>D169+F169+H169+K169+M169+O169</f>
        <v>279</v>
      </c>
      <c r="R169" s="47">
        <f>RANK(Q169,$Q$4:$Q$260,0)</f>
        <v>78</v>
      </c>
      <c r="S169" s="48">
        <f ca="1">(E169+G169+I169+((N169+P169)/2))/4</f>
        <v>4</v>
      </c>
      <c r="T169" s="2"/>
    </row>
    <row r="170" spans="1:31" s="3" customFormat="1" ht="20.100000000000001" customHeight="1">
      <c r="A170" s="41">
        <v>7</v>
      </c>
      <c r="B170">
        <v>20712</v>
      </c>
      <c r="C170" t="s">
        <v>197</v>
      </c>
      <c r="D170" s="42">
        <v>75</v>
      </c>
      <c r="E170" s="43">
        <f ca="1">IF(D170="","",VLOOKUP(D170,INDIRECT($D$2&amp;6),2,TRUE))</f>
        <v>3</v>
      </c>
      <c r="F170" s="42">
        <v>68</v>
      </c>
      <c r="G170" s="43">
        <f ca="1">IF(F170="","",VLOOKUP(F170,INDIRECT($F$2&amp;6),2,TRUE))</f>
        <v>3</v>
      </c>
      <c r="H170" s="42">
        <v>62</v>
      </c>
      <c r="I170" s="43">
        <f ca="1">IF(H170="","",VLOOKUP(H170,INDIRECT($H$2&amp;6),2,TRUE))</f>
        <v>4</v>
      </c>
      <c r="J170" s="44">
        <f ca="1">(E170+G170+I170)/3</f>
        <v>3.3333333333333335</v>
      </c>
      <c r="K170" s="45">
        <v>41</v>
      </c>
      <c r="L170" s="43">
        <f ca="1">IF(K170="","",VLOOKUP(K170,INDIRECT($K$2&amp;6),2,TRUE))</f>
        <v>1</v>
      </c>
      <c r="M170" s="42">
        <v>12</v>
      </c>
      <c r="N170" s="43">
        <f ca="1">IF(M170="","",VLOOKUP(M170,INDIRECT($M$2&amp;6),2,TRUE))</f>
        <v>6</v>
      </c>
      <c r="O170" s="42">
        <v>7.5</v>
      </c>
      <c r="P170" s="43">
        <f ca="1">IF(O170="","",VLOOKUP(O170,INDIRECT($O$2&amp;6),2,TRUE))</f>
        <v>8</v>
      </c>
      <c r="Q170" s="46">
        <f>D170+F170+H170+K170+M170+O170</f>
        <v>265.5</v>
      </c>
      <c r="R170" s="47">
        <f>RANK(Q170,$Q$4:$Q$260,0)</f>
        <v>92</v>
      </c>
      <c r="S170" s="48">
        <f ca="1">(E170+G170+I170+((N170+P170)/2))/4</f>
        <v>4.25</v>
      </c>
      <c r="T170" s="2"/>
    </row>
    <row r="171" spans="1:31" s="3" customFormat="1" ht="20.100000000000001" customHeight="1">
      <c r="A171" s="41">
        <v>7</v>
      </c>
      <c r="B171">
        <v>20713</v>
      </c>
      <c r="C171" t="s">
        <v>198</v>
      </c>
      <c r="D171" s="42">
        <v>35</v>
      </c>
      <c r="E171" s="43">
        <f ca="1">IF(D171="","",VLOOKUP(D171,INDIRECT($D$2&amp;6),2,TRUE))</f>
        <v>6</v>
      </c>
      <c r="F171" s="42">
        <v>31</v>
      </c>
      <c r="G171" s="43">
        <f ca="1">IF(F171="","",VLOOKUP(F171,INDIRECT($F$2&amp;6),2,TRUE))</f>
        <v>5</v>
      </c>
      <c r="H171" s="42">
        <v>55</v>
      </c>
      <c r="I171" s="43">
        <f ca="1">IF(H171="","",VLOOKUP(H171,INDIRECT($H$2&amp;6),2,TRUE))</f>
        <v>5</v>
      </c>
      <c r="J171" s="44">
        <f ca="1">(E171+G171+I171)/3</f>
        <v>5.333333333333333</v>
      </c>
      <c r="K171" s="45">
        <v>26</v>
      </c>
      <c r="L171" s="43">
        <f ca="1">IF(K171="","",VLOOKUP(K171,INDIRECT($K$2&amp;6),2,TRUE))</f>
        <v>4</v>
      </c>
      <c r="M171" s="42">
        <v>21.5</v>
      </c>
      <c r="N171" s="43">
        <f ca="1">IF(M171="","",VLOOKUP(M171,INDIRECT($M$2&amp;6),2,TRUE))</f>
        <v>5</v>
      </c>
      <c r="O171" s="42">
        <v>10.5</v>
      </c>
      <c r="P171" s="43">
        <f ca="1">IF(O171="","",VLOOKUP(O171,INDIRECT($O$2&amp;6),2,TRUE))</f>
        <v>7</v>
      </c>
      <c r="Q171" s="46">
        <f>D171+F171+H171+K171+M171+O171</f>
        <v>179</v>
      </c>
      <c r="R171" s="47">
        <f>RANK(Q171,$Q$4:$Q$260,0)</f>
        <v>182</v>
      </c>
      <c r="S171" s="48">
        <f ca="1">(E171+G171+I171+((N171+P171)/2))/4</f>
        <v>5.5</v>
      </c>
      <c r="T171" s="2"/>
    </row>
    <row r="172" spans="1:31" s="3" customFormat="1" ht="20.100000000000001" customHeight="1">
      <c r="A172" s="41">
        <v>7</v>
      </c>
      <c r="B172">
        <v>20714</v>
      </c>
      <c r="C172" t="s">
        <v>199</v>
      </c>
      <c r="D172" s="42">
        <v>25</v>
      </c>
      <c r="E172" s="43">
        <f ca="1">IF(D172="","",VLOOKUP(D172,INDIRECT($D$2&amp;6),2,TRUE))</f>
        <v>7</v>
      </c>
      <c r="F172" s="42">
        <v>13</v>
      </c>
      <c r="G172" s="43">
        <f ca="1">IF(F172="","",VLOOKUP(F172,INDIRECT($F$2&amp;6),2,TRUE))</f>
        <v>7</v>
      </c>
      <c r="H172" s="42">
        <v>27</v>
      </c>
      <c r="I172" s="43">
        <f ca="1">IF(H172="","",VLOOKUP(H172,INDIRECT($H$2&amp;6),2,TRUE))</f>
        <v>8</v>
      </c>
      <c r="J172" s="44">
        <f ca="1">(E172+G172+I172)/3</f>
        <v>7.333333333333333</v>
      </c>
      <c r="K172" s="45">
        <v>11</v>
      </c>
      <c r="L172" s="43">
        <f ca="1">IF(K172="","",VLOOKUP(K172,INDIRECT($K$2&amp;6),2,TRUE))</f>
        <v>7</v>
      </c>
      <c r="M172" s="42">
        <v>10</v>
      </c>
      <c r="N172" s="43">
        <f ca="1">IF(M172="","",VLOOKUP(M172,INDIRECT($M$2&amp;6),2,TRUE))</f>
        <v>7</v>
      </c>
      <c r="O172" s="42">
        <v>8.5</v>
      </c>
      <c r="P172" s="43">
        <f ca="1">IF(O172="","",VLOOKUP(O172,INDIRECT($O$2&amp;6),2,TRUE))</f>
        <v>8</v>
      </c>
      <c r="Q172" s="46">
        <f>D172+F172+H172+K172+M172+O172</f>
        <v>94.5</v>
      </c>
      <c r="R172" s="47">
        <f>RANK(Q172,$Q$4:$Q$260,0)</f>
        <v>240</v>
      </c>
      <c r="S172" s="48">
        <f ca="1">(E172+G172+I172+((N172+P172)/2))/4</f>
        <v>7.375</v>
      </c>
      <c r="T172" s="2"/>
    </row>
    <row r="173" spans="1:31" s="3" customFormat="1" ht="20.100000000000001" customHeight="1">
      <c r="A173" s="41">
        <v>7</v>
      </c>
      <c r="B173">
        <v>20715</v>
      </c>
      <c r="C173" t="s">
        <v>200</v>
      </c>
      <c r="D173" s="42">
        <v>77</v>
      </c>
      <c r="E173" s="43">
        <f ca="1">IF(D173="","",VLOOKUP(D173,INDIRECT($D$2&amp;6),2,TRUE))</f>
        <v>3</v>
      </c>
      <c r="F173" s="42">
        <v>53</v>
      </c>
      <c r="G173" s="43">
        <f ca="1">IF(F173="","",VLOOKUP(F173,INDIRECT($F$2&amp;6),2,TRUE))</f>
        <v>4</v>
      </c>
      <c r="H173" s="42">
        <v>97</v>
      </c>
      <c r="I173" s="43">
        <f ca="1">IF(H173="","",VLOOKUP(H173,INDIRECT($H$2&amp;6),2,TRUE))</f>
        <v>1</v>
      </c>
      <c r="J173" s="44">
        <f ca="1">(E173+G173+I173)/3</f>
        <v>2.6666666666666665</v>
      </c>
      <c r="K173" s="45">
        <v>44</v>
      </c>
      <c r="L173" s="43">
        <f ca="1">IF(K173="","",VLOOKUP(K173,INDIRECT($K$2&amp;6),2,TRUE))</f>
        <v>1</v>
      </c>
      <c r="M173" s="42">
        <v>31.5</v>
      </c>
      <c r="N173" s="43">
        <f ca="1">IF(M173="","",VLOOKUP(M173,INDIRECT($M$2&amp;6),2,TRUE))</f>
        <v>4</v>
      </c>
      <c r="O173" s="42">
        <v>36.5</v>
      </c>
      <c r="P173" s="43">
        <f ca="1">IF(O173="","",VLOOKUP(O173,INDIRECT($O$2&amp;6),2,TRUE))</f>
        <v>2</v>
      </c>
      <c r="Q173" s="46">
        <f>D173+F173+H173+K173+M173+O173</f>
        <v>339</v>
      </c>
      <c r="R173" s="47">
        <f>RANK(Q173,$Q$4:$Q$260,0)</f>
        <v>33</v>
      </c>
      <c r="S173" s="48">
        <f ca="1">(E173+G173+I173+((N173+P173)/2))/4</f>
        <v>2.75</v>
      </c>
      <c r="T173" s="2"/>
    </row>
    <row r="174" spans="1:31" s="3" customFormat="1" ht="20.100000000000001" customHeight="1">
      <c r="A174" s="41">
        <v>7</v>
      </c>
      <c r="B174">
        <v>20716</v>
      </c>
      <c r="C174" t="s">
        <v>201</v>
      </c>
      <c r="D174" s="42">
        <v>80</v>
      </c>
      <c r="E174" s="43">
        <f ca="1">IF(D174="","",VLOOKUP(D174,INDIRECT($D$2&amp;6),2,TRUE))</f>
        <v>3</v>
      </c>
      <c r="F174" s="42">
        <v>54</v>
      </c>
      <c r="G174" s="43">
        <f ca="1">IF(F174="","",VLOOKUP(F174,INDIRECT($F$2&amp;6),2,TRUE))</f>
        <v>4</v>
      </c>
      <c r="H174" s="42">
        <v>66</v>
      </c>
      <c r="I174" s="43">
        <f ca="1">IF(H174="","",VLOOKUP(H174,INDIRECT($H$2&amp;6),2,TRUE))</f>
        <v>4</v>
      </c>
      <c r="J174" s="44">
        <f ca="1">(E174+G174+I174)/3</f>
        <v>3.6666666666666665</v>
      </c>
      <c r="K174" s="45">
        <v>39</v>
      </c>
      <c r="L174" s="43">
        <f ca="1">IF(K174="","",VLOOKUP(K174,INDIRECT($K$2&amp;6),2,TRUE))</f>
        <v>2</v>
      </c>
      <c r="M174" s="42">
        <v>36</v>
      </c>
      <c r="N174" s="43">
        <f ca="1">IF(M174="","",VLOOKUP(M174,INDIRECT($M$2&amp;6),2,TRUE))</f>
        <v>3</v>
      </c>
      <c r="O174" s="42">
        <v>18.5</v>
      </c>
      <c r="P174" s="43">
        <f ca="1">IF(O174="","",VLOOKUP(O174,INDIRECT($O$2&amp;6),2,TRUE))</f>
        <v>5</v>
      </c>
      <c r="Q174" s="46">
        <f>D174+F174+H174+K174+M174+O174</f>
        <v>293.5</v>
      </c>
      <c r="R174" s="47">
        <f>RANK(Q174,$Q$4:$Q$260,0)</f>
        <v>65</v>
      </c>
      <c r="S174" s="48">
        <f ca="1">(E174+G174+I174+((N174+P174)/2))/4</f>
        <v>3.75</v>
      </c>
      <c r="T174" s="2"/>
    </row>
    <row r="175" spans="1:31" s="3" customFormat="1" ht="20.100000000000001" customHeight="1">
      <c r="A175" s="41">
        <v>7</v>
      </c>
      <c r="B175">
        <v>20717</v>
      </c>
      <c r="C175" t="s">
        <v>202</v>
      </c>
      <c r="D175" s="42">
        <v>53</v>
      </c>
      <c r="E175" s="43">
        <f ca="1">IF(D175="","",VLOOKUP(D175,INDIRECT($D$2&amp;6),2,TRUE))</f>
        <v>5</v>
      </c>
      <c r="F175" s="42">
        <v>51</v>
      </c>
      <c r="G175" s="43">
        <f ca="1">IF(F175="","",VLOOKUP(F175,INDIRECT($F$2&amp;6),2,TRUE))</f>
        <v>4</v>
      </c>
      <c r="H175" s="42">
        <v>74</v>
      </c>
      <c r="I175" s="43">
        <f ca="1">IF(H175="","",VLOOKUP(H175,INDIRECT($H$2&amp;6),2,TRUE))</f>
        <v>3</v>
      </c>
      <c r="J175" s="44">
        <f ca="1">(E175+G175+I175)/3</f>
        <v>4</v>
      </c>
      <c r="K175" s="45">
        <v>38</v>
      </c>
      <c r="L175" s="43">
        <f ca="1">IF(K175="","",VLOOKUP(K175,INDIRECT($K$2&amp;6),2,TRUE))</f>
        <v>2</v>
      </c>
      <c r="M175" s="42">
        <v>20.5</v>
      </c>
      <c r="N175" s="43">
        <f ca="1">IF(M175="","",VLOOKUP(M175,INDIRECT($M$2&amp;6),2,TRUE))</f>
        <v>5</v>
      </c>
      <c r="O175" s="42">
        <v>15</v>
      </c>
      <c r="P175" s="43">
        <f ca="1">IF(O175="","",VLOOKUP(O175,INDIRECT($O$2&amp;6),2,TRUE))</f>
        <v>6</v>
      </c>
      <c r="Q175" s="46">
        <f>D175+F175+H175+K175+M175+O175</f>
        <v>251.5</v>
      </c>
      <c r="R175" s="47">
        <f>RANK(Q175,$Q$4:$Q$260,0)</f>
        <v>106</v>
      </c>
      <c r="S175" s="48">
        <f ca="1">(E175+G175+I175+((N175+P175)/2))/4</f>
        <v>4.375</v>
      </c>
      <c r="T175" s="2"/>
    </row>
    <row r="176" spans="1:31" ht="20.100000000000001" customHeight="1">
      <c r="A176" s="41">
        <v>7</v>
      </c>
      <c r="B176">
        <v>20718</v>
      </c>
      <c r="C176" t="s">
        <v>203</v>
      </c>
      <c r="D176" s="42">
        <v>71</v>
      </c>
      <c r="E176" s="43">
        <f ca="1">IF(D176="","",VLOOKUP(D176,INDIRECT($D$2&amp;6),2,TRUE))</f>
        <v>3</v>
      </c>
      <c r="F176" s="42">
        <v>59</v>
      </c>
      <c r="G176" s="43">
        <f ca="1">IF(F176="","",VLOOKUP(F176,INDIRECT($F$2&amp;6),2,TRUE))</f>
        <v>4</v>
      </c>
      <c r="H176" s="42">
        <v>62</v>
      </c>
      <c r="I176" s="43">
        <f ca="1">IF(H176="","",VLOOKUP(H176,INDIRECT($H$2&amp;6),2,TRUE))</f>
        <v>4</v>
      </c>
      <c r="J176" s="44">
        <f ca="1">(E176+G176+I176)/3</f>
        <v>3.6666666666666665</v>
      </c>
      <c r="K176" s="45">
        <v>34</v>
      </c>
      <c r="L176" s="43">
        <f ca="1">IF(K176="","",VLOOKUP(K176,INDIRECT($K$2&amp;6),2,TRUE))</f>
        <v>3</v>
      </c>
      <c r="M176" s="42">
        <v>31.5</v>
      </c>
      <c r="N176" s="43">
        <f ca="1">IF(M176="","",VLOOKUP(M176,INDIRECT($M$2&amp;6),2,TRUE))</f>
        <v>4</v>
      </c>
      <c r="O176" s="42">
        <v>23</v>
      </c>
      <c r="P176" s="43">
        <f ca="1">IF(O176="","",VLOOKUP(O176,INDIRECT($O$2&amp;6),2,TRUE))</f>
        <v>4</v>
      </c>
      <c r="Q176" s="46">
        <f>D176+F176+H176+K176+M176+O176</f>
        <v>280.5</v>
      </c>
      <c r="R176" s="47">
        <f>RANK(Q176,$Q$4:$Q$260,0)</f>
        <v>75</v>
      </c>
      <c r="S176" s="48">
        <f ca="1">(E176+G176+I176+((N176+P176)/2))/4</f>
        <v>3.75</v>
      </c>
    </row>
    <row r="177" spans="1:19" ht="20.100000000000001" customHeight="1">
      <c r="A177" s="41">
        <v>7</v>
      </c>
      <c r="B177">
        <v>20719</v>
      </c>
      <c r="C177" t="s">
        <v>204</v>
      </c>
      <c r="D177" s="42">
        <v>53</v>
      </c>
      <c r="E177" s="43">
        <f ca="1">IF(D177="","",VLOOKUP(D177,INDIRECT($D$2&amp;6),2,TRUE))</f>
        <v>5</v>
      </c>
      <c r="F177" s="42">
        <v>53</v>
      </c>
      <c r="G177" s="43">
        <f ca="1">IF(F177="","",VLOOKUP(F177,INDIRECT($F$2&amp;6),2,TRUE))</f>
        <v>4</v>
      </c>
      <c r="H177" s="42">
        <v>72</v>
      </c>
      <c r="I177" s="43">
        <f ca="1">IF(H177="","",VLOOKUP(H177,INDIRECT($H$2&amp;6),2,TRUE))</f>
        <v>3</v>
      </c>
      <c r="J177" s="44">
        <f ca="1">(E177+G177+I177)/3</f>
        <v>4</v>
      </c>
      <c r="K177" s="45">
        <v>27</v>
      </c>
      <c r="L177" s="43">
        <f ca="1">IF(K177="","",VLOOKUP(K177,INDIRECT($K$2&amp;6),2,TRUE))</f>
        <v>4</v>
      </c>
      <c r="M177" s="42">
        <v>36</v>
      </c>
      <c r="N177" s="43">
        <f ca="1">IF(M177="","",VLOOKUP(M177,INDIRECT($M$2&amp;6),2,TRUE))</f>
        <v>3</v>
      </c>
      <c r="O177" s="42">
        <v>33</v>
      </c>
      <c r="P177" s="43">
        <f ca="1">IF(O177="","",VLOOKUP(O177,INDIRECT($O$2&amp;6),2,TRUE))</f>
        <v>3</v>
      </c>
      <c r="Q177" s="46">
        <f>D177+F177+H177+K177+M177+O177</f>
        <v>274</v>
      </c>
      <c r="R177" s="47">
        <f>RANK(Q177,$Q$4:$Q$260,0)</f>
        <v>82</v>
      </c>
      <c r="S177" s="48">
        <f ca="1">(E177+G177+I177+((N177+P177)/2))/4</f>
        <v>3.75</v>
      </c>
    </row>
    <row r="178" spans="1:19" ht="20.100000000000001" customHeight="1">
      <c r="A178" s="41">
        <v>7</v>
      </c>
      <c r="B178">
        <v>20720</v>
      </c>
      <c r="C178" t="s">
        <v>205</v>
      </c>
      <c r="D178" s="42" t="e">
        <v>#N/A</v>
      </c>
      <c r="E178" s="43" t="e">
        <f ca="1">IF(D178="","",VLOOKUP(D178,INDIRECT($D$2&amp;6),2,TRUE))</f>
        <v>#N/A</v>
      </c>
      <c r="F178" s="42" t="e">
        <v>#N/A</v>
      </c>
      <c r="G178" s="43" t="e">
        <f ca="1">IF(F178="","",VLOOKUP(F178,INDIRECT($F$2&amp;6),2,TRUE))</f>
        <v>#N/A</v>
      </c>
      <c r="H178" s="42" t="e">
        <v>#N/A</v>
      </c>
      <c r="I178" s="43" t="e">
        <f ca="1">IF(H178="","",VLOOKUP(H178,INDIRECT($H$2&amp;6),2,TRUE))</f>
        <v>#N/A</v>
      </c>
      <c r="J178" s="44" t="e">
        <f ca="1">(E178+G178+I178)/3</f>
        <v>#N/A</v>
      </c>
      <c r="K178" s="45" t="e">
        <v>#N/A</v>
      </c>
      <c r="L178" s="43" t="e">
        <f ca="1">IF(K178="","",VLOOKUP(K178,INDIRECT($K$2&amp;6),2,TRUE))</f>
        <v>#N/A</v>
      </c>
      <c r="M178" s="42" t="e">
        <v>#N/A</v>
      </c>
      <c r="N178" s="43" t="e">
        <f ca="1">IF(M178="","",VLOOKUP(M178,INDIRECT($M$2&amp;6),2,TRUE))</f>
        <v>#N/A</v>
      </c>
      <c r="O178" s="42" t="e">
        <v>#N/A</v>
      </c>
      <c r="P178" s="43" t="e">
        <f ca="1">IF(O178="","",VLOOKUP(O178,INDIRECT($O$2&amp;6),2,TRUE))</f>
        <v>#N/A</v>
      </c>
      <c r="Q178" s="46"/>
      <c r="R178" s="47" t="e">
        <f>RANK(Q178,$Q$4:$Q$260,0)</f>
        <v>#N/A</v>
      </c>
      <c r="S178" s="48" t="e">
        <f ca="1">(E178+G178+I178+((N178+P178)/2))/4</f>
        <v>#N/A</v>
      </c>
    </row>
    <row r="179" spans="1:19" ht="20.100000000000001" customHeight="1">
      <c r="A179" s="41">
        <v>7</v>
      </c>
      <c r="B179">
        <v>20721</v>
      </c>
      <c r="C179" t="s">
        <v>206</v>
      </c>
      <c r="D179" s="42">
        <v>28</v>
      </c>
      <c r="E179" s="43">
        <f ca="1">IF(D179="","",VLOOKUP(D179,INDIRECT($D$2&amp;6),2,TRUE))</f>
        <v>7</v>
      </c>
      <c r="F179" s="42">
        <v>14</v>
      </c>
      <c r="G179" s="43">
        <f ca="1">IF(F179="","",VLOOKUP(F179,INDIRECT($F$2&amp;6),2,TRUE))</f>
        <v>7</v>
      </c>
      <c r="H179" s="42">
        <v>40</v>
      </c>
      <c r="I179" s="43">
        <f ca="1">IF(H179="","",VLOOKUP(H179,INDIRECT($H$2&amp;6),2,TRUE))</f>
        <v>6</v>
      </c>
      <c r="J179" s="44">
        <f ca="1">(E179+G179+I179)/3</f>
        <v>6.666666666666667</v>
      </c>
      <c r="K179" s="45">
        <v>15</v>
      </c>
      <c r="L179" s="43">
        <f ca="1">IF(K179="","",VLOOKUP(K179,INDIRECT($K$2&amp;6),2,TRUE))</f>
        <v>6</v>
      </c>
      <c r="M179" s="42">
        <v>8</v>
      </c>
      <c r="N179" s="43">
        <f ca="1">IF(M179="","",VLOOKUP(M179,INDIRECT($M$2&amp;6),2,TRUE))</f>
        <v>8</v>
      </c>
      <c r="O179" s="42">
        <v>9.5</v>
      </c>
      <c r="P179" s="43">
        <f ca="1">IF(O179="","",VLOOKUP(O179,INDIRECT($O$2&amp;6),2,TRUE))</f>
        <v>7</v>
      </c>
      <c r="Q179" s="46">
        <f>D179+F179+H179+K179+M179+O179</f>
        <v>114.5</v>
      </c>
      <c r="R179" s="47">
        <f>RANK(Q179,$Q$4:$Q$260,0)</f>
        <v>230</v>
      </c>
      <c r="S179" s="48">
        <f ca="1">(E179+G179+I179+((N179+P179)/2))/4</f>
        <v>6.875</v>
      </c>
    </row>
    <row r="180" spans="1:19" ht="20.100000000000001" customHeight="1">
      <c r="A180" s="41">
        <v>7</v>
      </c>
      <c r="B180">
        <v>20722</v>
      </c>
      <c r="C180" t="s">
        <v>207</v>
      </c>
      <c r="D180" s="42">
        <v>74</v>
      </c>
      <c r="E180" s="43">
        <f ca="1">IF(D180="","",VLOOKUP(D180,INDIRECT($D$2&amp;6),2,TRUE))</f>
        <v>3</v>
      </c>
      <c r="F180" s="42">
        <v>52</v>
      </c>
      <c r="G180" s="43">
        <f ca="1">IF(F180="","",VLOOKUP(F180,INDIRECT($F$2&amp;6),2,TRUE))</f>
        <v>4</v>
      </c>
      <c r="H180" s="42">
        <v>89</v>
      </c>
      <c r="I180" s="43">
        <f ca="1">IF(H180="","",VLOOKUP(H180,INDIRECT($H$2&amp;6),2,TRUE))</f>
        <v>2</v>
      </c>
      <c r="J180" s="44">
        <f ca="1">(E180+G180+I180)/3</f>
        <v>3</v>
      </c>
      <c r="K180" s="45">
        <v>39</v>
      </c>
      <c r="L180" s="43">
        <f ca="1">IF(K180="","",VLOOKUP(K180,INDIRECT($K$2&amp;6),2,TRUE))</f>
        <v>2</v>
      </c>
      <c r="M180" s="42">
        <v>34.5</v>
      </c>
      <c r="N180" s="43">
        <f ca="1">IF(M180="","",VLOOKUP(M180,INDIRECT($M$2&amp;6),2,TRUE))</f>
        <v>3</v>
      </c>
      <c r="O180" s="42">
        <v>38.5</v>
      </c>
      <c r="P180" s="43">
        <f ca="1">IF(O180="","",VLOOKUP(O180,INDIRECT($O$2&amp;6),2,TRUE))</f>
        <v>2</v>
      </c>
      <c r="Q180" s="46">
        <f>D180+F180+H180+K180+M180+O180</f>
        <v>327</v>
      </c>
      <c r="R180" s="47">
        <f>RANK(Q180,$Q$4:$Q$260,0)</f>
        <v>41</v>
      </c>
      <c r="S180" s="48">
        <f ca="1">(E180+G180+I180+((N180+P180)/2))/4</f>
        <v>2.875</v>
      </c>
    </row>
    <row r="181" spans="1:19" ht="20.100000000000001" customHeight="1">
      <c r="A181" s="41">
        <v>7</v>
      </c>
      <c r="B181">
        <v>20723</v>
      </c>
      <c r="C181" t="s">
        <v>208</v>
      </c>
      <c r="D181" s="42">
        <v>32</v>
      </c>
      <c r="E181" s="43">
        <f ca="1">IF(D181="","",VLOOKUP(D181,INDIRECT($D$2&amp;6),2,TRUE))</f>
        <v>6</v>
      </c>
      <c r="F181" s="42">
        <v>45</v>
      </c>
      <c r="G181" s="43">
        <f ca="1">IF(F181="","",VLOOKUP(F181,INDIRECT($F$2&amp;6),2,TRUE))</f>
        <v>4</v>
      </c>
      <c r="H181" s="42">
        <v>67</v>
      </c>
      <c r="I181" s="43">
        <f ca="1">IF(H181="","",VLOOKUP(H181,INDIRECT($H$2&amp;6),2,TRUE))</f>
        <v>4</v>
      </c>
      <c r="J181" s="44">
        <f ca="1">(E181+G181+I181)/3</f>
        <v>4.666666666666667</v>
      </c>
      <c r="K181" s="45">
        <v>27</v>
      </c>
      <c r="L181" s="43">
        <f ca="1">IF(K181="","",VLOOKUP(K181,INDIRECT($K$2&amp;6),2,TRUE))</f>
        <v>4</v>
      </c>
      <c r="M181" s="42">
        <v>24</v>
      </c>
      <c r="N181" s="43">
        <f ca="1">IF(M181="","",VLOOKUP(M181,INDIRECT($M$2&amp;6),2,TRUE))</f>
        <v>5</v>
      </c>
      <c r="O181" s="42">
        <v>23.5</v>
      </c>
      <c r="P181" s="43">
        <f ca="1">IF(O181="","",VLOOKUP(O181,INDIRECT($O$2&amp;6),2,TRUE))</f>
        <v>4</v>
      </c>
      <c r="Q181" s="46">
        <f>D181+F181+H181+K181+M181+O181</f>
        <v>218.5</v>
      </c>
      <c r="R181" s="47">
        <f>RANK(Q181,$Q$4:$Q$260,0)</f>
        <v>137</v>
      </c>
      <c r="S181" s="48">
        <f ca="1">(E181+G181+I181+((N181+P181)/2))/4</f>
        <v>4.625</v>
      </c>
    </row>
    <row r="182" spans="1:19" ht="20.100000000000001" customHeight="1">
      <c r="A182" s="41">
        <v>7</v>
      </c>
      <c r="B182">
        <v>20724</v>
      </c>
      <c r="C182" t="s">
        <v>209</v>
      </c>
      <c r="D182" s="42">
        <v>75</v>
      </c>
      <c r="E182" s="43">
        <f ca="1">IF(D182="","",VLOOKUP(D182,INDIRECT($D$2&amp;6),2,TRUE))</f>
        <v>3</v>
      </c>
      <c r="F182" s="42">
        <v>38</v>
      </c>
      <c r="G182" s="43">
        <f ca="1">IF(F182="","",VLOOKUP(F182,INDIRECT($F$2&amp;6),2,TRUE))</f>
        <v>5</v>
      </c>
      <c r="H182" s="42">
        <v>77</v>
      </c>
      <c r="I182" s="43">
        <f ca="1">IF(H182="","",VLOOKUP(H182,INDIRECT($H$2&amp;6),2,TRUE))</f>
        <v>3</v>
      </c>
      <c r="J182" s="44">
        <f ca="1">(E182+G182+I182)/3</f>
        <v>3.6666666666666665</v>
      </c>
      <c r="K182" s="45">
        <v>31</v>
      </c>
      <c r="L182" s="43">
        <f ca="1">IF(K182="","",VLOOKUP(K182,INDIRECT($K$2&amp;6),2,TRUE))</f>
        <v>3</v>
      </c>
      <c r="M182" s="42">
        <v>30.5</v>
      </c>
      <c r="N182" s="43">
        <f ca="1">IF(M182="","",VLOOKUP(M182,INDIRECT($M$2&amp;6),2,TRUE))</f>
        <v>4</v>
      </c>
      <c r="O182" s="42">
        <v>22.5</v>
      </c>
      <c r="P182" s="43">
        <f ca="1">IF(O182="","",VLOOKUP(O182,INDIRECT($O$2&amp;6),2,TRUE))</f>
        <v>4</v>
      </c>
      <c r="Q182" s="46">
        <f>D182+F182+H182+K182+M182+O182</f>
        <v>274</v>
      </c>
      <c r="R182" s="47">
        <f>RANK(Q182,$Q$4:$Q$260,0)</f>
        <v>82</v>
      </c>
      <c r="S182" s="48">
        <f ca="1">(E182+G182+I182+((N182+P182)/2))/4</f>
        <v>3.75</v>
      </c>
    </row>
    <row r="183" spans="1:19" ht="20.100000000000001" customHeight="1">
      <c r="A183" s="41">
        <v>8</v>
      </c>
      <c r="B183">
        <v>20725</v>
      </c>
      <c r="C183" t="s">
        <v>210</v>
      </c>
      <c r="D183" s="42">
        <v>58</v>
      </c>
      <c r="E183" s="43">
        <f ca="1">IF(D183="","",VLOOKUP(D183,INDIRECT($D$2&amp;6),2,TRUE))</f>
        <v>5</v>
      </c>
      <c r="F183" s="42">
        <v>44</v>
      </c>
      <c r="G183" s="43">
        <f ca="1">IF(F183="","",VLOOKUP(F183,INDIRECT($F$2&amp;6),2,TRUE))</f>
        <v>5</v>
      </c>
      <c r="H183" s="42">
        <v>63</v>
      </c>
      <c r="I183" s="43">
        <f ca="1">IF(H183="","",VLOOKUP(H183,INDIRECT($H$2&amp;6),2,TRUE))</f>
        <v>4</v>
      </c>
      <c r="J183" s="44">
        <f ca="1">(E183+G183+I183)/3</f>
        <v>4.666666666666667</v>
      </c>
      <c r="K183" s="45">
        <v>29</v>
      </c>
      <c r="L183" s="43">
        <f ca="1">IF(K183="","",VLOOKUP(K183,INDIRECT($K$2&amp;6),2,TRUE))</f>
        <v>4</v>
      </c>
      <c r="M183" s="42">
        <v>33</v>
      </c>
      <c r="N183" s="43">
        <f ca="1">IF(M183="","",VLOOKUP(M183,INDIRECT($M$2&amp;6),2,TRUE))</f>
        <v>3</v>
      </c>
      <c r="O183" s="42">
        <v>15</v>
      </c>
      <c r="P183" s="43">
        <f ca="1">IF(O183="","",VLOOKUP(O183,INDIRECT($O$2&amp;6),2,TRUE))</f>
        <v>6</v>
      </c>
      <c r="Q183" s="46">
        <f>D183+F183+H183+K183+M183+O183</f>
        <v>242</v>
      </c>
      <c r="R183" s="47">
        <f>RANK(Q183,$Q$4:$Q$260,0)</f>
        <v>111</v>
      </c>
      <c r="S183" s="48">
        <f ca="1">(E183+G183+I183+((N183+P183)/2))/4</f>
        <v>4.625</v>
      </c>
    </row>
    <row r="184" spans="1:19" ht="20.100000000000001" customHeight="1">
      <c r="A184" s="41">
        <v>8</v>
      </c>
      <c r="B184">
        <v>20801</v>
      </c>
      <c r="C184" t="s">
        <v>211</v>
      </c>
      <c r="D184" s="42">
        <v>87</v>
      </c>
      <c r="E184" s="43">
        <f ca="1">IF(D184="","",VLOOKUP(D184,INDIRECT($D$2&amp;6),2,TRUE))</f>
        <v>2</v>
      </c>
      <c r="F184" s="42">
        <v>57</v>
      </c>
      <c r="G184" s="43">
        <f ca="1">IF(F184="","",VLOOKUP(F184,INDIRECT($F$2&amp;6),2,TRUE))</f>
        <v>4</v>
      </c>
      <c r="H184" s="42">
        <v>97</v>
      </c>
      <c r="I184" s="43">
        <f ca="1">IF(H184="","",VLOOKUP(H184,INDIRECT($H$2&amp;6),2,TRUE))</f>
        <v>1</v>
      </c>
      <c r="J184" s="44">
        <f ca="1">(E184+G184+I184)/3</f>
        <v>2.3333333333333335</v>
      </c>
      <c r="K184" s="45">
        <v>21</v>
      </c>
      <c r="L184" s="43">
        <f ca="1">IF(K184="","",VLOOKUP(K184,INDIRECT($K$2&amp;6),2,TRUE))</f>
        <v>5</v>
      </c>
      <c r="M184" s="42">
        <v>37.5</v>
      </c>
      <c r="N184" s="43">
        <f ca="1">IF(M184="","",VLOOKUP(M184,INDIRECT($M$2&amp;6),2,TRUE))</f>
        <v>2</v>
      </c>
      <c r="O184" s="42">
        <v>35.5</v>
      </c>
      <c r="P184" s="43">
        <f ca="1">IF(O184="","",VLOOKUP(O184,INDIRECT($O$2&amp;6),2,TRUE))</f>
        <v>2</v>
      </c>
      <c r="Q184" s="46">
        <f>D184+F184+H184+K184+M184+O184</f>
        <v>335</v>
      </c>
      <c r="R184" s="47">
        <f>RANK(Q184,$Q$4:$Q$260,0)</f>
        <v>34</v>
      </c>
      <c r="S184" s="48">
        <f ca="1">(E184+G184+I184+((N184+P184)/2))/4</f>
        <v>2.25</v>
      </c>
    </row>
    <row r="185" spans="1:19" ht="20.100000000000001" customHeight="1">
      <c r="A185" s="41">
        <v>8</v>
      </c>
      <c r="B185">
        <v>20802</v>
      </c>
      <c r="C185" t="s">
        <v>212</v>
      </c>
      <c r="D185" s="42">
        <v>91</v>
      </c>
      <c r="E185" s="43">
        <f ca="1">IF(D185="","",VLOOKUP(D185,INDIRECT($D$2&amp;6),2,TRUE))</f>
        <v>1</v>
      </c>
      <c r="F185" s="42">
        <v>72</v>
      </c>
      <c r="G185" s="43">
        <f ca="1">IF(F185="","",VLOOKUP(F185,INDIRECT($F$2&amp;6),2,TRUE))</f>
        <v>3</v>
      </c>
      <c r="H185" s="42">
        <v>85</v>
      </c>
      <c r="I185" s="43">
        <f ca="1">IF(H185="","",VLOOKUP(H185,INDIRECT($H$2&amp;6),2,TRUE))</f>
        <v>2</v>
      </c>
      <c r="J185" s="44">
        <f ca="1">(E185+G185+I185)/3</f>
        <v>2</v>
      </c>
      <c r="K185" s="45">
        <v>44</v>
      </c>
      <c r="L185" s="43">
        <f ca="1">IF(K185="","",VLOOKUP(K185,INDIRECT($K$2&amp;6),2,TRUE))</f>
        <v>1</v>
      </c>
      <c r="M185" s="42">
        <v>45.5</v>
      </c>
      <c r="N185" s="43">
        <f ca="1">IF(M185="","",VLOOKUP(M185,INDIRECT($M$2&amp;6),2,TRUE))</f>
        <v>1</v>
      </c>
      <c r="O185" s="42">
        <v>41</v>
      </c>
      <c r="P185" s="43">
        <f ca="1">IF(O185="","",VLOOKUP(O185,INDIRECT($O$2&amp;6),2,TRUE))</f>
        <v>2</v>
      </c>
      <c r="Q185" s="46">
        <f>D185+F185+H185+K185+M185+O185</f>
        <v>378.5</v>
      </c>
      <c r="R185" s="47">
        <f>RANK(Q185,$Q$4:$Q$260,0)</f>
        <v>8</v>
      </c>
      <c r="S185" s="48">
        <f ca="1">(E185+G185+I185+((N185+P185)/2))/4</f>
        <v>1.875</v>
      </c>
    </row>
    <row r="186" spans="1:19" ht="20.100000000000001" customHeight="1">
      <c r="A186" s="41">
        <v>8</v>
      </c>
      <c r="B186">
        <v>20803</v>
      </c>
      <c r="C186" t="s">
        <v>213</v>
      </c>
      <c r="D186" s="42">
        <v>38</v>
      </c>
      <c r="E186" s="43">
        <f ca="1">IF(D186="","",VLOOKUP(D186,INDIRECT($D$2&amp;6),2,TRUE))</f>
        <v>6</v>
      </c>
      <c r="F186" s="42">
        <v>32</v>
      </c>
      <c r="G186" s="43">
        <f ca="1">IF(F186="","",VLOOKUP(F186,INDIRECT($F$2&amp;6),2,TRUE))</f>
        <v>5</v>
      </c>
      <c r="H186" s="42">
        <v>43</v>
      </c>
      <c r="I186" s="43">
        <f ca="1">IF(H186="","",VLOOKUP(H186,INDIRECT($H$2&amp;6),2,TRUE))</f>
        <v>6</v>
      </c>
      <c r="J186" s="44">
        <f ca="1">(E186+G186+I186)/3</f>
        <v>5.666666666666667</v>
      </c>
      <c r="K186" s="45">
        <v>42</v>
      </c>
      <c r="L186" s="43">
        <f ca="1">IF(K186="","",VLOOKUP(K186,INDIRECT($K$2&amp;6),2,TRUE))</f>
        <v>1</v>
      </c>
      <c r="M186" s="42">
        <v>20</v>
      </c>
      <c r="N186" s="43">
        <f ca="1">IF(M186="","",VLOOKUP(M186,INDIRECT($M$2&amp;6),2,TRUE))</f>
        <v>5</v>
      </c>
      <c r="O186" s="42">
        <v>16</v>
      </c>
      <c r="P186" s="43">
        <f ca="1">IF(O186="","",VLOOKUP(O186,INDIRECT($O$2&amp;6),2,TRUE))</f>
        <v>5</v>
      </c>
      <c r="Q186" s="46">
        <f>D186+F186+H186+K186+M186+O186</f>
        <v>191</v>
      </c>
      <c r="R186" s="47">
        <f>RANK(Q186,$Q$4:$Q$260,0)</f>
        <v>171</v>
      </c>
      <c r="S186" s="48">
        <f ca="1">(E186+G186+I186+((N186+P186)/2))/4</f>
        <v>5.5</v>
      </c>
    </row>
    <row r="187" spans="1:19" ht="20.100000000000001" customHeight="1">
      <c r="A187" s="41">
        <v>8</v>
      </c>
      <c r="B187">
        <v>20804</v>
      </c>
      <c r="C187" t="s">
        <v>214</v>
      </c>
      <c r="D187" s="42">
        <v>23</v>
      </c>
      <c r="E187" s="43">
        <f ca="1">IF(D187="","",VLOOKUP(D187,INDIRECT($D$2&amp;6),2,TRUE))</f>
        <v>7</v>
      </c>
      <c r="F187" s="42">
        <v>43</v>
      </c>
      <c r="G187" s="43">
        <f ca="1">IF(F187="","",VLOOKUP(F187,INDIRECT($F$2&amp;6),2,TRUE))</f>
        <v>5</v>
      </c>
      <c r="H187" s="42">
        <v>78</v>
      </c>
      <c r="I187" s="43">
        <f ca="1">IF(H187="","",VLOOKUP(H187,INDIRECT($H$2&amp;6),2,TRUE))</f>
        <v>3</v>
      </c>
      <c r="J187" s="44">
        <f ca="1">(E187+G187+I187)/3</f>
        <v>5</v>
      </c>
      <c r="K187" s="45">
        <v>29</v>
      </c>
      <c r="L187" s="43">
        <f ca="1">IF(K187="","",VLOOKUP(K187,INDIRECT($K$2&amp;6),2,TRUE))</f>
        <v>4</v>
      </c>
      <c r="M187" s="42">
        <v>24.5</v>
      </c>
      <c r="N187" s="43">
        <f ca="1">IF(M187="","",VLOOKUP(M187,INDIRECT($M$2&amp;6),2,TRUE))</f>
        <v>5</v>
      </c>
      <c r="O187" s="42">
        <v>17.5</v>
      </c>
      <c r="P187" s="43">
        <f ca="1">IF(O187="","",VLOOKUP(O187,INDIRECT($O$2&amp;6),2,TRUE))</f>
        <v>5</v>
      </c>
      <c r="Q187" s="46">
        <f>D187+F187+H187+K187+M187+O187</f>
        <v>215</v>
      </c>
      <c r="R187" s="47">
        <f>RANK(Q187,$Q$4:$Q$260,0)</f>
        <v>142</v>
      </c>
      <c r="S187" s="48">
        <f ca="1">(E187+G187+I187+((N187+P187)/2))/4</f>
        <v>5</v>
      </c>
    </row>
    <row r="188" spans="1:19" ht="20.100000000000001" customHeight="1">
      <c r="A188" s="41">
        <v>8</v>
      </c>
      <c r="B188">
        <v>20805</v>
      </c>
      <c r="C188" t="s">
        <v>215</v>
      </c>
      <c r="D188" s="42">
        <v>56</v>
      </c>
      <c r="E188" s="43">
        <f ca="1">IF(D188="","",VLOOKUP(D188,INDIRECT($D$2&amp;6),2,TRUE))</f>
        <v>5</v>
      </c>
      <c r="F188" s="42">
        <v>35</v>
      </c>
      <c r="G188" s="43">
        <f ca="1">IF(F188="","",VLOOKUP(F188,INDIRECT($F$2&amp;6),2,TRUE))</f>
        <v>5</v>
      </c>
      <c r="H188" s="42">
        <v>61</v>
      </c>
      <c r="I188" s="43">
        <f ca="1">IF(H188="","",VLOOKUP(H188,INDIRECT($H$2&amp;6),2,TRUE))</f>
        <v>4</v>
      </c>
      <c r="J188" s="44">
        <f ca="1">(E188+G188+I188)/3</f>
        <v>4.666666666666667</v>
      </c>
      <c r="K188" s="45">
        <v>18</v>
      </c>
      <c r="L188" s="43">
        <f ca="1">IF(K188="","",VLOOKUP(K188,INDIRECT($K$2&amp;6),2,TRUE))</f>
        <v>6</v>
      </c>
      <c r="M188" s="42">
        <v>29</v>
      </c>
      <c r="N188" s="43">
        <f ca="1">IF(M188="","",VLOOKUP(M188,INDIRECT($M$2&amp;6),2,TRUE))</f>
        <v>4</v>
      </c>
      <c r="O188" s="42">
        <v>12.5</v>
      </c>
      <c r="P188" s="43">
        <f ca="1">IF(O188="","",VLOOKUP(O188,INDIRECT($O$2&amp;6),2,TRUE))</f>
        <v>6</v>
      </c>
      <c r="Q188" s="46">
        <f>D188+F188+H188+K188+M188+O188</f>
        <v>211.5</v>
      </c>
      <c r="R188" s="47">
        <f>RANK(Q188,$Q$4:$Q$260,0)</f>
        <v>145</v>
      </c>
      <c r="S188" s="48">
        <f ca="1">(E188+G188+I188+((N188+P188)/2))/4</f>
        <v>4.75</v>
      </c>
    </row>
    <row r="189" spans="1:19" ht="20.100000000000001" customHeight="1">
      <c r="A189" s="41">
        <v>8</v>
      </c>
      <c r="B189">
        <v>20806</v>
      </c>
      <c r="C189" t="s">
        <v>216</v>
      </c>
      <c r="D189" s="42">
        <v>46</v>
      </c>
      <c r="E189" s="43">
        <f ca="1">IF(D189="","",VLOOKUP(D189,INDIRECT($D$2&amp;6),2,TRUE))</f>
        <v>5</v>
      </c>
      <c r="F189" s="42">
        <v>25</v>
      </c>
      <c r="G189" s="43">
        <f ca="1">IF(F189="","",VLOOKUP(F189,INDIRECT($F$2&amp;6),2,TRUE))</f>
        <v>6</v>
      </c>
      <c r="H189" s="42">
        <v>68</v>
      </c>
      <c r="I189" s="43">
        <f ca="1">IF(H189="","",VLOOKUP(H189,INDIRECT($H$2&amp;6),2,TRUE))</f>
        <v>4</v>
      </c>
      <c r="J189" s="44">
        <f ca="1">(E189+G189+I189)/3</f>
        <v>5</v>
      </c>
      <c r="K189" s="45">
        <v>8</v>
      </c>
      <c r="L189" s="43">
        <f ca="1">IF(K189="","",VLOOKUP(K189,INDIRECT($K$2&amp;6),2,TRUE))</f>
        <v>8</v>
      </c>
      <c r="M189" s="42">
        <v>8</v>
      </c>
      <c r="N189" s="43">
        <f ca="1">IF(M189="","",VLOOKUP(M189,INDIRECT($M$2&amp;6),2,TRUE))</f>
        <v>8</v>
      </c>
      <c r="O189" s="42">
        <v>12.5</v>
      </c>
      <c r="P189" s="43">
        <f ca="1">IF(O189="","",VLOOKUP(O189,INDIRECT($O$2&amp;6),2,TRUE))</f>
        <v>6</v>
      </c>
      <c r="Q189" s="46">
        <f>D189+F189+H189+K189+M189+O189</f>
        <v>167.5</v>
      </c>
      <c r="R189" s="47">
        <f>RANK(Q189,$Q$4:$Q$260,0)</f>
        <v>192</v>
      </c>
      <c r="S189" s="48">
        <f ca="1">(E189+G189+I189+((N189+P189)/2))/4</f>
        <v>5.5</v>
      </c>
    </row>
    <row r="190" spans="1:19" ht="20.100000000000001" customHeight="1">
      <c r="A190" s="41">
        <v>8</v>
      </c>
      <c r="B190">
        <v>20807</v>
      </c>
      <c r="C190" t="s">
        <v>217</v>
      </c>
      <c r="D190" s="42">
        <v>50</v>
      </c>
      <c r="E190" s="43">
        <f ca="1">IF(D190="","",VLOOKUP(D190,INDIRECT($D$2&amp;6),2,TRUE))</f>
        <v>5</v>
      </c>
      <c r="F190" s="42">
        <v>35</v>
      </c>
      <c r="G190" s="43">
        <f ca="1">IF(F190="","",VLOOKUP(F190,INDIRECT($F$2&amp;6),2,TRUE))</f>
        <v>5</v>
      </c>
      <c r="H190" s="42">
        <v>66</v>
      </c>
      <c r="I190" s="43">
        <f ca="1">IF(H190="","",VLOOKUP(H190,INDIRECT($H$2&amp;6),2,TRUE))</f>
        <v>4</v>
      </c>
      <c r="J190" s="44">
        <f ca="1">(E190+G190+I190)/3</f>
        <v>4.666666666666667</v>
      </c>
      <c r="K190" s="45">
        <v>31</v>
      </c>
      <c r="L190" s="43">
        <f ca="1">IF(K190="","",VLOOKUP(K190,INDIRECT($K$2&amp;6),2,TRUE))</f>
        <v>3</v>
      </c>
      <c r="M190" s="42">
        <v>20.5</v>
      </c>
      <c r="N190" s="43">
        <f ca="1">IF(M190="","",VLOOKUP(M190,INDIRECT($M$2&amp;6),2,TRUE))</f>
        <v>5</v>
      </c>
      <c r="O190" s="42">
        <v>17.5</v>
      </c>
      <c r="P190" s="43">
        <f ca="1">IF(O190="","",VLOOKUP(O190,INDIRECT($O$2&amp;6),2,TRUE))</f>
        <v>5</v>
      </c>
      <c r="Q190" s="46">
        <f>D190+F190+H190+K190+M190+O190</f>
        <v>220</v>
      </c>
      <c r="R190" s="47">
        <f>RANK(Q190,$Q$4:$Q$260,0)</f>
        <v>136</v>
      </c>
      <c r="S190" s="48">
        <f ca="1">(E190+G190+I190+((N190+P190)/2))/4</f>
        <v>4.75</v>
      </c>
    </row>
    <row r="191" spans="1:19" ht="20.100000000000001" customHeight="1">
      <c r="A191" s="41">
        <v>8</v>
      </c>
      <c r="B191">
        <v>20808</v>
      </c>
      <c r="C191" t="s">
        <v>218</v>
      </c>
      <c r="D191" s="42">
        <v>80</v>
      </c>
      <c r="E191" s="43">
        <f ca="1">IF(D191="","",VLOOKUP(D191,INDIRECT($D$2&amp;6),2,TRUE))</f>
        <v>3</v>
      </c>
      <c r="F191" s="42">
        <v>43</v>
      </c>
      <c r="G191" s="43">
        <f ca="1">IF(F191="","",VLOOKUP(F191,INDIRECT($F$2&amp;6),2,TRUE))</f>
        <v>5</v>
      </c>
      <c r="H191" s="42">
        <v>77</v>
      </c>
      <c r="I191" s="43">
        <f ca="1">IF(H191="","",VLOOKUP(H191,INDIRECT($H$2&amp;6),2,TRUE))</f>
        <v>3</v>
      </c>
      <c r="J191" s="44">
        <f ca="1">(E191+G191+I191)/3</f>
        <v>3.6666666666666665</v>
      </c>
      <c r="K191" s="45">
        <v>34</v>
      </c>
      <c r="L191" s="43">
        <f ca="1">IF(K191="","",VLOOKUP(K191,INDIRECT($K$2&amp;6),2,TRUE))</f>
        <v>3</v>
      </c>
      <c r="M191" s="42">
        <v>36</v>
      </c>
      <c r="N191" s="43">
        <f ca="1">IF(M191="","",VLOOKUP(M191,INDIRECT($M$2&amp;6),2,TRUE))</f>
        <v>3</v>
      </c>
      <c r="O191" s="42">
        <v>23</v>
      </c>
      <c r="P191" s="43">
        <f ca="1">IF(O191="","",VLOOKUP(O191,INDIRECT($O$2&amp;6),2,TRUE))</f>
        <v>4</v>
      </c>
      <c r="Q191" s="46">
        <f>D191+F191+H191+K191+M191+O191</f>
        <v>293</v>
      </c>
      <c r="R191" s="47">
        <f>RANK(Q191,$Q$4:$Q$260,0)</f>
        <v>66</v>
      </c>
      <c r="S191" s="48">
        <f ca="1">(E191+G191+I191+((N191+P191)/2))/4</f>
        <v>3.625</v>
      </c>
    </row>
    <row r="192" spans="1:19" ht="20.100000000000001" customHeight="1">
      <c r="A192" s="41">
        <v>8</v>
      </c>
      <c r="B192">
        <v>20809</v>
      </c>
      <c r="C192" t="s">
        <v>219</v>
      </c>
      <c r="D192" s="42">
        <v>29</v>
      </c>
      <c r="E192" s="43">
        <f ca="1">IF(D192="","",VLOOKUP(D192,INDIRECT($D$2&amp;6),2,TRUE))</f>
        <v>7</v>
      </c>
      <c r="F192" s="42">
        <v>7</v>
      </c>
      <c r="G192" s="43">
        <f ca="1">IF(F192="","",VLOOKUP(F192,INDIRECT($F$2&amp;6),2,TRUE))</f>
        <v>9</v>
      </c>
      <c r="H192" s="42">
        <v>52</v>
      </c>
      <c r="I192" s="43">
        <f ca="1">IF(H192="","",VLOOKUP(H192,INDIRECT($H$2&amp;6),2,TRUE))</f>
        <v>5</v>
      </c>
      <c r="J192" s="44">
        <f ca="1">(E192+G192+I192)/3</f>
        <v>7</v>
      </c>
      <c r="K192" s="45">
        <v>16</v>
      </c>
      <c r="L192" s="43">
        <f ca="1">IF(K192="","",VLOOKUP(K192,INDIRECT($K$2&amp;6),2,TRUE))</f>
        <v>6</v>
      </c>
      <c r="M192" s="42">
        <v>14</v>
      </c>
      <c r="N192" s="43">
        <f ca="1">IF(M192="","",VLOOKUP(M192,INDIRECT($M$2&amp;6),2,TRUE))</f>
        <v>6</v>
      </c>
      <c r="O192" s="42">
        <v>11.5</v>
      </c>
      <c r="P192" s="43">
        <f ca="1">IF(O192="","",VLOOKUP(O192,INDIRECT($O$2&amp;6),2,TRUE))</f>
        <v>7</v>
      </c>
      <c r="Q192" s="46">
        <f>D192+F192+H192+K192+M192+O192</f>
        <v>129.5</v>
      </c>
      <c r="R192" s="47">
        <f>RANK(Q192,$Q$4:$Q$260,0)</f>
        <v>218</v>
      </c>
      <c r="S192" s="48">
        <f ca="1">(E192+G192+I192+((N192+P192)/2))/4</f>
        <v>6.875</v>
      </c>
    </row>
    <row r="193" spans="1:19" ht="20.100000000000001" customHeight="1">
      <c r="A193" s="41">
        <v>8</v>
      </c>
      <c r="B193">
        <v>20810</v>
      </c>
      <c r="C193" t="s">
        <v>220</v>
      </c>
      <c r="D193" s="42">
        <v>55</v>
      </c>
      <c r="E193" s="43">
        <f ca="1">IF(D193="","",VLOOKUP(D193,INDIRECT($D$2&amp;6),2,TRUE))</f>
        <v>5</v>
      </c>
      <c r="F193" s="42">
        <v>37</v>
      </c>
      <c r="G193" s="43">
        <f ca="1">IF(F193="","",VLOOKUP(F193,INDIRECT($F$2&amp;6),2,TRUE))</f>
        <v>5</v>
      </c>
      <c r="H193" s="42">
        <v>53</v>
      </c>
      <c r="I193" s="43">
        <f ca="1">IF(H193="","",VLOOKUP(H193,INDIRECT($H$2&amp;6),2,TRUE))</f>
        <v>5</v>
      </c>
      <c r="J193" s="44">
        <f ca="1">(E193+G193+I193)/3</f>
        <v>5</v>
      </c>
      <c r="K193" s="45">
        <v>39</v>
      </c>
      <c r="L193" s="43">
        <f ca="1">IF(K193="","",VLOOKUP(K193,INDIRECT($K$2&amp;6),2,TRUE))</f>
        <v>2</v>
      </c>
      <c r="M193" s="42">
        <v>28.5</v>
      </c>
      <c r="N193" s="43">
        <f ca="1">IF(M193="","",VLOOKUP(M193,INDIRECT($M$2&amp;6),2,TRUE))</f>
        <v>4</v>
      </c>
      <c r="O193" s="42">
        <v>8.5</v>
      </c>
      <c r="P193" s="43">
        <f ca="1">IF(O193="","",VLOOKUP(O193,INDIRECT($O$2&amp;6),2,TRUE))</f>
        <v>8</v>
      </c>
      <c r="Q193" s="46">
        <f>D193+F193+H193+K193+M193+O193</f>
        <v>221</v>
      </c>
      <c r="R193" s="47">
        <f>RANK(Q193,$Q$4:$Q$260,0)</f>
        <v>134</v>
      </c>
      <c r="S193" s="48">
        <f ca="1">(E193+G193+I193+((N193+P193)/2))/4</f>
        <v>5.25</v>
      </c>
    </row>
    <row r="194" spans="1:19" ht="20.100000000000001" customHeight="1">
      <c r="A194" s="41">
        <v>8</v>
      </c>
      <c r="B194">
        <v>20811</v>
      </c>
      <c r="C194" t="s">
        <v>221</v>
      </c>
      <c r="D194" s="42">
        <v>72</v>
      </c>
      <c r="E194" s="43">
        <f ca="1">IF(D194="","",VLOOKUP(D194,INDIRECT($D$2&amp;6),2,TRUE))</f>
        <v>3</v>
      </c>
      <c r="F194" s="42">
        <v>45</v>
      </c>
      <c r="G194" s="43">
        <f ca="1">IF(F194="","",VLOOKUP(F194,INDIRECT($F$2&amp;6),2,TRUE))</f>
        <v>4</v>
      </c>
      <c r="H194" s="42">
        <v>78</v>
      </c>
      <c r="I194" s="43">
        <f ca="1">IF(H194="","",VLOOKUP(H194,INDIRECT($H$2&amp;6),2,TRUE))</f>
        <v>3</v>
      </c>
      <c r="J194" s="44">
        <f ca="1">(E194+G194+I194)/3</f>
        <v>3.3333333333333335</v>
      </c>
      <c r="K194" s="45">
        <v>31</v>
      </c>
      <c r="L194" s="43">
        <f ca="1">IF(K194="","",VLOOKUP(K194,INDIRECT($K$2&amp;6),2,TRUE))</f>
        <v>3</v>
      </c>
      <c r="M194" s="42">
        <v>32</v>
      </c>
      <c r="N194" s="43">
        <f ca="1">IF(M194="","",VLOOKUP(M194,INDIRECT($M$2&amp;6),2,TRUE))</f>
        <v>4</v>
      </c>
      <c r="O194" s="42">
        <v>16.5</v>
      </c>
      <c r="P194" s="43">
        <f ca="1">IF(O194="","",VLOOKUP(O194,INDIRECT($O$2&amp;6),2,TRUE))</f>
        <v>5</v>
      </c>
      <c r="Q194" s="46">
        <f>D194+F194+H194+K194+M194+O194</f>
        <v>274.5</v>
      </c>
      <c r="R194" s="47">
        <f>RANK(Q194,$Q$4:$Q$260,0)</f>
        <v>80</v>
      </c>
      <c r="S194" s="48">
        <f ca="1">(E194+G194+I194+((N194+P194)/2))/4</f>
        <v>3.625</v>
      </c>
    </row>
    <row r="195" spans="1:19" ht="20.100000000000001" customHeight="1">
      <c r="A195" s="41">
        <v>8</v>
      </c>
      <c r="B195">
        <v>20812</v>
      </c>
      <c r="C195" t="s">
        <v>222</v>
      </c>
      <c r="D195" s="42">
        <v>71</v>
      </c>
      <c r="E195" s="43">
        <f ca="1">IF(D195="","",VLOOKUP(D195,INDIRECT($D$2&amp;6),2,TRUE))</f>
        <v>3</v>
      </c>
      <c r="F195" s="42">
        <v>68</v>
      </c>
      <c r="G195" s="43">
        <f ca="1">IF(F195="","",VLOOKUP(F195,INDIRECT($F$2&amp;6),2,TRUE))</f>
        <v>3</v>
      </c>
      <c r="H195" s="42">
        <v>85</v>
      </c>
      <c r="I195" s="43">
        <f ca="1">IF(H195="","",VLOOKUP(H195,INDIRECT($H$2&amp;6),2,TRUE))</f>
        <v>2</v>
      </c>
      <c r="J195" s="44">
        <f ca="1">(E195+G195+I195)/3</f>
        <v>2.6666666666666665</v>
      </c>
      <c r="K195" s="45">
        <v>25</v>
      </c>
      <c r="L195" s="43">
        <f ca="1">IF(K195="","",VLOOKUP(K195,INDIRECT($K$2&amp;6),2,TRUE))</f>
        <v>4</v>
      </c>
      <c r="M195" s="42">
        <v>37.5</v>
      </c>
      <c r="N195" s="43">
        <f ca="1">IF(M195="","",VLOOKUP(M195,INDIRECT($M$2&amp;6),2,TRUE))</f>
        <v>2</v>
      </c>
      <c r="O195" s="42">
        <v>17.5</v>
      </c>
      <c r="P195" s="43">
        <f ca="1">IF(O195="","",VLOOKUP(O195,INDIRECT($O$2&amp;6),2,TRUE))</f>
        <v>5</v>
      </c>
      <c r="Q195" s="46">
        <f>D195+F195+H195+K195+M195+O195</f>
        <v>304</v>
      </c>
      <c r="R195" s="47">
        <f>RANK(Q195,$Q$4:$Q$260,0)</f>
        <v>60</v>
      </c>
      <c r="S195" s="48">
        <f ca="1">(E195+G195+I195+((N195+P195)/2))/4</f>
        <v>2.875</v>
      </c>
    </row>
    <row r="196" spans="1:19" ht="20.100000000000001" customHeight="1">
      <c r="A196" s="41">
        <v>8</v>
      </c>
      <c r="B196">
        <v>20813</v>
      </c>
      <c r="C196" t="s">
        <v>223</v>
      </c>
      <c r="D196" s="42">
        <v>59</v>
      </c>
      <c r="E196" s="43">
        <f ca="1">IF(D196="","",VLOOKUP(D196,INDIRECT($D$2&amp;6),2,TRUE))</f>
        <v>4</v>
      </c>
      <c r="F196" s="42">
        <v>50</v>
      </c>
      <c r="G196" s="43">
        <f ca="1">IF(F196="","",VLOOKUP(F196,INDIRECT($F$2&amp;6),2,TRUE))</f>
        <v>4</v>
      </c>
      <c r="H196" s="42">
        <v>61</v>
      </c>
      <c r="I196" s="43">
        <f ca="1">IF(H196="","",VLOOKUP(H196,INDIRECT($H$2&amp;6),2,TRUE))</f>
        <v>4</v>
      </c>
      <c r="J196" s="44">
        <f ca="1">(E196+G196+I196)/3</f>
        <v>4</v>
      </c>
      <c r="K196" s="45">
        <v>24</v>
      </c>
      <c r="L196" s="43">
        <f ca="1">IF(K196="","",VLOOKUP(K196,INDIRECT($K$2&amp;6),2,TRUE))</f>
        <v>5</v>
      </c>
      <c r="M196" s="42">
        <v>25.5</v>
      </c>
      <c r="N196" s="43">
        <f ca="1">IF(M196="","",VLOOKUP(M196,INDIRECT($M$2&amp;6),2,TRUE))</f>
        <v>5</v>
      </c>
      <c r="O196" s="42">
        <v>14</v>
      </c>
      <c r="P196" s="43">
        <f ca="1">IF(O196="","",VLOOKUP(O196,INDIRECT($O$2&amp;6),2,TRUE))</f>
        <v>6</v>
      </c>
      <c r="Q196" s="46">
        <f>D196+F196+H196+K196+M196+O196</f>
        <v>233.5</v>
      </c>
      <c r="R196" s="47">
        <f>RANK(Q196,$Q$4:$Q$260,0)</f>
        <v>120</v>
      </c>
      <c r="S196" s="48">
        <f ca="1">(E196+G196+I196+((N196+P196)/2))/4</f>
        <v>4.375</v>
      </c>
    </row>
    <row r="197" spans="1:19" ht="20.100000000000001" customHeight="1">
      <c r="A197" s="41">
        <v>8</v>
      </c>
      <c r="B197">
        <v>20814</v>
      </c>
      <c r="C197" t="s">
        <v>224</v>
      </c>
      <c r="D197" s="42">
        <v>41</v>
      </c>
      <c r="E197" s="43">
        <f ca="1">IF(D197="","",VLOOKUP(D197,INDIRECT($D$2&amp;6),2,TRUE))</f>
        <v>6</v>
      </c>
      <c r="F197" s="42">
        <v>29</v>
      </c>
      <c r="G197" s="43">
        <f ca="1">IF(F197="","",VLOOKUP(F197,INDIRECT($F$2&amp;6),2,TRUE))</f>
        <v>5</v>
      </c>
      <c r="H197" s="42">
        <v>46</v>
      </c>
      <c r="I197" s="43">
        <f ca="1">IF(H197="","",VLOOKUP(H197,INDIRECT($H$2&amp;6),2,TRUE))</f>
        <v>6</v>
      </c>
      <c r="J197" s="44">
        <f ca="1">(E197+G197+I197)/3</f>
        <v>5.666666666666667</v>
      </c>
      <c r="K197" s="45">
        <v>2</v>
      </c>
      <c r="L197" s="43">
        <f ca="1">IF(K197="","",VLOOKUP(K197,INDIRECT($K$2&amp;6),2,TRUE))</f>
        <v>9</v>
      </c>
      <c r="M197" s="42">
        <v>19</v>
      </c>
      <c r="N197" s="43">
        <f ca="1">IF(M197="","",VLOOKUP(M197,INDIRECT($M$2&amp;6),2,TRUE))</f>
        <v>6</v>
      </c>
      <c r="O197" s="42">
        <v>13.5</v>
      </c>
      <c r="P197" s="43">
        <f ca="1">IF(O197="","",VLOOKUP(O197,INDIRECT($O$2&amp;6),2,TRUE))</f>
        <v>6</v>
      </c>
      <c r="Q197" s="46">
        <f>D197+F197+H197+K197+M197+O197</f>
        <v>150.5</v>
      </c>
      <c r="R197" s="47">
        <f>RANK(Q197,$Q$4:$Q$260,0)</f>
        <v>207</v>
      </c>
      <c r="S197" s="48">
        <f ca="1">(E197+G197+I197+((N197+P197)/2))/4</f>
        <v>5.75</v>
      </c>
    </row>
    <row r="198" spans="1:19" ht="20.100000000000001" customHeight="1">
      <c r="A198" s="41">
        <v>8</v>
      </c>
      <c r="B198">
        <v>20815</v>
      </c>
      <c r="C198" t="s">
        <v>225</v>
      </c>
      <c r="D198" s="42">
        <v>33</v>
      </c>
      <c r="E198" s="43">
        <f ca="1">IF(D198="","",VLOOKUP(D198,INDIRECT($D$2&amp;6),2,TRUE))</f>
        <v>6</v>
      </c>
      <c r="F198" s="42">
        <v>15</v>
      </c>
      <c r="G198" s="43">
        <f ca="1">IF(F198="","",VLOOKUP(F198,INDIRECT($F$2&amp;6),2,TRUE))</f>
        <v>7</v>
      </c>
      <c r="H198" s="42">
        <v>63</v>
      </c>
      <c r="I198" s="43">
        <f ca="1">IF(H198="","",VLOOKUP(H198,INDIRECT($H$2&amp;6),2,TRUE))</f>
        <v>4</v>
      </c>
      <c r="J198" s="44">
        <f ca="1">(E198+G198+I198)/3</f>
        <v>5.666666666666667</v>
      </c>
      <c r="K198" s="45">
        <v>19</v>
      </c>
      <c r="L198" s="43">
        <f ca="1">IF(K198="","",VLOOKUP(K198,INDIRECT($K$2&amp;6),2,TRUE))</f>
        <v>6</v>
      </c>
      <c r="M198" s="42">
        <v>24</v>
      </c>
      <c r="N198" s="43">
        <f ca="1">IF(M198="","",VLOOKUP(M198,INDIRECT($M$2&amp;6),2,TRUE))</f>
        <v>5</v>
      </c>
      <c r="O198" s="42">
        <v>12</v>
      </c>
      <c r="P198" s="43">
        <f ca="1">IF(O198="","",VLOOKUP(O198,INDIRECT($O$2&amp;6),2,TRUE))</f>
        <v>6</v>
      </c>
      <c r="Q198" s="46">
        <f>D198+F198+H198+K198+M198+O198</f>
        <v>166</v>
      </c>
      <c r="R198" s="47">
        <f>RANK(Q198,$Q$4:$Q$260,0)</f>
        <v>194</v>
      </c>
      <c r="S198" s="48">
        <f ca="1">(E198+G198+I198+((N198+P198)/2))/4</f>
        <v>5.625</v>
      </c>
    </row>
    <row r="199" spans="1:19" ht="20.100000000000001" customHeight="1">
      <c r="A199" s="41">
        <v>8</v>
      </c>
      <c r="B199">
        <v>20816</v>
      </c>
      <c r="C199" t="s">
        <v>226</v>
      </c>
      <c r="D199" s="42">
        <v>93</v>
      </c>
      <c r="E199" s="43">
        <f ca="1">IF(D199="","",VLOOKUP(D199,INDIRECT($D$2&amp;6),2,TRUE))</f>
        <v>1</v>
      </c>
      <c r="F199" s="42">
        <v>70</v>
      </c>
      <c r="G199" s="43">
        <f ca="1">IF(F199="","",VLOOKUP(F199,INDIRECT($F$2&amp;6),2,TRUE))</f>
        <v>3</v>
      </c>
      <c r="H199" s="42">
        <v>89</v>
      </c>
      <c r="I199" s="43">
        <f ca="1">IF(H199="","",VLOOKUP(H199,INDIRECT($H$2&amp;6),2,TRUE))</f>
        <v>2</v>
      </c>
      <c r="J199" s="44">
        <f ca="1">(E199+G199+I199)/3</f>
        <v>2</v>
      </c>
      <c r="K199" s="45">
        <v>39</v>
      </c>
      <c r="L199" s="43">
        <f ca="1">IF(K199="","",VLOOKUP(K199,INDIRECT($K$2&amp;6),2,TRUE))</f>
        <v>2</v>
      </c>
      <c r="M199" s="42">
        <v>34.5</v>
      </c>
      <c r="N199" s="43">
        <f ca="1">IF(M199="","",VLOOKUP(M199,INDIRECT($M$2&amp;6),2,TRUE))</f>
        <v>3</v>
      </c>
      <c r="O199" s="42">
        <v>28</v>
      </c>
      <c r="P199" s="43">
        <f ca="1">IF(O199="","",VLOOKUP(O199,INDIRECT($O$2&amp;6),2,TRUE))</f>
        <v>3</v>
      </c>
      <c r="Q199" s="46">
        <f>D199+F199+H199+K199+M199+O199</f>
        <v>353.5</v>
      </c>
      <c r="R199" s="47">
        <f>RANK(Q199,$Q$4:$Q$260,0)</f>
        <v>22</v>
      </c>
      <c r="S199" s="48">
        <f ca="1">(E199+G199+I199+((N199+P199)/2))/4</f>
        <v>2.25</v>
      </c>
    </row>
    <row r="200" spans="1:19" ht="20.100000000000001" customHeight="1">
      <c r="A200" s="41">
        <v>8</v>
      </c>
      <c r="B200">
        <v>20817</v>
      </c>
      <c r="C200" t="s">
        <v>227</v>
      </c>
      <c r="D200" s="42">
        <v>59</v>
      </c>
      <c r="E200" s="43">
        <f ca="1">IF(D200="","",VLOOKUP(D200,INDIRECT($D$2&amp;6),2,TRUE))</f>
        <v>4</v>
      </c>
      <c r="F200" s="42">
        <v>45</v>
      </c>
      <c r="G200" s="43">
        <f ca="1">IF(F200="","",VLOOKUP(F200,INDIRECT($F$2&amp;6),2,TRUE))</f>
        <v>4</v>
      </c>
      <c r="H200" s="42">
        <v>65</v>
      </c>
      <c r="I200" s="43">
        <f ca="1">IF(H200="","",VLOOKUP(H200,INDIRECT($H$2&amp;6),2,TRUE))</f>
        <v>4</v>
      </c>
      <c r="J200" s="44">
        <f ca="1">(E200+G200+I200)/3</f>
        <v>4</v>
      </c>
      <c r="K200" s="45">
        <v>42</v>
      </c>
      <c r="L200" s="43">
        <f ca="1">IF(K200="","",VLOOKUP(K200,INDIRECT($K$2&amp;6),2,TRUE))</f>
        <v>1</v>
      </c>
      <c r="M200" s="42">
        <v>34</v>
      </c>
      <c r="N200" s="43">
        <f ca="1">IF(M200="","",VLOOKUP(M200,INDIRECT($M$2&amp;6),2,TRUE))</f>
        <v>3</v>
      </c>
      <c r="O200" s="42">
        <v>29.5</v>
      </c>
      <c r="P200" s="43">
        <f ca="1">IF(O200="","",VLOOKUP(O200,INDIRECT($O$2&amp;6),2,TRUE))</f>
        <v>3</v>
      </c>
      <c r="Q200" s="46">
        <f>D200+F200+H200+K200+M200+O200</f>
        <v>274.5</v>
      </c>
      <c r="R200" s="47">
        <f>RANK(Q200,$Q$4:$Q$260,0)</f>
        <v>80</v>
      </c>
      <c r="S200" s="48">
        <f ca="1">(E200+G200+I200+((N200+P200)/2))/4</f>
        <v>3.75</v>
      </c>
    </row>
    <row r="201" spans="1:19" ht="20.100000000000001" customHeight="1">
      <c r="A201" s="41">
        <v>8</v>
      </c>
      <c r="B201">
        <v>20818</v>
      </c>
      <c r="C201" t="s">
        <v>228</v>
      </c>
      <c r="D201" s="42">
        <v>48</v>
      </c>
      <c r="E201" s="43">
        <f ca="1">IF(D201="","",VLOOKUP(D201,INDIRECT($D$2&amp;6),2,TRUE))</f>
        <v>5</v>
      </c>
      <c r="F201" s="42">
        <v>25</v>
      </c>
      <c r="G201" s="43">
        <f ca="1">IF(F201="","",VLOOKUP(F201,INDIRECT($F$2&amp;6),2,TRUE))</f>
        <v>6</v>
      </c>
      <c r="H201" s="42">
        <v>42</v>
      </c>
      <c r="I201" s="43">
        <f ca="1">IF(H201="","",VLOOKUP(H201,INDIRECT($H$2&amp;6),2,TRUE))</f>
        <v>6</v>
      </c>
      <c r="J201" s="44">
        <f ca="1">(E201+G201+I201)/3</f>
        <v>5.666666666666667</v>
      </c>
      <c r="K201" s="45">
        <v>20</v>
      </c>
      <c r="L201" s="43">
        <f ca="1">IF(K201="","",VLOOKUP(K201,INDIRECT($K$2&amp;6),2,TRUE))</f>
        <v>5</v>
      </c>
      <c r="M201" s="42">
        <v>21</v>
      </c>
      <c r="N201" s="43">
        <f ca="1">IF(M201="","",VLOOKUP(M201,INDIRECT($M$2&amp;6),2,TRUE))</f>
        <v>5</v>
      </c>
      <c r="O201" s="42">
        <v>26</v>
      </c>
      <c r="P201" s="43">
        <f ca="1">IF(O201="","",VLOOKUP(O201,INDIRECT($O$2&amp;6),2,TRUE))</f>
        <v>4</v>
      </c>
      <c r="Q201" s="46">
        <f>D201+F201+H201+K201+M201+O201</f>
        <v>182</v>
      </c>
      <c r="R201" s="47">
        <f>RANK(Q201,$Q$4:$Q$260,0)</f>
        <v>178</v>
      </c>
      <c r="S201" s="48">
        <f ca="1">(E201+G201+I201+((N201+P201)/2))/4</f>
        <v>5.375</v>
      </c>
    </row>
    <row r="202" spans="1:19" ht="20.100000000000001" customHeight="1">
      <c r="A202" s="41">
        <v>8</v>
      </c>
      <c r="B202">
        <v>20819</v>
      </c>
      <c r="C202" t="s">
        <v>229</v>
      </c>
      <c r="D202" s="42">
        <v>27</v>
      </c>
      <c r="E202" s="43">
        <f ca="1">IF(D202="","",VLOOKUP(D202,INDIRECT($D$2&amp;6),2,TRUE))</f>
        <v>7</v>
      </c>
      <c r="F202" s="42">
        <v>13</v>
      </c>
      <c r="G202" s="43">
        <f ca="1">IF(F202="","",VLOOKUP(F202,INDIRECT($F$2&amp;6),2,TRUE))</f>
        <v>7</v>
      </c>
      <c r="H202" s="42">
        <v>30</v>
      </c>
      <c r="I202" s="43">
        <f ca="1">IF(H202="","",VLOOKUP(H202,INDIRECT($H$2&amp;6),2,TRUE))</f>
        <v>7</v>
      </c>
      <c r="J202" s="44">
        <f ca="1">(E202+G202+I202)/3</f>
        <v>7</v>
      </c>
      <c r="K202" s="45">
        <v>8</v>
      </c>
      <c r="L202" s="43">
        <f ca="1">IF(K202="","",VLOOKUP(K202,INDIRECT($K$2&amp;6),2,TRUE))</f>
        <v>8</v>
      </c>
      <c r="M202" s="42">
        <v>13.5</v>
      </c>
      <c r="N202" s="43">
        <f ca="1">IF(M202="","",VLOOKUP(M202,INDIRECT($M$2&amp;6),2,TRUE))</f>
        <v>6</v>
      </c>
      <c r="O202" s="42">
        <v>6.5</v>
      </c>
      <c r="P202" s="43">
        <f ca="1">IF(O202="","",VLOOKUP(O202,INDIRECT($O$2&amp;6),2,TRUE))</f>
        <v>8</v>
      </c>
      <c r="Q202" s="46">
        <f>D202+F202+H202+K202+M202+O202</f>
        <v>98</v>
      </c>
      <c r="R202" s="47">
        <f>RANK(Q202,$Q$4:$Q$260,0)</f>
        <v>236</v>
      </c>
      <c r="S202" s="48">
        <f ca="1">(E202+G202+I202+((N202+P202)/2))/4</f>
        <v>7</v>
      </c>
    </row>
    <row r="203" spans="1:19" ht="20.100000000000001" customHeight="1">
      <c r="A203" s="41">
        <v>8</v>
      </c>
      <c r="B203">
        <v>20820</v>
      </c>
      <c r="C203" t="s">
        <v>230</v>
      </c>
      <c r="D203" s="42">
        <v>33</v>
      </c>
      <c r="E203" s="43">
        <f ca="1">IF(D203="","",VLOOKUP(D203,INDIRECT($D$2&amp;6),2,TRUE))</f>
        <v>6</v>
      </c>
      <c r="F203" s="42">
        <v>35</v>
      </c>
      <c r="G203" s="43">
        <f ca="1">IF(F203="","",VLOOKUP(F203,INDIRECT($F$2&amp;6),2,TRUE))</f>
        <v>5</v>
      </c>
      <c r="H203" s="42">
        <v>63</v>
      </c>
      <c r="I203" s="43">
        <f ca="1">IF(H203="","",VLOOKUP(H203,INDIRECT($H$2&amp;6),2,TRUE))</f>
        <v>4</v>
      </c>
      <c r="J203" s="44">
        <f ca="1">(E203+G203+I203)/3</f>
        <v>5</v>
      </c>
      <c r="K203" s="45">
        <v>29</v>
      </c>
      <c r="L203" s="43">
        <f ca="1">IF(K203="","",VLOOKUP(K203,INDIRECT($K$2&amp;6),2,TRUE))</f>
        <v>4</v>
      </c>
      <c r="M203" s="42">
        <v>25</v>
      </c>
      <c r="N203" s="43">
        <f ca="1">IF(M203="","",VLOOKUP(M203,INDIRECT($M$2&amp;6),2,TRUE))</f>
        <v>5</v>
      </c>
      <c r="O203" s="42">
        <v>15</v>
      </c>
      <c r="P203" s="43">
        <f ca="1">IF(O203="","",VLOOKUP(O203,INDIRECT($O$2&amp;6),2,TRUE))</f>
        <v>6</v>
      </c>
      <c r="Q203" s="46">
        <f>D203+F203+H203+K203+M203+O203</f>
        <v>200</v>
      </c>
      <c r="R203" s="47">
        <f>RANK(Q203,$Q$4:$Q$260,0)</f>
        <v>158</v>
      </c>
      <c r="S203" s="48">
        <f ca="1">(E203+G203+I203+((N203+P203)/2))/4</f>
        <v>5.125</v>
      </c>
    </row>
    <row r="204" spans="1:19" ht="20.100000000000001" customHeight="1">
      <c r="A204" s="41">
        <v>8</v>
      </c>
      <c r="B204">
        <v>20821</v>
      </c>
      <c r="C204" t="s">
        <v>231</v>
      </c>
      <c r="D204" s="42">
        <v>46</v>
      </c>
      <c r="E204" s="43">
        <f ca="1">IF(D204="","",VLOOKUP(D204,INDIRECT($D$2&amp;6),2,TRUE))</f>
        <v>5</v>
      </c>
      <c r="F204" s="42">
        <v>33</v>
      </c>
      <c r="G204" s="43">
        <f ca="1">IF(F204="","",VLOOKUP(F204,INDIRECT($F$2&amp;6),2,TRUE))</f>
        <v>5</v>
      </c>
      <c r="H204" s="42">
        <v>43</v>
      </c>
      <c r="I204" s="43">
        <f ca="1">IF(H204="","",VLOOKUP(H204,INDIRECT($H$2&amp;6),2,TRUE))</f>
        <v>6</v>
      </c>
      <c r="J204" s="44">
        <f ca="1">(E204+G204+I204)/3</f>
        <v>5.333333333333333</v>
      </c>
      <c r="K204" s="45">
        <v>24</v>
      </c>
      <c r="L204" s="43">
        <f ca="1">IF(K204="","",VLOOKUP(K204,INDIRECT($K$2&amp;6),2,TRUE))</f>
        <v>5</v>
      </c>
      <c r="M204" s="42">
        <v>20.5</v>
      </c>
      <c r="N204" s="43">
        <f ca="1">IF(M204="","",VLOOKUP(M204,INDIRECT($M$2&amp;6),2,TRUE))</f>
        <v>5</v>
      </c>
      <c r="O204" s="42">
        <v>10</v>
      </c>
      <c r="P204" s="43">
        <f ca="1">IF(O204="","",VLOOKUP(O204,INDIRECT($O$2&amp;6),2,TRUE))</f>
        <v>7</v>
      </c>
      <c r="Q204" s="46">
        <f>D204+F204+H204+K204+M204+O204</f>
        <v>176.5</v>
      </c>
      <c r="R204" s="47">
        <f>RANK(Q204,$Q$4:$Q$260,0)</f>
        <v>183</v>
      </c>
      <c r="S204" s="48">
        <f ca="1">(E204+G204+I204+((N204+P204)/2))/4</f>
        <v>5.5</v>
      </c>
    </row>
    <row r="205" spans="1:19" ht="20.100000000000001" customHeight="1">
      <c r="A205" s="41">
        <v>8</v>
      </c>
      <c r="B205">
        <v>20822</v>
      </c>
      <c r="C205" t="s">
        <v>232</v>
      </c>
      <c r="D205" s="42">
        <v>85</v>
      </c>
      <c r="E205" s="43">
        <f ca="1">IF(D205="","",VLOOKUP(D205,INDIRECT($D$2&amp;6),2,TRUE))</f>
        <v>2</v>
      </c>
      <c r="F205" s="42">
        <v>58</v>
      </c>
      <c r="G205" s="43">
        <f ca="1">IF(F205="","",VLOOKUP(F205,INDIRECT($F$2&amp;6),2,TRUE))</f>
        <v>4</v>
      </c>
      <c r="H205" s="42">
        <v>85</v>
      </c>
      <c r="I205" s="43">
        <f ca="1">IF(H205="","",VLOOKUP(H205,INDIRECT($H$2&amp;6),2,TRUE))</f>
        <v>2</v>
      </c>
      <c r="J205" s="44">
        <f ca="1">(E205+G205+I205)/3</f>
        <v>2.6666666666666665</v>
      </c>
      <c r="K205" s="45">
        <v>40</v>
      </c>
      <c r="L205" s="43">
        <f ca="1">IF(K205="","",VLOOKUP(K205,INDIRECT($K$2&amp;6),2,TRUE))</f>
        <v>1</v>
      </c>
      <c r="M205" s="42">
        <v>39</v>
      </c>
      <c r="N205" s="43">
        <f ca="1">IF(M205="","",VLOOKUP(M205,INDIRECT($M$2&amp;6),2,TRUE))</f>
        <v>2</v>
      </c>
      <c r="O205" s="42">
        <v>41.5</v>
      </c>
      <c r="P205" s="43">
        <f ca="1">IF(O205="","",VLOOKUP(O205,INDIRECT($O$2&amp;6),2,TRUE))</f>
        <v>2</v>
      </c>
      <c r="Q205" s="46">
        <f>D205+F205+H205+K205+M205+O205</f>
        <v>348.5</v>
      </c>
      <c r="R205" s="47">
        <f>RANK(Q205,$Q$4:$Q$260,0)</f>
        <v>27</v>
      </c>
      <c r="S205" s="48">
        <f ca="1">(E205+G205+I205+((N205+P205)/2))/4</f>
        <v>2.5</v>
      </c>
    </row>
    <row r="206" spans="1:19" ht="20.100000000000001" customHeight="1">
      <c r="A206" s="41">
        <v>8</v>
      </c>
      <c r="B206">
        <v>20824</v>
      </c>
      <c r="C206" t="s">
        <v>233</v>
      </c>
      <c r="D206" s="42">
        <v>96</v>
      </c>
      <c r="E206" s="43">
        <f ca="1">IF(D206="","",VLOOKUP(D206,INDIRECT($D$2&amp;6),2,TRUE))</f>
        <v>1</v>
      </c>
      <c r="F206" s="42">
        <v>88</v>
      </c>
      <c r="G206" s="43">
        <f ca="1">IF(F206="","",VLOOKUP(F206,INDIRECT($F$2&amp;6),2,TRUE))</f>
        <v>1</v>
      </c>
      <c r="H206" s="42">
        <v>95</v>
      </c>
      <c r="I206" s="43">
        <f ca="1">IF(H206="","",VLOOKUP(H206,INDIRECT($H$2&amp;6),2,TRUE))</f>
        <v>1</v>
      </c>
      <c r="J206" s="44">
        <f ca="1">(E206+G206+I206)/3</f>
        <v>1</v>
      </c>
      <c r="K206" s="45">
        <v>47</v>
      </c>
      <c r="L206" s="43">
        <f ca="1">IF(K206="","",VLOOKUP(K206,INDIRECT($K$2&amp;6),2,TRUE))</f>
        <v>1</v>
      </c>
      <c r="M206" s="42">
        <v>43</v>
      </c>
      <c r="N206" s="43">
        <f ca="1">IF(M206="","",VLOOKUP(M206,INDIRECT($M$2&amp;6),2,TRUE))</f>
        <v>1</v>
      </c>
      <c r="O206" s="42">
        <v>41.5</v>
      </c>
      <c r="P206" s="43">
        <f ca="1">IF(O206="","",VLOOKUP(O206,INDIRECT($O$2&amp;6),2,TRUE))</f>
        <v>2</v>
      </c>
      <c r="Q206" s="46">
        <f>D206+F206+H206+K206+M206+O206</f>
        <v>410.5</v>
      </c>
      <c r="R206" s="47">
        <f>RANK(Q206,$Q$4:$Q$260,0)</f>
        <v>2</v>
      </c>
      <c r="S206" s="48">
        <f ca="1">(E206+G206+I206+((N206+P206)/2))/4</f>
        <v>1.125</v>
      </c>
    </row>
    <row r="207" spans="1:19" ht="20.100000000000001" customHeight="1">
      <c r="A207" s="41">
        <v>8</v>
      </c>
      <c r="B207">
        <v>20825</v>
      </c>
      <c r="C207" t="s">
        <v>234</v>
      </c>
      <c r="D207" s="42">
        <v>43</v>
      </c>
      <c r="E207" s="43">
        <f ca="1">IF(D207="","",VLOOKUP(D207,INDIRECT($D$2&amp;6),2,TRUE))</f>
        <v>6</v>
      </c>
      <c r="F207" s="42">
        <v>42</v>
      </c>
      <c r="G207" s="43">
        <f ca="1">IF(F207="","",VLOOKUP(F207,INDIRECT($F$2&amp;6),2,TRUE))</f>
        <v>5</v>
      </c>
      <c r="H207" s="42">
        <v>48</v>
      </c>
      <c r="I207" s="43">
        <f ca="1">IF(H207="","",VLOOKUP(H207,INDIRECT($H$2&amp;6),2,TRUE))</f>
        <v>6</v>
      </c>
      <c r="J207" s="44">
        <f ca="1">(E207+G207+I207)/3</f>
        <v>5.666666666666667</v>
      </c>
      <c r="K207" s="45">
        <v>11</v>
      </c>
      <c r="L207" s="43">
        <f ca="1">IF(K207="","",VLOOKUP(K207,INDIRECT($K$2&amp;6),2,TRUE))</f>
        <v>7</v>
      </c>
      <c r="M207" s="42">
        <v>24</v>
      </c>
      <c r="N207" s="43">
        <f ca="1">IF(M207="","",VLOOKUP(M207,INDIRECT($M$2&amp;6),2,TRUE))</f>
        <v>5</v>
      </c>
      <c r="O207" s="42">
        <v>23.5</v>
      </c>
      <c r="P207" s="43">
        <f ca="1">IF(O207="","",VLOOKUP(O207,INDIRECT($O$2&amp;6),2,TRUE))</f>
        <v>4</v>
      </c>
      <c r="Q207" s="46">
        <f>D207+F207+H207+K207+M207+O207</f>
        <v>191.5</v>
      </c>
      <c r="R207" s="47">
        <f>RANK(Q207,$Q$4:$Q$260,0)</f>
        <v>170</v>
      </c>
      <c r="S207" s="48">
        <f ca="1">(E207+G207+I207+((N207+P207)/2))/4</f>
        <v>5.375</v>
      </c>
    </row>
    <row r="208" spans="1:19" ht="20.100000000000001" customHeight="1">
      <c r="A208" s="41">
        <v>8</v>
      </c>
      <c r="B208">
        <v>20901</v>
      </c>
      <c r="C208" t="s">
        <v>235</v>
      </c>
      <c r="D208" s="42">
        <v>35</v>
      </c>
      <c r="E208" s="43">
        <f ca="1">IF(D208="","",VLOOKUP(D208,INDIRECT($D$2&amp;6),2,TRUE))</f>
        <v>6</v>
      </c>
      <c r="F208" s="42">
        <v>44</v>
      </c>
      <c r="G208" s="43">
        <f ca="1">IF(F208="","",VLOOKUP(F208,INDIRECT($F$2&amp;6),2,TRUE))</f>
        <v>5</v>
      </c>
      <c r="H208" s="42">
        <v>76</v>
      </c>
      <c r="I208" s="43">
        <f ca="1">IF(H208="","",VLOOKUP(H208,INDIRECT($H$2&amp;6),2,TRUE))</f>
        <v>3</v>
      </c>
      <c r="J208" s="44">
        <f ca="1">(E208+G208+I208)/3</f>
        <v>4.666666666666667</v>
      </c>
      <c r="K208" s="45">
        <v>45</v>
      </c>
      <c r="L208" s="43">
        <f ca="1">IF(K208="","",VLOOKUP(K208,INDIRECT($K$2&amp;6),2,TRUE))</f>
        <v>1</v>
      </c>
      <c r="M208" s="42">
        <v>34.5</v>
      </c>
      <c r="N208" s="43">
        <f ca="1">IF(M208="","",VLOOKUP(M208,INDIRECT($M$2&amp;6),2,TRUE))</f>
        <v>3</v>
      </c>
      <c r="O208" s="42">
        <v>26.5</v>
      </c>
      <c r="P208" s="43">
        <f ca="1">IF(O208="","",VLOOKUP(O208,INDIRECT($O$2&amp;6),2,TRUE))</f>
        <v>4</v>
      </c>
      <c r="Q208" s="46">
        <f>D208+F208+H208+K208+M208+O208</f>
        <v>261</v>
      </c>
      <c r="R208" s="47">
        <f>RANK(Q208,$Q$4:$Q$260,0)</f>
        <v>94</v>
      </c>
      <c r="S208" s="48">
        <f ca="1">(E208+G208+I208+((N208+P208)/2))/4</f>
        <v>4.375</v>
      </c>
    </row>
    <row r="209" spans="1:19" ht="20.100000000000001" customHeight="1">
      <c r="A209" s="41">
        <v>9</v>
      </c>
      <c r="B209">
        <v>20902</v>
      </c>
      <c r="C209" t="s">
        <v>236</v>
      </c>
      <c r="D209" s="42">
        <v>86</v>
      </c>
      <c r="E209" s="43">
        <f ca="1">IF(D209="","",VLOOKUP(D209,INDIRECT($D$2&amp;6),2,TRUE))</f>
        <v>2</v>
      </c>
      <c r="F209" s="42">
        <v>68</v>
      </c>
      <c r="G209" s="43">
        <f ca="1">IF(F209="","",VLOOKUP(F209,INDIRECT($F$2&amp;6),2,TRUE))</f>
        <v>3</v>
      </c>
      <c r="H209" s="42">
        <v>86</v>
      </c>
      <c r="I209" s="43">
        <f ca="1">IF(H209="","",VLOOKUP(H209,INDIRECT($H$2&amp;6),2,TRUE))</f>
        <v>2</v>
      </c>
      <c r="J209" s="44">
        <f ca="1">(E209+G209+I209)/3</f>
        <v>2.3333333333333335</v>
      </c>
      <c r="K209" s="45">
        <v>39</v>
      </c>
      <c r="L209" s="43">
        <f ca="1">IF(K209="","",VLOOKUP(K209,INDIRECT($K$2&amp;6),2,TRUE))</f>
        <v>2</v>
      </c>
      <c r="M209" s="42">
        <v>39.5</v>
      </c>
      <c r="N209" s="43">
        <f ca="1">IF(M209="","",VLOOKUP(M209,INDIRECT($M$2&amp;6),2,TRUE))</f>
        <v>2</v>
      </c>
      <c r="O209" s="42">
        <v>38</v>
      </c>
      <c r="P209" s="43">
        <f ca="1">IF(O209="","",VLOOKUP(O209,INDIRECT($O$2&amp;6),2,TRUE))</f>
        <v>2</v>
      </c>
      <c r="Q209" s="46">
        <f>D209+F209+H209+K209+M209+O209</f>
        <v>356.5</v>
      </c>
      <c r="R209" s="47">
        <f>RANK(Q209,$Q$4:$Q$260,0)</f>
        <v>21</v>
      </c>
      <c r="S209" s="48">
        <f ca="1">(E209+G209+I209+((N209+P209)/2))/4</f>
        <v>2.25</v>
      </c>
    </row>
    <row r="210" spans="1:19" ht="20.100000000000001" customHeight="1">
      <c r="A210" s="41">
        <v>9</v>
      </c>
      <c r="B210">
        <v>20903</v>
      </c>
      <c r="C210" t="s">
        <v>237</v>
      </c>
      <c r="D210" s="42">
        <v>86</v>
      </c>
      <c r="E210" s="43">
        <f ca="1">IF(D210="","",VLOOKUP(D210,INDIRECT($D$2&amp;6),2,TRUE))</f>
        <v>2</v>
      </c>
      <c r="F210" s="42">
        <v>57</v>
      </c>
      <c r="G210" s="43">
        <f ca="1">IF(F210="","",VLOOKUP(F210,INDIRECT($F$2&amp;6),2,TRUE))</f>
        <v>4</v>
      </c>
      <c r="H210" s="42">
        <v>94</v>
      </c>
      <c r="I210" s="43">
        <f ca="1">IF(H210="","",VLOOKUP(H210,INDIRECT($H$2&amp;6),2,TRUE))</f>
        <v>1</v>
      </c>
      <c r="J210" s="44">
        <f ca="1">(E210+G210+I210)/3</f>
        <v>2.3333333333333335</v>
      </c>
      <c r="K210" s="45">
        <v>42</v>
      </c>
      <c r="L210" s="43">
        <f ca="1">IF(K210="","",VLOOKUP(K210,INDIRECT($K$2&amp;6),2,TRUE))</f>
        <v>1</v>
      </c>
      <c r="M210" s="42">
        <v>36.5</v>
      </c>
      <c r="N210" s="43">
        <f ca="1">IF(M210="","",VLOOKUP(M210,INDIRECT($M$2&amp;6),2,TRUE))</f>
        <v>3</v>
      </c>
      <c r="O210" s="42">
        <v>29.5</v>
      </c>
      <c r="P210" s="43">
        <f ca="1">IF(O210="","",VLOOKUP(O210,INDIRECT($O$2&amp;6),2,TRUE))</f>
        <v>3</v>
      </c>
      <c r="Q210" s="46">
        <f>D210+F210+H210+K210+M210+O210</f>
        <v>345</v>
      </c>
      <c r="R210" s="47">
        <f>RANK(Q210,$Q$4:$Q$260,0)</f>
        <v>28</v>
      </c>
      <c r="S210" s="48">
        <f ca="1">(E210+G210+I210+((N210+P210)/2))/4</f>
        <v>2.5</v>
      </c>
    </row>
    <row r="211" spans="1:19" ht="20.100000000000001" customHeight="1">
      <c r="A211" s="41">
        <v>9</v>
      </c>
      <c r="B211">
        <v>20904</v>
      </c>
      <c r="C211" t="s">
        <v>238</v>
      </c>
      <c r="D211" s="42">
        <v>62</v>
      </c>
      <c r="E211" s="43">
        <f ca="1">IF(D211="","",VLOOKUP(D211,INDIRECT($D$2&amp;6),2,TRUE))</f>
        <v>4</v>
      </c>
      <c r="F211" s="42">
        <v>63</v>
      </c>
      <c r="G211" s="43">
        <f ca="1">IF(F211="","",VLOOKUP(F211,INDIRECT($F$2&amp;6),2,TRUE))</f>
        <v>3</v>
      </c>
      <c r="H211" s="42">
        <v>64</v>
      </c>
      <c r="I211" s="43">
        <f ca="1">IF(H211="","",VLOOKUP(H211,INDIRECT($H$2&amp;6),2,TRUE))</f>
        <v>4</v>
      </c>
      <c r="J211" s="44">
        <f ca="1">(E211+G211+I211)/3</f>
        <v>3.6666666666666665</v>
      </c>
      <c r="K211" s="45">
        <v>37</v>
      </c>
      <c r="L211" s="43">
        <f ca="1">IF(K211="","",VLOOKUP(K211,INDIRECT($K$2&amp;6),2,TRUE))</f>
        <v>2</v>
      </c>
      <c r="M211" s="42">
        <v>26</v>
      </c>
      <c r="N211" s="43">
        <f ca="1">IF(M211="","",VLOOKUP(M211,INDIRECT($M$2&amp;6),2,TRUE))</f>
        <v>4</v>
      </c>
      <c r="O211" s="42">
        <v>28.5</v>
      </c>
      <c r="P211" s="43">
        <f ca="1">IF(O211="","",VLOOKUP(O211,INDIRECT($O$2&amp;6),2,TRUE))</f>
        <v>3</v>
      </c>
      <c r="Q211" s="46">
        <f>D211+F211+H211+K211+M211+O211</f>
        <v>280.5</v>
      </c>
      <c r="R211" s="47">
        <f>RANK(Q211,$Q$4:$Q$260,0)</f>
        <v>75</v>
      </c>
      <c r="S211" s="48">
        <f ca="1">(E211+G211+I211+((N211+P211)/2))/4</f>
        <v>3.625</v>
      </c>
    </row>
    <row r="212" spans="1:19" ht="20.100000000000001" customHeight="1">
      <c r="A212" s="41">
        <v>9</v>
      </c>
      <c r="B212">
        <v>20905</v>
      </c>
      <c r="C212" t="s">
        <v>239</v>
      </c>
      <c r="D212" s="42" t="e">
        <v>#N/A</v>
      </c>
      <c r="E212" s="43" t="e">
        <f ca="1">IF(D212="","",VLOOKUP(D212,INDIRECT($D$2&amp;6),2,TRUE))</f>
        <v>#N/A</v>
      </c>
      <c r="F212" s="42" t="e">
        <v>#N/A</v>
      </c>
      <c r="G212" s="43" t="e">
        <f ca="1">IF(F212="","",VLOOKUP(F212,INDIRECT($F$2&amp;6),2,TRUE))</f>
        <v>#N/A</v>
      </c>
      <c r="H212" s="42" t="e">
        <v>#N/A</v>
      </c>
      <c r="I212" s="43" t="e">
        <f ca="1">IF(H212="","",VLOOKUP(H212,INDIRECT($H$2&amp;6),2,TRUE))</f>
        <v>#N/A</v>
      </c>
      <c r="J212" s="44" t="e">
        <f ca="1">(E212+G212+I212)/3</f>
        <v>#N/A</v>
      </c>
      <c r="K212" s="45" t="e">
        <v>#N/A</v>
      </c>
      <c r="L212" s="43" t="e">
        <f ca="1">IF(K212="","",VLOOKUP(K212,INDIRECT($K$2&amp;6),2,TRUE))</f>
        <v>#N/A</v>
      </c>
      <c r="M212" s="42" t="e">
        <v>#N/A</v>
      </c>
      <c r="N212" s="43" t="e">
        <f ca="1">IF(M212="","",VLOOKUP(M212,INDIRECT($M$2&amp;6),2,TRUE))</f>
        <v>#N/A</v>
      </c>
      <c r="O212" s="42" t="e">
        <v>#N/A</v>
      </c>
      <c r="P212" s="43" t="e">
        <f ca="1">IF(O212="","",VLOOKUP(O212,INDIRECT($O$2&amp;6),2,TRUE))</f>
        <v>#N/A</v>
      </c>
      <c r="Q212" s="46"/>
      <c r="R212" s="47" t="e">
        <f>RANK(Q212,$Q$4:$Q$260,0)</f>
        <v>#N/A</v>
      </c>
      <c r="S212" s="48" t="e">
        <f ca="1">(E212+G212+I212+((N212+P212)/2))/4</f>
        <v>#N/A</v>
      </c>
    </row>
    <row r="213" spans="1:19" ht="20.100000000000001" customHeight="1">
      <c r="A213" s="41">
        <v>9</v>
      </c>
      <c r="B213">
        <v>20906</v>
      </c>
      <c r="C213" t="s">
        <v>240</v>
      </c>
      <c r="D213" s="42">
        <v>79</v>
      </c>
      <c r="E213" s="43">
        <f ca="1">IF(D213="","",VLOOKUP(D213,INDIRECT($D$2&amp;6),2,TRUE))</f>
        <v>3</v>
      </c>
      <c r="F213" s="42">
        <v>21</v>
      </c>
      <c r="G213" s="43">
        <f ca="1">IF(F213="","",VLOOKUP(F213,INDIRECT($F$2&amp;6),2,TRUE))</f>
        <v>6</v>
      </c>
      <c r="H213" s="42">
        <v>88</v>
      </c>
      <c r="I213" s="43">
        <f ca="1">IF(H213="","",VLOOKUP(H213,INDIRECT($H$2&amp;6),2,TRUE))</f>
        <v>2</v>
      </c>
      <c r="J213" s="44">
        <f ca="1">(E213+G213+I213)/3</f>
        <v>3.6666666666666665</v>
      </c>
      <c r="K213" s="45">
        <v>20</v>
      </c>
      <c r="L213" s="43">
        <f ca="1">IF(K213="","",VLOOKUP(K213,INDIRECT($K$2&amp;6),2,TRUE))</f>
        <v>5</v>
      </c>
      <c r="M213" s="42">
        <v>34.5</v>
      </c>
      <c r="N213" s="43">
        <f ca="1">IF(M213="","",VLOOKUP(M213,INDIRECT($M$2&amp;6),2,TRUE))</f>
        <v>3</v>
      </c>
      <c r="O213" s="42">
        <v>12</v>
      </c>
      <c r="P213" s="43">
        <f ca="1">IF(O213="","",VLOOKUP(O213,INDIRECT($O$2&amp;6),2,TRUE))</f>
        <v>6</v>
      </c>
      <c r="Q213" s="46">
        <f>D213+F213+H213+K213+M213+O213</f>
        <v>254.5</v>
      </c>
      <c r="R213" s="47">
        <f>RANK(Q213,$Q$4:$Q$260,0)</f>
        <v>105</v>
      </c>
      <c r="S213" s="48">
        <f ca="1">(E213+G213+I213+((N213+P213)/2))/4</f>
        <v>3.875</v>
      </c>
    </row>
    <row r="214" spans="1:19" ht="20.100000000000001" customHeight="1">
      <c r="A214" s="41">
        <v>9</v>
      </c>
      <c r="B214">
        <v>20907</v>
      </c>
      <c r="C214" t="s">
        <v>241</v>
      </c>
      <c r="D214" s="42">
        <v>22</v>
      </c>
      <c r="E214" s="43">
        <f ca="1">IF(D214="","",VLOOKUP(D214,INDIRECT($D$2&amp;6),2,TRUE))</f>
        <v>7</v>
      </c>
      <c r="F214" s="42">
        <v>13</v>
      </c>
      <c r="G214" s="43">
        <f ca="1">IF(F214="","",VLOOKUP(F214,INDIRECT($F$2&amp;6),2,TRUE))</f>
        <v>7</v>
      </c>
      <c r="H214" s="42">
        <v>35</v>
      </c>
      <c r="I214" s="43">
        <f ca="1">IF(H214="","",VLOOKUP(H214,INDIRECT($H$2&amp;6),2,TRUE))</f>
        <v>7</v>
      </c>
      <c r="J214" s="44">
        <f ca="1">(E214+G214+I214)/3</f>
        <v>7</v>
      </c>
      <c r="K214" s="45">
        <v>12</v>
      </c>
      <c r="L214" s="43">
        <f ca="1">IF(K214="","",VLOOKUP(K214,INDIRECT($K$2&amp;6),2,TRUE))</f>
        <v>7</v>
      </c>
      <c r="M214" s="42">
        <v>14</v>
      </c>
      <c r="N214" s="43">
        <f ca="1">IF(M214="","",VLOOKUP(M214,INDIRECT($M$2&amp;6),2,TRUE))</f>
        <v>6</v>
      </c>
      <c r="O214" s="42">
        <v>12.5</v>
      </c>
      <c r="P214" s="43">
        <f ca="1">IF(O214="","",VLOOKUP(O214,INDIRECT($O$2&amp;6),2,TRUE))</f>
        <v>6</v>
      </c>
      <c r="Q214" s="46">
        <f>D214+F214+H214+K214+M214+O214</f>
        <v>108.5</v>
      </c>
      <c r="R214" s="47">
        <f>RANK(Q214,$Q$4:$Q$260,0)</f>
        <v>231</v>
      </c>
      <c r="S214" s="48">
        <f ca="1">(E214+G214+I214+((N214+P214)/2))/4</f>
        <v>6.75</v>
      </c>
    </row>
    <row r="215" spans="1:19" ht="20.100000000000001" customHeight="1">
      <c r="A215" s="41">
        <v>9</v>
      </c>
      <c r="B215">
        <v>20908</v>
      </c>
      <c r="C215" t="s">
        <v>242</v>
      </c>
      <c r="D215" s="42">
        <v>45</v>
      </c>
      <c r="E215" s="43">
        <f ca="1">IF(D215="","",VLOOKUP(D215,INDIRECT($D$2&amp;6),2,TRUE))</f>
        <v>5</v>
      </c>
      <c r="F215" s="42">
        <v>37</v>
      </c>
      <c r="G215" s="43">
        <f ca="1">IF(F215="","",VLOOKUP(F215,INDIRECT($F$2&amp;6),2,TRUE))</f>
        <v>5</v>
      </c>
      <c r="H215" s="42">
        <v>52</v>
      </c>
      <c r="I215" s="43">
        <f ca="1">IF(H215="","",VLOOKUP(H215,INDIRECT($H$2&amp;6),2,TRUE))</f>
        <v>5</v>
      </c>
      <c r="J215" s="44">
        <f ca="1">(E215+G215+I215)/3</f>
        <v>5</v>
      </c>
      <c r="K215" s="45">
        <v>28</v>
      </c>
      <c r="L215" s="43">
        <f ca="1">IF(K215="","",VLOOKUP(K215,INDIRECT($K$2&amp;6),2,TRUE))</f>
        <v>4</v>
      </c>
      <c r="M215" s="42">
        <v>24</v>
      </c>
      <c r="N215" s="43">
        <f ca="1">IF(M215="","",VLOOKUP(M215,INDIRECT($M$2&amp;6),2,TRUE))</f>
        <v>5</v>
      </c>
      <c r="O215" s="42">
        <v>16</v>
      </c>
      <c r="P215" s="43">
        <f ca="1">IF(O215="","",VLOOKUP(O215,INDIRECT($O$2&amp;6),2,TRUE))</f>
        <v>5</v>
      </c>
      <c r="Q215" s="46">
        <f>D215+F215+H215+K215+M215+O215</f>
        <v>202</v>
      </c>
      <c r="R215" s="47">
        <f>RANK(Q215,$Q$4:$Q$260,0)</f>
        <v>157</v>
      </c>
      <c r="S215" s="48">
        <f ca="1">(E215+G215+I215+((N215+P215)/2))/4</f>
        <v>5</v>
      </c>
    </row>
    <row r="216" spans="1:19" ht="20.100000000000001" customHeight="1">
      <c r="A216" s="41">
        <v>9</v>
      </c>
      <c r="B216">
        <v>20909</v>
      </c>
      <c r="C216" t="s">
        <v>243</v>
      </c>
      <c r="D216" s="42">
        <v>59</v>
      </c>
      <c r="E216" s="43">
        <f ca="1">IF(D216="","",VLOOKUP(D216,INDIRECT($D$2&amp;6),2,TRUE))</f>
        <v>4</v>
      </c>
      <c r="F216" s="42">
        <v>44</v>
      </c>
      <c r="G216" s="43">
        <f ca="1">IF(F216="","",VLOOKUP(F216,INDIRECT($F$2&amp;6),2,TRUE))</f>
        <v>5</v>
      </c>
      <c r="H216" s="42">
        <v>60</v>
      </c>
      <c r="I216" s="43">
        <f ca="1">IF(H216="","",VLOOKUP(H216,INDIRECT($H$2&amp;6),2,TRUE))</f>
        <v>4</v>
      </c>
      <c r="J216" s="44">
        <f ca="1">(E216+G216+I216)/3</f>
        <v>4.333333333333333</v>
      </c>
      <c r="K216" s="45">
        <v>28</v>
      </c>
      <c r="L216" s="43">
        <f ca="1">IF(K216="","",VLOOKUP(K216,INDIRECT($K$2&amp;6),2,TRUE))</f>
        <v>4</v>
      </c>
      <c r="M216" s="42">
        <v>29.5</v>
      </c>
      <c r="N216" s="43">
        <f ca="1">IF(M216="","",VLOOKUP(M216,INDIRECT($M$2&amp;6),2,TRUE))</f>
        <v>4</v>
      </c>
      <c r="O216" s="42">
        <v>11.5</v>
      </c>
      <c r="P216" s="43">
        <f ca="1">IF(O216="","",VLOOKUP(O216,INDIRECT($O$2&amp;6),2,TRUE))</f>
        <v>7</v>
      </c>
      <c r="Q216" s="46">
        <f>D216+F216+H216+K216+M216+O216</f>
        <v>232</v>
      </c>
      <c r="R216" s="47">
        <f>RANK(Q216,$Q$4:$Q$260,0)</f>
        <v>125</v>
      </c>
      <c r="S216" s="48">
        <f ca="1">(E216+G216+I216+((N216+P216)/2))/4</f>
        <v>4.625</v>
      </c>
    </row>
    <row r="217" spans="1:19" ht="20.100000000000001" customHeight="1">
      <c r="A217" s="41">
        <v>9</v>
      </c>
      <c r="B217">
        <v>20910</v>
      </c>
      <c r="C217" t="s">
        <v>244</v>
      </c>
      <c r="D217" s="42">
        <v>81</v>
      </c>
      <c r="E217" s="43">
        <f ca="1">IF(D217="","",VLOOKUP(D217,INDIRECT($D$2&amp;6),2,TRUE))</f>
        <v>3</v>
      </c>
      <c r="F217" s="42">
        <v>92</v>
      </c>
      <c r="G217" s="43">
        <f ca="1">IF(F217="","",VLOOKUP(F217,INDIRECT($F$2&amp;6),2,TRUE))</f>
        <v>1</v>
      </c>
      <c r="H217" s="42">
        <v>89</v>
      </c>
      <c r="I217" s="43">
        <f ca="1">IF(H217="","",VLOOKUP(H217,INDIRECT($H$2&amp;6),2,TRUE))</f>
        <v>2</v>
      </c>
      <c r="J217" s="44">
        <f ca="1">(E217+G217+I217)/3</f>
        <v>2</v>
      </c>
      <c r="K217" s="45">
        <v>50</v>
      </c>
      <c r="L217" s="43">
        <f ca="1">IF(K217="","",VLOOKUP(K217,INDIRECT($K$2&amp;6),2,TRUE))</f>
        <v>1</v>
      </c>
      <c r="M217" s="42">
        <v>37</v>
      </c>
      <c r="N217" s="43">
        <f ca="1">IF(M217="","",VLOOKUP(M217,INDIRECT($M$2&amp;6),2,TRUE))</f>
        <v>2</v>
      </c>
      <c r="O217" s="42">
        <v>41</v>
      </c>
      <c r="P217" s="43">
        <f ca="1">IF(O217="","",VLOOKUP(O217,INDIRECT($O$2&amp;6),2,TRUE))</f>
        <v>2</v>
      </c>
      <c r="Q217" s="46">
        <f>D217+F217+H217+K217+M217+O217</f>
        <v>390</v>
      </c>
      <c r="R217" s="47">
        <f>RANK(Q217,$Q$4:$Q$260,0)</f>
        <v>5</v>
      </c>
      <c r="S217" s="48">
        <f ca="1">(E217+G217+I217+((N217+P217)/2))/4</f>
        <v>2</v>
      </c>
    </row>
    <row r="218" spans="1:19" ht="20.100000000000001" customHeight="1">
      <c r="A218" s="41">
        <v>9</v>
      </c>
      <c r="B218">
        <v>20911</v>
      </c>
      <c r="C218" t="s">
        <v>245</v>
      </c>
      <c r="D218" s="42">
        <v>29</v>
      </c>
      <c r="E218" s="43">
        <f ca="1">IF(D218="","",VLOOKUP(D218,INDIRECT($D$2&amp;6),2,TRUE))</f>
        <v>7</v>
      </c>
      <c r="F218" s="42">
        <v>3</v>
      </c>
      <c r="G218" s="43">
        <f ca="1">IF(F218="","",VLOOKUP(F218,INDIRECT($F$2&amp;6),2,TRUE))</f>
        <v>9</v>
      </c>
      <c r="H218" s="42">
        <v>32</v>
      </c>
      <c r="I218" s="43">
        <f ca="1">IF(H218="","",VLOOKUP(H218,INDIRECT($H$2&amp;6),2,TRUE))</f>
        <v>7</v>
      </c>
      <c r="J218" s="44">
        <f ca="1">(E218+G218+I218)/3</f>
        <v>7.666666666666667</v>
      </c>
      <c r="K218" s="45">
        <v>8</v>
      </c>
      <c r="L218" s="43">
        <f ca="1">IF(K218="","",VLOOKUP(K218,INDIRECT($K$2&amp;6),2,TRUE))</f>
        <v>8</v>
      </c>
      <c r="M218" s="42">
        <v>15</v>
      </c>
      <c r="N218" s="43">
        <f ca="1">IF(M218="","",VLOOKUP(M218,INDIRECT($M$2&amp;6),2,TRUE))</f>
        <v>6</v>
      </c>
      <c r="O218" s="42">
        <v>11.5</v>
      </c>
      <c r="P218" s="43">
        <f ca="1">IF(O218="","",VLOOKUP(O218,INDIRECT($O$2&amp;6),2,TRUE))</f>
        <v>7</v>
      </c>
      <c r="Q218" s="46">
        <f>D218+F218+H218+K218+M218+O218</f>
        <v>98.5</v>
      </c>
      <c r="R218" s="47">
        <f>RANK(Q218,$Q$4:$Q$260,0)</f>
        <v>235</v>
      </c>
      <c r="S218" s="48">
        <f ca="1">(E218+G218+I218+((N218+P218)/2))/4</f>
        <v>7.375</v>
      </c>
    </row>
    <row r="219" spans="1:19" ht="20.100000000000001" customHeight="1">
      <c r="A219" s="41">
        <v>9</v>
      </c>
      <c r="B219">
        <v>20912</v>
      </c>
      <c r="C219" t="s">
        <v>246</v>
      </c>
      <c r="D219" s="42">
        <v>16</v>
      </c>
      <c r="E219" s="43">
        <f ca="1">IF(D219="","",VLOOKUP(D219,INDIRECT($D$2&amp;6),2,TRUE))</f>
        <v>9</v>
      </c>
      <c r="F219" s="42">
        <v>11</v>
      </c>
      <c r="G219" s="43">
        <f ca="1">IF(F219="","",VLOOKUP(F219,INDIRECT($F$2&amp;6),2,TRUE))</f>
        <v>8</v>
      </c>
      <c r="H219" s="42">
        <v>24</v>
      </c>
      <c r="I219" s="43">
        <f ca="1">IF(H219="","",VLOOKUP(H219,INDIRECT($H$2&amp;6),2,TRUE))</f>
        <v>8</v>
      </c>
      <c r="J219" s="44">
        <f ca="1">(E219+G219+I219)/3</f>
        <v>8.3333333333333339</v>
      </c>
      <c r="K219" s="45">
        <v>12</v>
      </c>
      <c r="L219" s="43">
        <f ca="1">IF(K219="","",VLOOKUP(K219,INDIRECT($K$2&amp;6),2,TRUE))</f>
        <v>7</v>
      </c>
      <c r="M219" s="42">
        <v>17</v>
      </c>
      <c r="N219" s="43">
        <f ca="1">IF(M219="","",VLOOKUP(M219,INDIRECT($M$2&amp;6),2,TRUE))</f>
        <v>6</v>
      </c>
      <c r="O219" s="42">
        <v>9.5</v>
      </c>
      <c r="P219" s="43">
        <f ca="1">IF(O219="","",VLOOKUP(O219,INDIRECT($O$2&amp;6),2,TRUE))</f>
        <v>7</v>
      </c>
      <c r="Q219" s="46">
        <f>D219+F219+H219+K219+M219+O219</f>
        <v>89.5</v>
      </c>
      <c r="R219" s="47">
        <f>RANK(Q219,$Q$4:$Q$260,0)</f>
        <v>243</v>
      </c>
      <c r="S219" s="48">
        <f ca="1">(E219+G219+I219+((N219+P219)/2))/4</f>
        <v>7.875</v>
      </c>
    </row>
    <row r="220" spans="1:19" ht="20.100000000000001" customHeight="1">
      <c r="A220" s="41">
        <v>9</v>
      </c>
      <c r="B220">
        <v>20913</v>
      </c>
      <c r="C220" t="s">
        <v>247</v>
      </c>
      <c r="D220" s="42">
        <v>67</v>
      </c>
      <c r="E220" s="43">
        <f ca="1">IF(D220="","",VLOOKUP(D220,INDIRECT($D$2&amp;6),2,TRUE))</f>
        <v>4</v>
      </c>
      <c r="F220" s="42">
        <v>45</v>
      </c>
      <c r="G220" s="43">
        <f ca="1">IF(F220="","",VLOOKUP(F220,INDIRECT($F$2&amp;6),2,TRUE))</f>
        <v>4</v>
      </c>
      <c r="H220" s="42">
        <v>80</v>
      </c>
      <c r="I220" s="43">
        <f ca="1">IF(H220="","",VLOOKUP(H220,INDIRECT($H$2&amp;6),2,TRUE))</f>
        <v>2</v>
      </c>
      <c r="J220" s="44">
        <f ca="1">(E220+G220+I220)/3</f>
        <v>3.3333333333333335</v>
      </c>
      <c r="K220" s="45">
        <v>36</v>
      </c>
      <c r="L220" s="43">
        <f ca="1">IF(K220="","",VLOOKUP(K220,INDIRECT($K$2&amp;6),2,TRUE))</f>
        <v>2</v>
      </c>
      <c r="M220" s="42">
        <v>40</v>
      </c>
      <c r="N220" s="43">
        <f ca="1">IF(M220="","",VLOOKUP(M220,INDIRECT($M$2&amp;6),2,TRUE))</f>
        <v>2</v>
      </c>
      <c r="O220" s="42">
        <v>20</v>
      </c>
      <c r="P220" s="43">
        <f ca="1">IF(O220="","",VLOOKUP(O220,INDIRECT($O$2&amp;6),2,TRUE))</f>
        <v>5</v>
      </c>
      <c r="Q220" s="46">
        <f>D220+F220+H220+K220+M220+O220</f>
        <v>288</v>
      </c>
      <c r="R220" s="47">
        <f>RANK(Q220,$Q$4:$Q$260,0)</f>
        <v>69</v>
      </c>
      <c r="S220" s="48">
        <f ca="1">(E220+G220+I220+((N220+P220)/2))/4</f>
        <v>3.375</v>
      </c>
    </row>
    <row r="221" spans="1:19" ht="20.100000000000001" customHeight="1">
      <c r="A221" s="41">
        <v>9</v>
      </c>
      <c r="B221">
        <v>20914</v>
      </c>
      <c r="C221" t="s">
        <v>248</v>
      </c>
      <c r="D221" s="42">
        <v>36</v>
      </c>
      <c r="E221" s="43">
        <f ca="1">IF(D221="","",VLOOKUP(D221,INDIRECT($D$2&amp;6),2,TRUE))</f>
        <v>6</v>
      </c>
      <c r="F221" s="42">
        <v>49</v>
      </c>
      <c r="G221" s="43">
        <f ca="1">IF(F221="","",VLOOKUP(F221,INDIRECT($F$2&amp;6),2,TRUE))</f>
        <v>4</v>
      </c>
      <c r="H221" s="42">
        <v>61</v>
      </c>
      <c r="I221" s="43">
        <f ca="1">IF(H221="","",VLOOKUP(H221,INDIRECT($H$2&amp;6),2,TRUE))</f>
        <v>4</v>
      </c>
      <c r="J221" s="44">
        <f ca="1">(E221+G221+I221)/3</f>
        <v>4.666666666666667</v>
      </c>
      <c r="K221" s="45">
        <v>23</v>
      </c>
      <c r="L221" s="43">
        <f ca="1">IF(K221="","",VLOOKUP(K221,INDIRECT($K$2&amp;6),2,TRUE))</f>
        <v>5</v>
      </c>
      <c r="M221" s="42">
        <v>15.5</v>
      </c>
      <c r="N221" s="43">
        <f ca="1">IF(M221="","",VLOOKUP(M221,INDIRECT($M$2&amp;6),2,TRUE))</f>
        <v>6</v>
      </c>
      <c r="O221" s="42">
        <v>8.5</v>
      </c>
      <c r="P221" s="43">
        <f ca="1">IF(O221="","",VLOOKUP(O221,INDIRECT($O$2&amp;6),2,TRUE))</f>
        <v>8</v>
      </c>
      <c r="Q221" s="46">
        <f>D221+F221+H221+K221+M221+O221</f>
        <v>193</v>
      </c>
      <c r="R221" s="47">
        <f>RANK(Q221,$Q$4:$Q$260,0)</f>
        <v>168</v>
      </c>
      <c r="S221" s="48">
        <f ca="1">(E221+G221+I221+((N221+P221)/2))/4</f>
        <v>5.25</v>
      </c>
    </row>
    <row r="222" spans="1:19" ht="20.100000000000001" customHeight="1">
      <c r="A222" s="41">
        <v>9</v>
      </c>
      <c r="B222">
        <v>20915</v>
      </c>
      <c r="C222" t="s">
        <v>249</v>
      </c>
      <c r="D222" s="42">
        <v>35</v>
      </c>
      <c r="E222" s="43">
        <f ca="1">IF(D222="","",VLOOKUP(D222,INDIRECT($D$2&amp;6),2,TRUE))</f>
        <v>6</v>
      </c>
      <c r="F222" s="42">
        <v>13</v>
      </c>
      <c r="G222" s="43">
        <f ca="1">IF(F222="","",VLOOKUP(F222,INDIRECT($F$2&amp;6),2,TRUE))</f>
        <v>7</v>
      </c>
      <c r="H222" s="42">
        <v>58</v>
      </c>
      <c r="I222" s="43">
        <f ca="1">IF(H222="","",VLOOKUP(H222,INDIRECT($H$2&amp;6),2,TRUE))</f>
        <v>5</v>
      </c>
      <c r="J222" s="44">
        <f ca="1">(E222+G222+I222)/3</f>
        <v>6</v>
      </c>
      <c r="K222" s="45">
        <v>19</v>
      </c>
      <c r="L222" s="43">
        <f ca="1">IF(K222="","",VLOOKUP(K222,INDIRECT($K$2&amp;6),2,TRUE))</f>
        <v>6</v>
      </c>
      <c r="M222" s="42">
        <v>19</v>
      </c>
      <c r="N222" s="43">
        <f ca="1">IF(M222="","",VLOOKUP(M222,INDIRECT($M$2&amp;6),2,TRUE))</f>
        <v>6</v>
      </c>
      <c r="O222" s="42">
        <v>11</v>
      </c>
      <c r="P222" s="43">
        <f ca="1">IF(O222="","",VLOOKUP(O222,INDIRECT($O$2&amp;6),2,TRUE))</f>
        <v>7</v>
      </c>
      <c r="Q222" s="46">
        <f>D222+F222+H222+K222+M222+O222</f>
        <v>155</v>
      </c>
      <c r="R222" s="47">
        <f>RANK(Q222,$Q$4:$Q$260,0)</f>
        <v>201</v>
      </c>
      <c r="S222" s="48">
        <f ca="1">(E222+G222+I222+((N222+P222)/2))/4</f>
        <v>6.125</v>
      </c>
    </row>
    <row r="223" spans="1:19" ht="20.100000000000001" customHeight="1">
      <c r="A223" s="41">
        <v>9</v>
      </c>
      <c r="B223">
        <v>20916</v>
      </c>
      <c r="C223" t="s">
        <v>250</v>
      </c>
      <c r="D223" s="42">
        <v>76</v>
      </c>
      <c r="E223" s="43">
        <f ca="1">IF(D223="","",VLOOKUP(D223,INDIRECT($D$2&amp;6),2,TRUE))</f>
        <v>3</v>
      </c>
      <c r="F223" s="42">
        <v>61</v>
      </c>
      <c r="G223" s="43">
        <f ca="1">IF(F223="","",VLOOKUP(F223,INDIRECT($F$2&amp;6),2,TRUE))</f>
        <v>4</v>
      </c>
      <c r="H223" s="42">
        <v>76</v>
      </c>
      <c r="I223" s="43">
        <f ca="1">IF(H223="","",VLOOKUP(H223,INDIRECT($H$2&amp;6),2,TRUE))</f>
        <v>3</v>
      </c>
      <c r="J223" s="44">
        <f ca="1">(E223+G223+I223)/3</f>
        <v>3.3333333333333335</v>
      </c>
      <c r="K223" s="45">
        <v>30</v>
      </c>
      <c r="L223" s="43">
        <f ca="1">IF(K223="","",VLOOKUP(K223,INDIRECT($K$2&amp;6),2,TRUE))</f>
        <v>3</v>
      </c>
      <c r="M223" s="42">
        <v>40</v>
      </c>
      <c r="N223" s="43">
        <f ca="1">IF(M223="","",VLOOKUP(M223,INDIRECT($M$2&amp;6),2,TRUE))</f>
        <v>2</v>
      </c>
      <c r="O223" s="42">
        <v>35</v>
      </c>
      <c r="P223" s="43">
        <f ca="1">IF(O223="","",VLOOKUP(O223,INDIRECT($O$2&amp;6),2,TRUE))</f>
        <v>2</v>
      </c>
      <c r="Q223" s="46">
        <f>D223+F223+H223+K223+M223+O223</f>
        <v>318</v>
      </c>
      <c r="R223" s="47">
        <f>RANK(Q223,$Q$4:$Q$260,0)</f>
        <v>48</v>
      </c>
      <c r="S223" s="48">
        <f ca="1">(E223+G223+I223+((N223+P223)/2))/4</f>
        <v>3</v>
      </c>
    </row>
    <row r="224" spans="1:19" ht="20.100000000000001" customHeight="1">
      <c r="A224" s="41">
        <v>9</v>
      </c>
      <c r="B224">
        <v>20917</v>
      </c>
      <c r="C224" t="s">
        <v>251</v>
      </c>
      <c r="D224" s="42">
        <v>69</v>
      </c>
      <c r="E224" s="43">
        <f ca="1">IF(D224="","",VLOOKUP(D224,INDIRECT($D$2&amp;6),2,TRUE))</f>
        <v>4</v>
      </c>
      <c r="F224" s="42">
        <v>50</v>
      </c>
      <c r="G224" s="43">
        <f ca="1">IF(F224="","",VLOOKUP(F224,INDIRECT($F$2&amp;6),2,TRUE))</f>
        <v>4</v>
      </c>
      <c r="H224" s="42">
        <v>79</v>
      </c>
      <c r="I224" s="43">
        <f ca="1">IF(H224="","",VLOOKUP(H224,INDIRECT($H$2&amp;6),2,TRUE))</f>
        <v>3</v>
      </c>
      <c r="J224" s="44">
        <f ca="1">(E224+G224+I224)/3</f>
        <v>3.6666666666666665</v>
      </c>
      <c r="K224" s="45">
        <v>12</v>
      </c>
      <c r="L224" s="43">
        <f ca="1">IF(K224="","",VLOOKUP(K224,INDIRECT($K$2&amp;6),2,TRUE))</f>
        <v>7</v>
      </c>
      <c r="M224" s="42">
        <v>26</v>
      </c>
      <c r="N224" s="43">
        <f ca="1">IF(M224="","",VLOOKUP(M224,INDIRECT($M$2&amp;6),2,TRUE))</f>
        <v>4</v>
      </c>
      <c r="O224" s="42">
        <v>22</v>
      </c>
      <c r="P224" s="43">
        <f ca="1">IF(O224="","",VLOOKUP(O224,INDIRECT($O$2&amp;6),2,TRUE))</f>
        <v>4</v>
      </c>
      <c r="Q224" s="46">
        <f>D224+F224+H224+K224+M224+O224</f>
        <v>258</v>
      </c>
      <c r="R224" s="47">
        <f>RANK(Q224,$Q$4:$Q$260,0)</f>
        <v>100</v>
      </c>
      <c r="S224" s="48">
        <f ca="1">(E224+G224+I224+((N224+P224)/2))/4</f>
        <v>3.75</v>
      </c>
    </row>
    <row r="225" spans="1:19" ht="20.100000000000001" customHeight="1">
      <c r="A225" s="41">
        <v>9</v>
      </c>
      <c r="B225">
        <v>20918</v>
      </c>
      <c r="C225" t="s">
        <v>252</v>
      </c>
      <c r="D225" s="42">
        <v>38</v>
      </c>
      <c r="E225" s="43">
        <f ca="1">IF(D225="","",VLOOKUP(D225,INDIRECT($D$2&amp;6),2,TRUE))</f>
        <v>6</v>
      </c>
      <c r="F225" s="42">
        <v>22</v>
      </c>
      <c r="G225" s="43">
        <f ca="1">IF(F225="","",VLOOKUP(F225,INDIRECT($F$2&amp;6),2,TRUE))</f>
        <v>6</v>
      </c>
      <c r="H225" s="42">
        <v>59</v>
      </c>
      <c r="I225" s="43">
        <f ca="1">IF(H225="","",VLOOKUP(H225,INDIRECT($H$2&amp;6),2,TRUE))</f>
        <v>5</v>
      </c>
      <c r="J225" s="44">
        <f ca="1">(E225+G225+I225)/3</f>
        <v>5.666666666666667</v>
      </c>
      <c r="K225" s="45">
        <v>16</v>
      </c>
      <c r="L225" s="43">
        <f ca="1">IF(K225="","",VLOOKUP(K225,INDIRECT($K$2&amp;6),2,TRUE))</f>
        <v>6</v>
      </c>
      <c r="M225" s="42">
        <v>24</v>
      </c>
      <c r="N225" s="43">
        <f ca="1">IF(M225="","",VLOOKUP(M225,INDIRECT($M$2&amp;6),2,TRUE))</f>
        <v>5</v>
      </c>
      <c r="O225" s="42">
        <v>12</v>
      </c>
      <c r="P225" s="43">
        <f ca="1">IF(O225="","",VLOOKUP(O225,INDIRECT($O$2&amp;6),2,TRUE))</f>
        <v>6</v>
      </c>
      <c r="Q225" s="46">
        <f>D225+F225+H225+K225+M225+O225</f>
        <v>171</v>
      </c>
      <c r="R225" s="47">
        <f>RANK(Q225,$Q$4:$Q$260,0)</f>
        <v>185</v>
      </c>
      <c r="S225" s="48">
        <f ca="1">(E225+G225+I225+((N225+P225)/2))/4</f>
        <v>5.625</v>
      </c>
    </row>
    <row r="226" spans="1:19" ht="20.100000000000001" customHeight="1">
      <c r="A226" s="41">
        <v>9</v>
      </c>
      <c r="B226">
        <v>20919</v>
      </c>
      <c r="C226" t="s">
        <v>253</v>
      </c>
      <c r="D226" s="42">
        <v>44</v>
      </c>
      <c r="E226" s="43">
        <f ca="1">IF(D226="","",VLOOKUP(D226,INDIRECT($D$2&amp;6),2,TRUE))</f>
        <v>5</v>
      </c>
      <c r="F226" s="42">
        <v>9</v>
      </c>
      <c r="G226" s="43">
        <f ca="1">IF(F226="","",VLOOKUP(F226,INDIRECT($F$2&amp;6),2,TRUE))</f>
        <v>8</v>
      </c>
      <c r="H226" s="42">
        <v>42</v>
      </c>
      <c r="I226" s="43">
        <f ca="1">IF(H226="","",VLOOKUP(H226,INDIRECT($H$2&amp;6),2,TRUE))</f>
        <v>6</v>
      </c>
      <c r="J226" s="44">
        <f ca="1">(E226+G226+I226)/3</f>
        <v>6.333333333333333</v>
      </c>
      <c r="K226" s="45">
        <v>14</v>
      </c>
      <c r="L226" s="43">
        <f ca="1">IF(K226="","",VLOOKUP(K226,INDIRECT($K$2&amp;6),2,TRUE))</f>
        <v>7</v>
      </c>
      <c r="M226" s="42">
        <v>30</v>
      </c>
      <c r="N226" s="43">
        <f ca="1">IF(M226="","",VLOOKUP(M226,INDIRECT($M$2&amp;6),2,TRUE))</f>
        <v>4</v>
      </c>
      <c r="O226" s="42">
        <v>5.5</v>
      </c>
      <c r="P226" s="43">
        <f ca="1">IF(O226="","",VLOOKUP(O226,INDIRECT($O$2&amp;6),2,TRUE))</f>
        <v>9</v>
      </c>
      <c r="Q226" s="46">
        <f>D226+F226+H226+K226+M226+O226</f>
        <v>144.5</v>
      </c>
      <c r="R226" s="47">
        <f>RANK(Q226,$Q$4:$Q$260,0)</f>
        <v>211</v>
      </c>
      <c r="S226" s="48">
        <f ca="1">(E226+G226+I226+((N226+P226)/2))/4</f>
        <v>6.375</v>
      </c>
    </row>
    <row r="227" spans="1:19" ht="20.100000000000001" customHeight="1">
      <c r="A227" s="41">
        <v>9</v>
      </c>
      <c r="B227">
        <v>20920</v>
      </c>
      <c r="C227" t="s">
        <v>254</v>
      </c>
      <c r="D227" s="42">
        <v>83</v>
      </c>
      <c r="E227" s="43">
        <f ca="1">IF(D227="","",VLOOKUP(D227,INDIRECT($D$2&amp;6),2,TRUE))</f>
        <v>2</v>
      </c>
      <c r="F227" s="42">
        <v>57</v>
      </c>
      <c r="G227" s="43">
        <f ca="1">IF(F227="","",VLOOKUP(F227,INDIRECT($F$2&amp;6),2,TRUE))</f>
        <v>4</v>
      </c>
      <c r="H227" s="42">
        <v>72</v>
      </c>
      <c r="I227" s="43">
        <f ca="1">IF(H227="","",VLOOKUP(H227,INDIRECT($H$2&amp;6),2,TRUE))</f>
        <v>3</v>
      </c>
      <c r="J227" s="44">
        <f ca="1">(E227+G227+I227)/3</f>
        <v>3</v>
      </c>
      <c r="K227" s="45">
        <v>48</v>
      </c>
      <c r="L227" s="43">
        <f ca="1">IF(K227="","",VLOOKUP(K227,INDIRECT($K$2&amp;6),2,TRUE))</f>
        <v>1</v>
      </c>
      <c r="M227" s="42">
        <v>37</v>
      </c>
      <c r="N227" s="43">
        <f ca="1">IF(M227="","",VLOOKUP(M227,INDIRECT($M$2&amp;6),2,TRUE))</f>
        <v>2</v>
      </c>
      <c r="O227" s="42">
        <v>28</v>
      </c>
      <c r="P227" s="43">
        <f ca="1">IF(O227="","",VLOOKUP(O227,INDIRECT($O$2&amp;6),2,TRUE))</f>
        <v>3</v>
      </c>
      <c r="Q227" s="46">
        <f>D227+F227+H227+K227+M227+O227</f>
        <v>325</v>
      </c>
      <c r="R227" s="47">
        <f>RANK(Q227,$Q$4:$Q$260,0)</f>
        <v>44</v>
      </c>
      <c r="S227" s="48">
        <f ca="1">(E227+G227+I227+((N227+P227)/2))/4</f>
        <v>2.875</v>
      </c>
    </row>
    <row r="228" spans="1:19" ht="20.100000000000001" customHeight="1">
      <c r="A228" s="41">
        <v>9</v>
      </c>
      <c r="B228">
        <v>20921</v>
      </c>
      <c r="C228" t="s">
        <v>255</v>
      </c>
      <c r="D228" s="42">
        <v>31</v>
      </c>
      <c r="E228" s="43">
        <f ca="1">IF(D228="","",VLOOKUP(D228,INDIRECT($D$2&amp;6),2,TRUE))</f>
        <v>6</v>
      </c>
      <c r="F228" s="42">
        <v>30</v>
      </c>
      <c r="G228" s="43">
        <f ca="1">IF(F228="","",VLOOKUP(F228,INDIRECT($F$2&amp;6),2,TRUE))</f>
        <v>5</v>
      </c>
      <c r="H228" s="42">
        <v>73</v>
      </c>
      <c r="I228" s="43">
        <f ca="1">IF(H228="","",VLOOKUP(H228,INDIRECT($H$2&amp;6),2,TRUE))</f>
        <v>3</v>
      </c>
      <c r="J228" s="44">
        <f ca="1">(E228+G228+I228)/3</f>
        <v>4.666666666666667</v>
      </c>
      <c r="K228" s="45">
        <v>13</v>
      </c>
      <c r="L228" s="43">
        <f ca="1">IF(K228="","",VLOOKUP(K228,INDIRECT($K$2&amp;6),2,TRUE))</f>
        <v>7</v>
      </c>
      <c r="M228" s="42">
        <v>13.5</v>
      </c>
      <c r="N228" s="43">
        <f ca="1">IF(M228="","",VLOOKUP(M228,INDIRECT($M$2&amp;6),2,TRUE))</f>
        <v>6</v>
      </c>
      <c r="O228" s="42">
        <v>13</v>
      </c>
      <c r="P228" s="43">
        <f ca="1">IF(O228="","",VLOOKUP(O228,INDIRECT($O$2&amp;6),2,TRUE))</f>
        <v>6</v>
      </c>
      <c r="Q228" s="46">
        <f>D228+F228+H228+K228+M228+O228</f>
        <v>173.5</v>
      </c>
      <c r="R228" s="47">
        <f>RANK(Q228,$Q$4:$Q$260,0)</f>
        <v>184</v>
      </c>
      <c r="S228" s="48">
        <f ca="1">(E228+G228+I228+((N228+P228)/2))/4</f>
        <v>5</v>
      </c>
    </row>
    <row r="229" spans="1:19" ht="20.100000000000001" customHeight="1">
      <c r="A229" s="41">
        <v>9</v>
      </c>
      <c r="B229">
        <v>20922</v>
      </c>
      <c r="C229" t="s">
        <v>256</v>
      </c>
      <c r="D229" s="42">
        <v>46</v>
      </c>
      <c r="E229" s="43">
        <f ca="1">IF(D229="","",VLOOKUP(D229,INDIRECT($D$2&amp;6),2,TRUE))</f>
        <v>5</v>
      </c>
      <c r="F229" s="42">
        <v>62</v>
      </c>
      <c r="G229" s="43">
        <f ca="1">IF(F229="","",VLOOKUP(F229,INDIRECT($F$2&amp;6),2,TRUE))</f>
        <v>3</v>
      </c>
      <c r="H229" s="42">
        <v>54</v>
      </c>
      <c r="I229" s="43">
        <f ca="1">IF(H229="","",VLOOKUP(H229,INDIRECT($H$2&amp;6),2,TRUE))</f>
        <v>5</v>
      </c>
      <c r="J229" s="44">
        <f ca="1">(E229+G229+I229)/3</f>
        <v>4.333333333333333</v>
      </c>
      <c r="K229" s="45">
        <v>22</v>
      </c>
      <c r="L229" s="43">
        <f ca="1">IF(K229="","",VLOOKUP(K229,INDIRECT($K$2&amp;6),2,TRUE))</f>
        <v>5</v>
      </c>
      <c r="M229" s="42">
        <v>28.5</v>
      </c>
      <c r="N229" s="43">
        <f ca="1">IF(M229="","",VLOOKUP(M229,INDIRECT($M$2&amp;6),2,TRUE))</f>
        <v>4</v>
      </c>
      <c r="O229" s="42">
        <v>26</v>
      </c>
      <c r="P229" s="43">
        <f ca="1">IF(O229="","",VLOOKUP(O229,INDIRECT($O$2&amp;6),2,TRUE))</f>
        <v>4</v>
      </c>
      <c r="Q229" s="46">
        <f>D229+F229+H229+K229+M229+O229</f>
        <v>238.5</v>
      </c>
      <c r="R229" s="47">
        <f>RANK(Q229,$Q$4:$Q$260,0)</f>
        <v>116</v>
      </c>
      <c r="S229" s="48">
        <f ca="1">(E229+G229+I229+((N229+P229)/2))/4</f>
        <v>4.25</v>
      </c>
    </row>
    <row r="230" spans="1:19" ht="20.100000000000001" customHeight="1">
      <c r="A230" s="41">
        <v>9</v>
      </c>
      <c r="B230">
        <v>20923</v>
      </c>
      <c r="C230" t="s">
        <v>257</v>
      </c>
      <c r="D230" s="42">
        <v>82</v>
      </c>
      <c r="E230" s="43">
        <f ca="1">IF(D230="","",VLOOKUP(D230,INDIRECT($D$2&amp;6),2,TRUE))</f>
        <v>2</v>
      </c>
      <c r="F230" s="42">
        <v>56</v>
      </c>
      <c r="G230" s="43">
        <f ca="1">IF(F230="","",VLOOKUP(F230,INDIRECT($F$2&amp;6),2,TRUE))</f>
        <v>4</v>
      </c>
      <c r="H230" s="42">
        <v>87</v>
      </c>
      <c r="I230" s="43">
        <f ca="1">IF(H230="","",VLOOKUP(H230,INDIRECT($H$2&amp;6),2,TRUE))</f>
        <v>2</v>
      </c>
      <c r="J230" s="44">
        <f ca="1">(E230+G230+I230)/3</f>
        <v>2.6666666666666665</v>
      </c>
      <c r="K230" s="45">
        <v>43</v>
      </c>
      <c r="L230" s="43">
        <f ca="1">IF(K230="","",VLOOKUP(K230,INDIRECT($K$2&amp;6),2,TRUE))</f>
        <v>1</v>
      </c>
      <c r="M230" s="42">
        <v>40.5</v>
      </c>
      <c r="N230" s="43">
        <f ca="1">IF(M230="","",VLOOKUP(M230,INDIRECT($M$2&amp;6),2,TRUE))</f>
        <v>2</v>
      </c>
      <c r="O230" s="42">
        <v>19.5</v>
      </c>
      <c r="P230" s="43">
        <f ca="1">IF(O230="","",VLOOKUP(O230,INDIRECT($O$2&amp;6),2,TRUE))</f>
        <v>5</v>
      </c>
      <c r="Q230" s="46">
        <f>D230+F230+H230+K230+M230+O230</f>
        <v>328</v>
      </c>
      <c r="R230" s="47">
        <f>RANK(Q230,$Q$4:$Q$260,0)</f>
        <v>39</v>
      </c>
      <c r="S230" s="48">
        <f ca="1">(E230+G230+I230+((N230+P230)/2))/4</f>
        <v>2.875</v>
      </c>
    </row>
    <row r="231" spans="1:19" ht="20.100000000000001" customHeight="1">
      <c r="A231" s="41">
        <v>9</v>
      </c>
      <c r="B231">
        <v>20924</v>
      </c>
      <c r="C231" t="s">
        <v>258</v>
      </c>
      <c r="D231" s="42">
        <v>56</v>
      </c>
      <c r="E231" s="43">
        <f ca="1">IF(D231="","",VLOOKUP(D231,INDIRECT($D$2&amp;6),2,TRUE))</f>
        <v>5</v>
      </c>
      <c r="F231" s="42">
        <v>54</v>
      </c>
      <c r="G231" s="43">
        <f ca="1">IF(F231="","",VLOOKUP(F231,INDIRECT($F$2&amp;6),2,TRUE))</f>
        <v>4</v>
      </c>
      <c r="H231" s="42">
        <v>71</v>
      </c>
      <c r="I231" s="43">
        <f ca="1">IF(H231="","",VLOOKUP(H231,INDIRECT($H$2&amp;6),2,TRUE))</f>
        <v>3</v>
      </c>
      <c r="J231" s="44">
        <f ca="1">(E231+G231+I231)/3</f>
        <v>4</v>
      </c>
      <c r="K231" s="45">
        <v>24</v>
      </c>
      <c r="L231" s="43">
        <f ca="1">IF(K231="","",VLOOKUP(K231,INDIRECT($K$2&amp;6),2,TRUE))</f>
        <v>5</v>
      </c>
      <c r="M231" s="42">
        <v>21</v>
      </c>
      <c r="N231" s="43">
        <f ca="1">IF(M231="","",VLOOKUP(M231,INDIRECT($M$2&amp;6),2,TRUE))</f>
        <v>5</v>
      </c>
      <c r="O231" s="42">
        <v>8</v>
      </c>
      <c r="P231" s="43">
        <f ca="1">IF(O231="","",VLOOKUP(O231,INDIRECT($O$2&amp;6),2,TRUE))</f>
        <v>8</v>
      </c>
      <c r="Q231" s="46">
        <f>D231+F231+H231+K231+M231+O231</f>
        <v>234</v>
      </c>
      <c r="R231" s="47">
        <f>RANK(Q231,$Q$4:$Q$260,0)</f>
        <v>119</v>
      </c>
      <c r="S231" s="48">
        <f ca="1">(E231+G231+I231+((N231+P231)/2))/4</f>
        <v>4.625</v>
      </c>
    </row>
    <row r="232" spans="1:19" ht="20.100000000000001" customHeight="1">
      <c r="A232" s="41">
        <v>9</v>
      </c>
      <c r="B232">
        <v>20925</v>
      </c>
      <c r="C232" t="s">
        <v>259</v>
      </c>
      <c r="D232" s="42">
        <v>67</v>
      </c>
      <c r="E232" s="43">
        <f ca="1">IF(D232="","",VLOOKUP(D232,INDIRECT($D$2&amp;6),2,TRUE))</f>
        <v>4</v>
      </c>
      <c r="F232" s="42">
        <v>65</v>
      </c>
      <c r="G232" s="43">
        <f ca="1">IF(F232="","",VLOOKUP(F232,INDIRECT($F$2&amp;6),2,TRUE))</f>
        <v>3</v>
      </c>
      <c r="H232" s="42">
        <v>78</v>
      </c>
      <c r="I232" s="43">
        <f ca="1">IF(H232="","",VLOOKUP(H232,INDIRECT($H$2&amp;6),2,TRUE))</f>
        <v>3</v>
      </c>
      <c r="J232" s="44">
        <f ca="1">(E232+G232+I232)/3</f>
        <v>3.3333333333333335</v>
      </c>
      <c r="K232" s="45">
        <v>26</v>
      </c>
      <c r="L232" s="43">
        <f ca="1">IF(K232="","",VLOOKUP(K232,INDIRECT($K$2&amp;6),2,TRUE))</f>
        <v>4</v>
      </c>
      <c r="M232" s="42">
        <v>36.5</v>
      </c>
      <c r="N232" s="43">
        <f ca="1">IF(M232="","",VLOOKUP(M232,INDIRECT($M$2&amp;6),2,TRUE))</f>
        <v>3</v>
      </c>
      <c r="O232" s="42">
        <v>25</v>
      </c>
      <c r="P232" s="43">
        <f ca="1">IF(O232="","",VLOOKUP(O232,INDIRECT($O$2&amp;6),2,TRUE))</f>
        <v>4</v>
      </c>
      <c r="Q232" s="46">
        <f>D232+F232+H232+K232+M232+O232</f>
        <v>297.5</v>
      </c>
      <c r="R232" s="47">
        <f>RANK(Q232,$Q$4:$Q$260,0)</f>
        <v>63</v>
      </c>
      <c r="S232" s="48">
        <f ca="1">(E232+G232+I232+((N232+P232)/2))/4</f>
        <v>3.375</v>
      </c>
    </row>
    <row r="233" spans="1:19" ht="20.100000000000001" customHeight="1">
      <c r="A233" s="41">
        <v>9</v>
      </c>
      <c r="B233">
        <v>20926</v>
      </c>
      <c r="C233" t="s">
        <v>260</v>
      </c>
      <c r="D233" s="42">
        <v>70</v>
      </c>
      <c r="E233" s="43">
        <f ca="1">IF(D233="","",VLOOKUP(D233,INDIRECT($D$2&amp;6),2,TRUE))</f>
        <v>4</v>
      </c>
      <c r="F233" s="42">
        <v>46</v>
      </c>
      <c r="G233" s="43">
        <f ca="1">IF(F233="","",VLOOKUP(F233,INDIRECT($F$2&amp;6),2,TRUE))</f>
        <v>4</v>
      </c>
      <c r="H233" s="42">
        <v>60</v>
      </c>
      <c r="I233" s="43">
        <f ca="1">IF(H233="","",VLOOKUP(H233,INDIRECT($H$2&amp;6),2,TRUE))</f>
        <v>4</v>
      </c>
      <c r="J233" s="44">
        <f ca="1">(E233+G233+I233)/3</f>
        <v>4</v>
      </c>
      <c r="K233" s="45">
        <v>19</v>
      </c>
      <c r="L233" s="43">
        <f ca="1">IF(K233="","",VLOOKUP(K233,INDIRECT($K$2&amp;6),2,TRUE))</f>
        <v>6</v>
      </c>
      <c r="M233" s="42">
        <v>33</v>
      </c>
      <c r="N233" s="43">
        <f ca="1">IF(M233="","",VLOOKUP(M233,INDIRECT($M$2&amp;6),2,TRUE))</f>
        <v>3</v>
      </c>
      <c r="O233" s="42">
        <v>16</v>
      </c>
      <c r="P233" s="43">
        <f ca="1">IF(O233="","",VLOOKUP(O233,INDIRECT($O$2&amp;6),2,TRUE))</f>
        <v>5</v>
      </c>
      <c r="Q233" s="46">
        <f>D233+F233+H233+K233+M233+O233</f>
        <v>244</v>
      </c>
      <c r="R233" s="47">
        <f>RANK(Q233,$Q$4:$Q$260,0)</f>
        <v>109</v>
      </c>
      <c r="S233" s="48">
        <f ca="1">(E233+G233+I233+((N233+P233)/2))/4</f>
        <v>4</v>
      </c>
    </row>
    <row r="234" spans="1:19" ht="20.100000000000001" customHeight="1">
      <c r="A234" s="41">
        <v>9</v>
      </c>
      <c r="B234">
        <v>21001</v>
      </c>
      <c r="C234" t="s">
        <v>261</v>
      </c>
      <c r="D234" s="42">
        <v>24</v>
      </c>
      <c r="E234" s="43">
        <f ca="1">IF(D234="","",VLOOKUP(D234,INDIRECT($D$2&amp;6),2,TRUE))</f>
        <v>7</v>
      </c>
      <c r="F234" s="42">
        <v>12</v>
      </c>
      <c r="G234" s="43">
        <f ca="1">IF(F234="","",VLOOKUP(F234,INDIRECT($F$2&amp;6),2,TRUE))</f>
        <v>8</v>
      </c>
      <c r="H234" s="42">
        <v>25</v>
      </c>
      <c r="I234" s="43">
        <f ca="1">IF(H234="","",VLOOKUP(H234,INDIRECT($H$2&amp;6),2,TRUE))</f>
        <v>8</v>
      </c>
      <c r="J234" s="44">
        <f ca="1">(E234+G234+I234)/3</f>
        <v>7.666666666666667</v>
      </c>
      <c r="K234" s="45">
        <v>14</v>
      </c>
      <c r="L234" s="43">
        <f ca="1">IF(K234="","",VLOOKUP(K234,INDIRECT($K$2&amp;6),2,TRUE))</f>
        <v>7</v>
      </c>
      <c r="M234" s="42">
        <v>10</v>
      </c>
      <c r="N234" s="43">
        <f ca="1">IF(M234="","",VLOOKUP(M234,INDIRECT($M$2&amp;6),2,TRUE))</f>
        <v>7</v>
      </c>
      <c r="O234" s="42">
        <v>8.5</v>
      </c>
      <c r="P234" s="43">
        <f ca="1">IF(O234="","",VLOOKUP(O234,INDIRECT($O$2&amp;6),2,TRUE))</f>
        <v>8</v>
      </c>
      <c r="Q234" s="46">
        <f>D234+F234+H234+K234+M234+O234</f>
        <v>93.5</v>
      </c>
      <c r="R234" s="47">
        <f>RANK(Q234,$Q$4:$Q$260,0)</f>
        <v>241</v>
      </c>
      <c r="S234" s="48">
        <f ca="1">(E234+G234+I234+((N234+P234)/2))/4</f>
        <v>7.625</v>
      </c>
    </row>
    <row r="235" spans="1:19" ht="20.100000000000001" customHeight="1">
      <c r="A235" s="41">
        <v>9</v>
      </c>
      <c r="B235">
        <v>21002</v>
      </c>
      <c r="C235" t="s">
        <v>262</v>
      </c>
      <c r="D235" s="42">
        <v>86</v>
      </c>
      <c r="E235" s="43">
        <f ca="1">IF(D235="","",VLOOKUP(D235,INDIRECT($D$2&amp;6),2,TRUE))</f>
        <v>2</v>
      </c>
      <c r="F235" s="42">
        <v>85</v>
      </c>
      <c r="G235" s="43">
        <f ca="1">IF(F235="","",VLOOKUP(F235,INDIRECT($F$2&amp;6),2,TRUE))</f>
        <v>1</v>
      </c>
      <c r="H235" s="42">
        <v>92</v>
      </c>
      <c r="I235" s="43">
        <f ca="1">IF(H235="","",VLOOKUP(H235,INDIRECT($H$2&amp;6),2,TRUE))</f>
        <v>1</v>
      </c>
      <c r="J235" s="44">
        <f ca="1">(E235+G235+I235)/3</f>
        <v>1.3333333333333333</v>
      </c>
      <c r="K235" s="45">
        <v>42</v>
      </c>
      <c r="L235" s="43">
        <f ca="1">IF(K235="","",VLOOKUP(K235,INDIRECT($K$2&amp;6),2,TRUE))</f>
        <v>1</v>
      </c>
      <c r="M235" s="42">
        <v>37.5</v>
      </c>
      <c r="N235" s="43">
        <f ca="1">IF(M235="","",VLOOKUP(M235,INDIRECT($M$2&amp;6),2,TRUE))</f>
        <v>2</v>
      </c>
      <c r="O235" s="42">
        <v>44.5</v>
      </c>
      <c r="P235" s="43">
        <f ca="1">IF(O235="","",VLOOKUP(O235,INDIRECT($O$2&amp;6),2,TRUE))</f>
        <v>1</v>
      </c>
      <c r="Q235" s="46">
        <f>D235+F235+H235+K235+M235+O235</f>
        <v>387</v>
      </c>
      <c r="R235" s="47">
        <f>RANK(Q235,$Q$4:$Q$260,0)</f>
        <v>6</v>
      </c>
      <c r="S235" s="48">
        <f ca="1">(E235+G235+I235+((N235+P235)/2))/4</f>
        <v>1.375</v>
      </c>
    </row>
    <row r="236" spans="1:19" ht="20.100000000000001" customHeight="1">
      <c r="A236" s="41">
        <v>10</v>
      </c>
      <c r="B236">
        <v>21003</v>
      </c>
      <c r="C236" t="s">
        <v>263</v>
      </c>
      <c r="D236" s="42">
        <v>79</v>
      </c>
      <c r="E236" s="43">
        <f ca="1">IF(D236="","",VLOOKUP(D236,INDIRECT($D$2&amp;6),2,TRUE))</f>
        <v>3</v>
      </c>
      <c r="F236" s="42">
        <v>74</v>
      </c>
      <c r="G236" s="43">
        <f ca="1">IF(F236="","",VLOOKUP(F236,INDIRECT($F$2&amp;6),2,TRUE))</f>
        <v>2</v>
      </c>
      <c r="H236" s="42">
        <v>80</v>
      </c>
      <c r="I236" s="43">
        <f ca="1">IF(H236="","",VLOOKUP(H236,INDIRECT($H$2&amp;6),2,TRUE))</f>
        <v>2</v>
      </c>
      <c r="J236" s="44">
        <f ca="1">(E236+G236+I236)/3</f>
        <v>2.3333333333333335</v>
      </c>
      <c r="K236" s="45">
        <v>30</v>
      </c>
      <c r="L236" s="43">
        <f ca="1">IF(K236="","",VLOOKUP(K236,INDIRECT($K$2&amp;6),2,TRUE))</f>
        <v>3</v>
      </c>
      <c r="M236" s="42">
        <v>38.5</v>
      </c>
      <c r="N236" s="43">
        <f ca="1">IF(M236="","",VLOOKUP(M236,INDIRECT($M$2&amp;6),2,TRUE))</f>
        <v>2</v>
      </c>
      <c r="O236" s="42">
        <v>24.5</v>
      </c>
      <c r="P236" s="43">
        <f ca="1">IF(O236="","",VLOOKUP(O236,INDIRECT($O$2&amp;6),2,TRUE))</f>
        <v>4</v>
      </c>
      <c r="Q236" s="46">
        <f>D236+F236+H236+K236+M236+O236</f>
        <v>326</v>
      </c>
      <c r="R236" s="47">
        <f>RANK(Q236,$Q$4:$Q$260,0)</f>
        <v>43</v>
      </c>
      <c r="S236" s="48">
        <f ca="1">(E236+G236+I236+((N236+P236)/2))/4</f>
        <v>2.5</v>
      </c>
    </row>
    <row r="237" spans="1:19" ht="20.100000000000001" customHeight="1">
      <c r="A237" s="41">
        <v>10</v>
      </c>
      <c r="B237">
        <v>21005</v>
      </c>
      <c r="C237" t="s">
        <v>264</v>
      </c>
      <c r="D237" s="42">
        <v>21</v>
      </c>
      <c r="E237" s="43">
        <f ca="1">IF(D237="","",VLOOKUP(D237,INDIRECT($D$2&amp;6),2,TRUE))</f>
        <v>8</v>
      </c>
      <c r="F237" s="42">
        <v>13</v>
      </c>
      <c r="G237" s="43">
        <f ca="1">IF(F237="","",VLOOKUP(F237,INDIRECT($F$2&amp;6),2,TRUE))</f>
        <v>7</v>
      </c>
      <c r="H237" s="42">
        <v>21</v>
      </c>
      <c r="I237" s="43">
        <f ca="1">IF(H237="","",VLOOKUP(H237,INDIRECT($H$2&amp;6),2,TRUE))</f>
        <v>8</v>
      </c>
      <c r="J237" s="44">
        <f ca="1">(E237+G237+I237)/3</f>
        <v>7.666666666666667</v>
      </c>
      <c r="K237" s="45">
        <v>11</v>
      </c>
      <c r="L237" s="43">
        <f ca="1">IF(K237="","",VLOOKUP(K237,INDIRECT($K$2&amp;6),2,TRUE))</f>
        <v>7</v>
      </c>
      <c r="M237" s="42">
        <v>7.5</v>
      </c>
      <c r="N237" s="43">
        <f ca="1">IF(M237="","",VLOOKUP(M237,INDIRECT($M$2&amp;6),2,TRUE))</f>
        <v>8</v>
      </c>
      <c r="O237" s="42">
        <v>8.5</v>
      </c>
      <c r="P237" s="43">
        <f ca="1">IF(O237="","",VLOOKUP(O237,INDIRECT($O$2&amp;6),2,TRUE))</f>
        <v>8</v>
      </c>
      <c r="Q237" s="46">
        <f>D237+F237+H237+K237+M237+O237</f>
        <v>82</v>
      </c>
      <c r="R237" s="47">
        <f>RANK(Q237,$Q$4:$Q$260,0)</f>
        <v>247</v>
      </c>
      <c r="S237" s="48">
        <f ca="1">(E237+G237+I237+((N237+P237)/2))/4</f>
        <v>7.75</v>
      </c>
    </row>
    <row r="238" spans="1:19" ht="20.100000000000001" customHeight="1">
      <c r="A238" s="41">
        <v>10</v>
      </c>
      <c r="B238">
        <v>21006</v>
      </c>
      <c r="C238" t="s">
        <v>164</v>
      </c>
      <c r="D238" s="42">
        <v>50</v>
      </c>
      <c r="E238" s="43">
        <f ca="1">IF(D238="","",VLOOKUP(D238,INDIRECT($D$2&amp;6),2,TRUE))</f>
        <v>5</v>
      </c>
      <c r="F238" s="42">
        <v>44</v>
      </c>
      <c r="G238" s="43">
        <f ca="1">IF(F238="","",VLOOKUP(F238,INDIRECT($F$2&amp;6),2,TRUE))</f>
        <v>5</v>
      </c>
      <c r="H238" s="42">
        <v>70</v>
      </c>
      <c r="I238" s="43">
        <f ca="1">IF(H238="","",VLOOKUP(H238,INDIRECT($H$2&amp;6),2,TRUE))</f>
        <v>3</v>
      </c>
      <c r="J238" s="44">
        <f ca="1">(E238+G238+I238)/3</f>
        <v>4.333333333333333</v>
      </c>
      <c r="K238" s="45">
        <v>17</v>
      </c>
      <c r="L238" s="43">
        <f ca="1">IF(K238="","",VLOOKUP(K238,INDIRECT($K$2&amp;6),2,TRUE))</f>
        <v>6</v>
      </c>
      <c r="M238" s="42">
        <v>35.5</v>
      </c>
      <c r="N238" s="43">
        <f ca="1">IF(M238="","",VLOOKUP(M238,INDIRECT($M$2&amp;6),2,TRUE))</f>
        <v>3</v>
      </c>
      <c r="O238" s="42">
        <v>23.5</v>
      </c>
      <c r="P238" s="43">
        <f ca="1">IF(O238="","",VLOOKUP(O238,INDIRECT($O$2&amp;6),2,TRUE))</f>
        <v>4</v>
      </c>
      <c r="Q238" s="46">
        <f>D238+F238+H238+K238+M238+O238</f>
        <v>240</v>
      </c>
      <c r="R238" s="47">
        <f>RANK(Q238,$Q$4:$Q$260,0)</f>
        <v>113</v>
      </c>
      <c r="S238" s="48">
        <f ca="1">(E238+G238+I238+((N238+P238)/2))/4</f>
        <v>4.125</v>
      </c>
    </row>
    <row r="239" spans="1:19" ht="20.100000000000001" customHeight="1">
      <c r="A239" s="41">
        <v>10</v>
      </c>
      <c r="B239">
        <v>21007</v>
      </c>
      <c r="C239" t="s">
        <v>265</v>
      </c>
      <c r="D239" s="42">
        <v>71</v>
      </c>
      <c r="E239" s="43">
        <f ca="1">IF(D239="","",VLOOKUP(D239,INDIRECT($D$2&amp;6),2,TRUE))</f>
        <v>3</v>
      </c>
      <c r="F239" s="42">
        <v>13</v>
      </c>
      <c r="G239" s="43">
        <f ca="1">IF(F239="","",VLOOKUP(F239,INDIRECT($F$2&amp;6),2,TRUE))</f>
        <v>7</v>
      </c>
      <c r="H239" s="42">
        <v>42</v>
      </c>
      <c r="I239" s="43">
        <f ca="1">IF(H239="","",VLOOKUP(H239,INDIRECT($H$2&amp;6),2,TRUE))</f>
        <v>6</v>
      </c>
      <c r="J239" s="44">
        <f ca="1">(E239+G239+I239)/3</f>
        <v>5.333333333333333</v>
      </c>
      <c r="K239" s="45">
        <v>32</v>
      </c>
      <c r="L239" s="43">
        <f ca="1">IF(K239="","",VLOOKUP(K239,INDIRECT($K$2&amp;6),2,TRUE))</f>
        <v>3</v>
      </c>
      <c r="M239" s="42">
        <v>18</v>
      </c>
      <c r="N239" s="43">
        <f ca="1">IF(M239="","",VLOOKUP(M239,INDIRECT($M$2&amp;6),2,TRUE))</f>
        <v>6</v>
      </c>
      <c r="O239" s="42">
        <v>13</v>
      </c>
      <c r="P239" s="43">
        <f ca="1">IF(O239="","",VLOOKUP(O239,INDIRECT($O$2&amp;6),2,TRUE))</f>
        <v>6</v>
      </c>
      <c r="Q239" s="46">
        <f>D239+F239+H239+K239+M239+O239</f>
        <v>189</v>
      </c>
      <c r="R239" s="47">
        <f>RANK(Q239,$Q$4:$Q$260,0)</f>
        <v>173</v>
      </c>
      <c r="S239" s="48">
        <f ca="1">(E239+G239+I239+((N239+P239)/2))/4</f>
        <v>5.5</v>
      </c>
    </row>
    <row r="240" spans="1:19" ht="20.100000000000001" customHeight="1">
      <c r="A240" s="41">
        <v>10</v>
      </c>
      <c r="B240">
        <v>21008</v>
      </c>
      <c r="C240" t="s">
        <v>266</v>
      </c>
      <c r="D240" s="42">
        <v>79</v>
      </c>
      <c r="E240" s="43">
        <f ca="1">IF(D240="","",VLOOKUP(D240,INDIRECT($D$2&amp;6),2,TRUE))</f>
        <v>3</v>
      </c>
      <c r="F240" s="42">
        <v>58</v>
      </c>
      <c r="G240" s="43">
        <f ca="1">IF(F240="","",VLOOKUP(F240,INDIRECT($F$2&amp;6),2,TRUE))</f>
        <v>4</v>
      </c>
      <c r="H240" s="42">
        <v>87</v>
      </c>
      <c r="I240" s="43">
        <f ca="1">IF(H240="","",VLOOKUP(H240,INDIRECT($H$2&amp;6),2,TRUE))</f>
        <v>2</v>
      </c>
      <c r="J240" s="44">
        <f ca="1">(E240+G240+I240)/3</f>
        <v>3</v>
      </c>
      <c r="K240" s="45">
        <v>34</v>
      </c>
      <c r="L240" s="43">
        <f ca="1">IF(K240="","",VLOOKUP(K240,INDIRECT($K$2&amp;6),2,TRUE))</f>
        <v>3</v>
      </c>
      <c r="M240" s="42">
        <v>36.5</v>
      </c>
      <c r="N240" s="43">
        <f ca="1">IF(M240="","",VLOOKUP(M240,INDIRECT($M$2&amp;6),2,TRUE))</f>
        <v>3</v>
      </c>
      <c r="O240" s="42">
        <v>26.5</v>
      </c>
      <c r="P240" s="43">
        <f ca="1">IF(O240="","",VLOOKUP(O240,INDIRECT($O$2&amp;6),2,TRUE))</f>
        <v>4</v>
      </c>
      <c r="Q240" s="46">
        <f>D240+F240+H240+K240+M240+O240</f>
        <v>321</v>
      </c>
      <c r="R240" s="47">
        <f>RANK(Q240,$Q$4:$Q$260,0)</f>
        <v>46</v>
      </c>
      <c r="S240" s="48">
        <f ca="1">(E240+G240+I240+((N240+P240)/2))/4</f>
        <v>3.125</v>
      </c>
    </row>
    <row r="241" spans="1:19" ht="20.100000000000001" customHeight="1">
      <c r="A241" s="41">
        <v>10</v>
      </c>
      <c r="B241">
        <v>21009</v>
      </c>
      <c r="C241" t="s">
        <v>190</v>
      </c>
      <c r="D241" s="42">
        <v>81</v>
      </c>
      <c r="E241" s="43">
        <f ca="1">IF(D241="","",VLOOKUP(D241,INDIRECT($D$2&amp;6),2,TRUE))</f>
        <v>3</v>
      </c>
      <c r="F241" s="42">
        <v>76</v>
      </c>
      <c r="G241" s="43">
        <f ca="1">IF(F241="","",VLOOKUP(F241,INDIRECT($F$2&amp;6),2,TRUE))</f>
        <v>2</v>
      </c>
      <c r="H241" s="42">
        <v>88</v>
      </c>
      <c r="I241" s="43">
        <f ca="1">IF(H241="","",VLOOKUP(H241,INDIRECT($H$2&amp;6),2,TRUE))</f>
        <v>2</v>
      </c>
      <c r="J241" s="44">
        <f ca="1">(E241+G241+I241)/3</f>
        <v>2.3333333333333335</v>
      </c>
      <c r="K241" s="45">
        <v>41</v>
      </c>
      <c r="L241" s="43">
        <f ca="1">IF(K241="","",VLOOKUP(K241,INDIRECT($K$2&amp;6),2,TRUE))</f>
        <v>1</v>
      </c>
      <c r="M241" s="42">
        <v>25</v>
      </c>
      <c r="N241" s="43">
        <f ca="1">IF(M241="","",VLOOKUP(M241,INDIRECT($M$2&amp;6),2,TRUE))</f>
        <v>5</v>
      </c>
      <c r="O241" s="42">
        <v>42</v>
      </c>
      <c r="P241" s="43">
        <f ca="1">IF(O241="","",VLOOKUP(O241,INDIRECT($O$2&amp;6),2,TRUE))</f>
        <v>2</v>
      </c>
      <c r="Q241" s="46">
        <f>D241+F241+H241+K241+M241+O241</f>
        <v>353</v>
      </c>
      <c r="R241" s="47">
        <f>RANK(Q241,$Q$4:$Q$260,0)</f>
        <v>23</v>
      </c>
      <c r="S241" s="48">
        <f ca="1">(E241+G241+I241+((N241+P241)/2))/4</f>
        <v>2.625</v>
      </c>
    </row>
    <row r="242" spans="1:19" ht="20.100000000000001" customHeight="1">
      <c r="A242" s="41">
        <v>10</v>
      </c>
      <c r="B242">
        <v>21010</v>
      </c>
      <c r="C242" t="s">
        <v>267</v>
      </c>
      <c r="D242" s="42">
        <v>62</v>
      </c>
      <c r="E242" s="43">
        <f ca="1">IF(D242="","",VLOOKUP(D242,INDIRECT($D$2&amp;6),2,TRUE))</f>
        <v>4</v>
      </c>
      <c r="F242" s="42">
        <v>72</v>
      </c>
      <c r="G242" s="43">
        <f ca="1">IF(F242="","",VLOOKUP(F242,INDIRECT($F$2&amp;6),2,TRUE))</f>
        <v>3</v>
      </c>
      <c r="H242" s="42">
        <v>54</v>
      </c>
      <c r="I242" s="43">
        <f ca="1">IF(H242="","",VLOOKUP(H242,INDIRECT($H$2&amp;6),2,TRUE))</f>
        <v>5</v>
      </c>
      <c r="J242" s="44">
        <f ca="1">(E242+G242+I242)/3</f>
        <v>4</v>
      </c>
      <c r="K242" s="45">
        <v>38</v>
      </c>
      <c r="L242" s="43">
        <f ca="1">IF(K242="","",VLOOKUP(K242,INDIRECT($K$2&amp;6),2,TRUE))</f>
        <v>2</v>
      </c>
      <c r="M242" s="42">
        <v>24.5</v>
      </c>
      <c r="N242" s="43">
        <f ca="1">IF(M242="","",VLOOKUP(M242,INDIRECT($M$2&amp;6),2,TRUE))</f>
        <v>5</v>
      </c>
      <c r="O242" s="42">
        <v>20</v>
      </c>
      <c r="P242" s="43">
        <f ca="1">IF(O242="","",VLOOKUP(O242,INDIRECT($O$2&amp;6),2,TRUE))</f>
        <v>5</v>
      </c>
      <c r="Q242" s="46">
        <f>D242+F242+H242+K242+M242+O242</f>
        <v>270.5</v>
      </c>
      <c r="R242" s="47">
        <f>RANK(Q242,$Q$4:$Q$260,0)</f>
        <v>88</v>
      </c>
      <c r="S242" s="48">
        <f ca="1">(E242+G242+I242+((N242+P242)/2))/4</f>
        <v>4.25</v>
      </c>
    </row>
    <row r="243" spans="1:19" ht="20.100000000000001" customHeight="1">
      <c r="A243" s="41">
        <v>10</v>
      </c>
      <c r="B243">
        <v>21011</v>
      </c>
      <c r="C243" t="s">
        <v>268</v>
      </c>
      <c r="D243" s="42">
        <v>63</v>
      </c>
      <c r="E243" s="43">
        <f ca="1">IF(D243="","",VLOOKUP(D243,INDIRECT($D$2&amp;6),2,TRUE))</f>
        <v>4</v>
      </c>
      <c r="F243" s="42">
        <v>45</v>
      </c>
      <c r="G243" s="43">
        <f ca="1">IF(F243="","",VLOOKUP(F243,INDIRECT($F$2&amp;6),2,TRUE))</f>
        <v>4</v>
      </c>
      <c r="H243" s="42">
        <v>69</v>
      </c>
      <c r="I243" s="43">
        <f ca="1">IF(H243="","",VLOOKUP(H243,INDIRECT($H$2&amp;6),2,TRUE))</f>
        <v>4</v>
      </c>
      <c r="J243" s="44">
        <f ca="1">(E243+G243+I243)/3</f>
        <v>4</v>
      </c>
      <c r="K243" s="45">
        <v>31</v>
      </c>
      <c r="L243" s="43">
        <f ca="1">IF(K243="","",VLOOKUP(K243,INDIRECT($K$2&amp;6),2,TRUE))</f>
        <v>3</v>
      </c>
      <c r="M243" s="42">
        <v>29</v>
      </c>
      <c r="N243" s="43">
        <f ca="1">IF(M243="","",VLOOKUP(M243,INDIRECT($M$2&amp;6),2,TRUE))</f>
        <v>4</v>
      </c>
      <c r="O243" s="42">
        <v>20.5</v>
      </c>
      <c r="P243" s="43">
        <f ca="1">IF(O243="","",VLOOKUP(O243,INDIRECT($O$2&amp;6),2,TRUE))</f>
        <v>5</v>
      </c>
      <c r="Q243" s="46">
        <f>D243+F243+H243+K243+M243+O243</f>
        <v>257.5</v>
      </c>
      <c r="R243" s="47">
        <f>RANK(Q243,$Q$4:$Q$260,0)</f>
        <v>101</v>
      </c>
      <c r="S243" s="48">
        <f ca="1">(E243+G243+I243+((N243+P243)/2))/4</f>
        <v>4.125</v>
      </c>
    </row>
    <row r="244" spans="1:19" ht="20.100000000000001" customHeight="1">
      <c r="A244" s="41">
        <v>10</v>
      </c>
      <c r="B244">
        <v>21012</v>
      </c>
      <c r="C244" t="s">
        <v>269</v>
      </c>
      <c r="D244" s="42">
        <v>75</v>
      </c>
      <c r="E244" s="43">
        <f ca="1">IF(D244="","",VLOOKUP(D244,INDIRECT($D$2&amp;6),2,TRUE))</f>
        <v>3</v>
      </c>
      <c r="F244" s="42">
        <v>76</v>
      </c>
      <c r="G244" s="43">
        <f ca="1">IF(F244="","",VLOOKUP(F244,INDIRECT($F$2&amp;6),2,TRUE))</f>
        <v>2</v>
      </c>
      <c r="H244" s="42">
        <v>72</v>
      </c>
      <c r="I244" s="43">
        <f ca="1">IF(H244="","",VLOOKUP(H244,INDIRECT($H$2&amp;6),2,TRUE))</f>
        <v>3</v>
      </c>
      <c r="J244" s="44">
        <f ca="1">(E244+G244+I244)/3</f>
        <v>2.6666666666666665</v>
      </c>
      <c r="K244" s="45">
        <v>39</v>
      </c>
      <c r="L244" s="43">
        <f ca="1">IF(K244="","",VLOOKUP(K244,INDIRECT($K$2&amp;6),2,TRUE))</f>
        <v>2</v>
      </c>
      <c r="M244" s="42">
        <v>28</v>
      </c>
      <c r="N244" s="43">
        <f ca="1">IF(M244="","",VLOOKUP(M244,INDIRECT($M$2&amp;6),2,TRUE))</f>
        <v>4</v>
      </c>
      <c r="O244" s="42">
        <v>26.5</v>
      </c>
      <c r="P244" s="43">
        <f ca="1">IF(O244="","",VLOOKUP(O244,INDIRECT($O$2&amp;6),2,TRUE))</f>
        <v>4</v>
      </c>
      <c r="Q244" s="46">
        <f>D244+F244+H244+K244+M244+O244</f>
        <v>316.5</v>
      </c>
      <c r="R244" s="47">
        <f>RANK(Q244,$Q$4:$Q$260,0)</f>
        <v>50</v>
      </c>
      <c r="S244" s="48">
        <f ca="1">(E244+G244+I244+((N244+P244)/2))/4</f>
        <v>3</v>
      </c>
    </row>
    <row r="245" spans="1:19" ht="20.100000000000001" customHeight="1">
      <c r="A245" s="41">
        <v>10</v>
      </c>
      <c r="B245">
        <v>21013</v>
      </c>
      <c r="C245" t="s">
        <v>270</v>
      </c>
      <c r="D245" s="42">
        <v>21</v>
      </c>
      <c r="E245" s="43">
        <f ca="1">IF(D245="","",VLOOKUP(D245,INDIRECT($D$2&amp;6),2,TRUE))</f>
        <v>8</v>
      </c>
      <c r="F245" s="42">
        <v>38</v>
      </c>
      <c r="G245" s="43">
        <f ca="1">IF(F245="","",VLOOKUP(F245,INDIRECT($F$2&amp;6),2,TRUE))</f>
        <v>5</v>
      </c>
      <c r="H245" s="42">
        <v>60</v>
      </c>
      <c r="I245" s="43">
        <f ca="1">IF(H245="","",VLOOKUP(H245,INDIRECT($H$2&amp;6),2,TRUE))</f>
        <v>4</v>
      </c>
      <c r="J245" s="44">
        <f ca="1">(E245+G245+I245)/3</f>
        <v>5.666666666666667</v>
      </c>
      <c r="K245" s="45">
        <v>16</v>
      </c>
      <c r="L245" s="43">
        <f ca="1">IF(K245="","",VLOOKUP(K245,INDIRECT($K$2&amp;6),2,TRUE))</f>
        <v>6</v>
      </c>
      <c r="M245" s="42">
        <v>15</v>
      </c>
      <c r="N245" s="43">
        <f ca="1">IF(M245="","",VLOOKUP(M245,INDIRECT($M$2&amp;6),2,TRUE))</f>
        <v>6</v>
      </c>
      <c r="O245" s="42">
        <v>14.5</v>
      </c>
      <c r="P245" s="43">
        <f ca="1">IF(O245="","",VLOOKUP(O245,INDIRECT($O$2&amp;6),2,TRUE))</f>
        <v>6</v>
      </c>
      <c r="Q245" s="46">
        <f>D245+F245+H245+K245+M245+O245</f>
        <v>164.5</v>
      </c>
      <c r="R245" s="47">
        <f>RANK(Q245,$Q$4:$Q$260,0)</f>
        <v>197</v>
      </c>
      <c r="S245" s="48">
        <f ca="1">(E245+G245+I245+((N245+P245)/2))/4</f>
        <v>5.75</v>
      </c>
    </row>
    <row r="246" spans="1:19" ht="20.100000000000001" customHeight="1">
      <c r="A246" s="41">
        <v>10</v>
      </c>
      <c r="B246">
        <v>21014</v>
      </c>
      <c r="C246" t="s">
        <v>271</v>
      </c>
      <c r="D246" s="42">
        <v>43</v>
      </c>
      <c r="E246" s="43">
        <f ca="1">IF(D246="","",VLOOKUP(D246,INDIRECT($D$2&amp;6),2,TRUE))</f>
        <v>6</v>
      </c>
      <c r="F246" s="42">
        <v>20</v>
      </c>
      <c r="G246" s="43">
        <f ca="1">IF(F246="","",VLOOKUP(F246,INDIRECT($F$2&amp;6),2,TRUE))</f>
        <v>6</v>
      </c>
      <c r="H246" s="42">
        <v>47</v>
      </c>
      <c r="I246" s="43">
        <f ca="1">IF(H246="","",VLOOKUP(H246,INDIRECT($H$2&amp;6),2,TRUE))</f>
        <v>6</v>
      </c>
      <c r="J246" s="44">
        <f ca="1">(E246+G246+I246)/3</f>
        <v>6</v>
      </c>
      <c r="K246" s="45">
        <v>19</v>
      </c>
      <c r="L246" s="43">
        <f ca="1">IF(K246="","",VLOOKUP(K246,INDIRECT($K$2&amp;6),2,TRUE))</f>
        <v>6</v>
      </c>
      <c r="M246" s="42">
        <v>15.5</v>
      </c>
      <c r="N246" s="43">
        <f ca="1">IF(M246="","",VLOOKUP(M246,INDIRECT($M$2&amp;6),2,TRUE))</f>
        <v>6</v>
      </c>
      <c r="O246" s="42">
        <v>24</v>
      </c>
      <c r="P246" s="43">
        <f ca="1">IF(O246="","",VLOOKUP(O246,INDIRECT($O$2&amp;6),2,TRUE))</f>
        <v>4</v>
      </c>
      <c r="Q246" s="46">
        <f>D246+F246+H246+K246+M246+O246</f>
        <v>168.5</v>
      </c>
      <c r="R246" s="47">
        <f>RANK(Q246,$Q$4:$Q$260,0)</f>
        <v>189</v>
      </c>
      <c r="S246" s="48">
        <f ca="1">(E246+G246+I246+((N246+P246)/2))/4</f>
        <v>5.75</v>
      </c>
    </row>
    <row r="247" spans="1:19" ht="20.100000000000001" customHeight="1">
      <c r="A247" s="41">
        <v>10</v>
      </c>
      <c r="B247">
        <v>21015</v>
      </c>
      <c r="C247" t="s">
        <v>272</v>
      </c>
      <c r="D247" s="42">
        <v>52</v>
      </c>
      <c r="E247" s="43">
        <f ca="1">IF(D247="","",VLOOKUP(D247,INDIRECT($D$2&amp;6),2,TRUE))</f>
        <v>5</v>
      </c>
      <c r="F247" s="42">
        <v>33</v>
      </c>
      <c r="G247" s="43">
        <f ca="1">IF(F247="","",VLOOKUP(F247,INDIRECT($F$2&amp;6),2,TRUE))</f>
        <v>5</v>
      </c>
      <c r="H247" s="42">
        <v>63</v>
      </c>
      <c r="I247" s="43">
        <f ca="1">IF(H247="","",VLOOKUP(H247,INDIRECT($H$2&amp;6),2,TRUE))</f>
        <v>4</v>
      </c>
      <c r="J247" s="44">
        <f ca="1">(E247+G247+I247)/3</f>
        <v>4.666666666666667</v>
      </c>
      <c r="K247" s="45">
        <v>22</v>
      </c>
      <c r="L247" s="43">
        <f ca="1">IF(K247="","",VLOOKUP(K247,INDIRECT($K$2&amp;6),2,TRUE))</f>
        <v>5</v>
      </c>
      <c r="M247" s="42">
        <v>34</v>
      </c>
      <c r="N247" s="43">
        <f ca="1">IF(M247="","",VLOOKUP(M247,INDIRECT($M$2&amp;6),2,TRUE))</f>
        <v>3</v>
      </c>
      <c r="O247" s="42">
        <v>12.5</v>
      </c>
      <c r="P247" s="43">
        <f ca="1">IF(O247="","",VLOOKUP(O247,INDIRECT($O$2&amp;6),2,TRUE))</f>
        <v>6</v>
      </c>
      <c r="Q247" s="46">
        <f>D247+F247+H247+K247+M247+O247</f>
        <v>216.5</v>
      </c>
      <c r="R247" s="47">
        <f>RANK(Q247,$Q$4:$Q$260,0)</f>
        <v>140</v>
      </c>
      <c r="S247" s="48">
        <f ca="1">(E247+G247+I247+((N247+P247)/2))/4</f>
        <v>4.625</v>
      </c>
    </row>
    <row r="248" spans="1:19" ht="20.100000000000001" customHeight="1">
      <c r="A248" s="41">
        <v>10</v>
      </c>
      <c r="B248">
        <v>21016</v>
      </c>
      <c r="C248" t="s">
        <v>273</v>
      </c>
      <c r="D248" s="42">
        <v>80</v>
      </c>
      <c r="E248" s="43">
        <f ca="1">IF(D248="","",VLOOKUP(D248,INDIRECT($D$2&amp;6),2,TRUE))</f>
        <v>3</v>
      </c>
      <c r="F248" s="42">
        <v>34</v>
      </c>
      <c r="G248" s="43">
        <f ca="1">IF(F248="","",VLOOKUP(F248,INDIRECT($F$2&amp;6),2,TRUE))</f>
        <v>5</v>
      </c>
      <c r="H248" s="42">
        <v>80</v>
      </c>
      <c r="I248" s="43">
        <f ca="1">IF(H248="","",VLOOKUP(H248,INDIRECT($H$2&amp;6),2,TRUE))</f>
        <v>2</v>
      </c>
      <c r="J248" s="44">
        <f ca="1">(E248+G248+I248)/3</f>
        <v>3.3333333333333335</v>
      </c>
      <c r="K248" s="45">
        <v>20</v>
      </c>
      <c r="L248" s="43">
        <f ca="1">IF(K248="","",VLOOKUP(K248,INDIRECT($K$2&amp;6),2,TRUE))</f>
        <v>5</v>
      </c>
      <c r="M248" s="42">
        <v>28</v>
      </c>
      <c r="N248" s="43">
        <f ca="1">IF(M248="","",VLOOKUP(M248,INDIRECT($M$2&amp;6),2,TRUE))</f>
        <v>4</v>
      </c>
      <c r="O248" s="42">
        <v>17</v>
      </c>
      <c r="P248" s="43">
        <f ca="1">IF(O248="","",VLOOKUP(O248,INDIRECT($O$2&amp;6),2,TRUE))</f>
        <v>5</v>
      </c>
      <c r="Q248" s="46">
        <f>D248+F248+H248+K248+M248+O248</f>
        <v>259</v>
      </c>
      <c r="R248" s="47">
        <f>RANK(Q248,$Q$4:$Q$260,0)</f>
        <v>98</v>
      </c>
      <c r="S248" s="48">
        <f ca="1">(E248+G248+I248+((N248+P248)/2))/4</f>
        <v>3.625</v>
      </c>
    </row>
    <row r="249" spans="1:19" ht="20.100000000000001" customHeight="1">
      <c r="A249" s="41">
        <v>10</v>
      </c>
      <c r="B249">
        <v>21017</v>
      </c>
      <c r="C249" t="s">
        <v>274</v>
      </c>
      <c r="D249" s="42" t="e">
        <v>#N/A</v>
      </c>
      <c r="E249" s="43" t="e">
        <f ca="1">IF(D249="","",VLOOKUP(D249,INDIRECT($D$2&amp;6),2,TRUE))</f>
        <v>#N/A</v>
      </c>
      <c r="F249" s="42" t="e">
        <v>#N/A</v>
      </c>
      <c r="G249" s="43" t="e">
        <f ca="1">IF(F249="","",VLOOKUP(F249,INDIRECT($F$2&amp;6),2,TRUE))</f>
        <v>#N/A</v>
      </c>
      <c r="H249" s="42" t="e">
        <v>#N/A</v>
      </c>
      <c r="I249" s="43" t="e">
        <f ca="1">IF(H249="","",VLOOKUP(H249,INDIRECT($H$2&amp;6),2,TRUE))</f>
        <v>#N/A</v>
      </c>
      <c r="J249" s="44" t="e">
        <f ca="1">(E249+G249+I249)/3</f>
        <v>#N/A</v>
      </c>
      <c r="K249" s="45" t="e">
        <v>#N/A</v>
      </c>
      <c r="L249" s="43" t="e">
        <f ca="1">IF(K249="","",VLOOKUP(K249,INDIRECT($K$2&amp;6),2,TRUE))</f>
        <v>#N/A</v>
      </c>
      <c r="M249" s="42" t="e">
        <v>#N/A</v>
      </c>
      <c r="N249" s="43" t="e">
        <f ca="1">IF(M249="","",VLOOKUP(M249,INDIRECT($M$2&amp;6),2,TRUE))</f>
        <v>#N/A</v>
      </c>
      <c r="O249" s="42" t="e">
        <v>#N/A</v>
      </c>
      <c r="P249" s="43" t="e">
        <f ca="1">IF(O249="","",VLOOKUP(O249,INDIRECT($O$2&amp;6),2,TRUE))</f>
        <v>#N/A</v>
      </c>
      <c r="Q249" s="46"/>
      <c r="R249" s="47" t="e">
        <f>RANK(Q249,$Q$4:$Q$260,0)</f>
        <v>#N/A</v>
      </c>
      <c r="S249" s="48" t="e">
        <f ca="1">(E249+G249+I249+((N249+P249)/2))/4</f>
        <v>#N/A</v>
      </c>
    </row>
    <row r="250" spans="1:19" ht="20.100000000000001" customHeight="1">
      <c r="A250" s="41">
        <v>10</v>
      </c>
      <c r="B250">
        <v>21018</v>
      </c>
      <c r="C250" t="s">
        <v>275</v>
      </c>
      <c r="D250" s="42">
        <v>60</v>
      </c>
      <c r="E250" s="43">
        <f ca="1">IF(D250="","",VLOOKUP(D250,INDIRECT($D$2&amp;6),2,TRUE))</f>
        <v>4</v>
      </c>
      <c r="F250" s="42">
        <v>22</v>
      </c>
      <c r="G250" s="43">
        <f ca="1">IF(F250="","",VLOOKUP(F250,INDIRECT($F$2&amp;6),2,TRUE))</f>
        <v>6</v>
      </c>
      <c r="H250" s="42">
        <v>59</v>
      </c>
      <c r="I250" s="43">
        <f ca="1">IF(H250="","",VLOOKUP(H250,INDIRECT($H$2&amp;6),2,TRUE))</f>
        <v>5</v>
      </c>
      <c r="J250" s="44">
        <f ca="1">(E250+G250+I250)/3</f>
        <v>5</v>
      </c>
      <c r="K250" s="45">
        <v>18</v>
      </c>
      <c r="L250" s="43">
        <f ca="1">IF(K250="","",VLOOKUP(K250,INDIRECT($K$2&amp;6),2,TRUE))</f>
        <v>6</v>
      </c>
      <c r="M250" s="42">
        <v>25</v>
      </c>
      <c r="N250" s="43">
        <f ca="1">IF(M250="","",VLOOKUP(M250,INDIRECT($M$2&amp;6),2,TRUE))</f>
        <v>5</v>
      </c>
      <c r="O250" s="42">
        <v>13.5</v>
      </c>
      <c r="P250" s="43">
        <f ca="1">IF(O250="","",VLOOKUP(O250,INDIRECT($O$2&amp;6),2,TRUE))</f>
        <v>6</v>
      </c>
      <c r="Q250" s="46">
        <f>D250+F250+H250+K250+M250+O250</f>
        <v>197.5</v>
      </c>
      <c r="R250" s="47">
        <f>RANK(Q250,$Q$4:$Q$260,0)</f>
        <v>161</v>
      </c>
      <c r="S250" s="48">
        <f ca="1">(E250+G250+I250+((N250+P250)/2))/4</f>
        <v>5.125</v>
      </c>
    </row>
    <row r="251" spans="1:19">
      <c r="A251" s="41">
        <v>10</v>
      </c>
      <c r="B251">
        <v>21019</v>
      </c>
      <c r="C251" t="s">
        <v>276</v>
      </c>
      <c r="D251" s="42">
        <v>73</v>
      </c>
      <c r="E251" s="43">
        <f ca="1">IF(D251="","",VLOOKUP(D251,INDIRECT($D$2&amp;6),2,TRUE))</f>
        <v>3</v>
      </c>
      <c r="F251" s="42">
        <v>58</v>
      </c>
      <c r="G251" s="43">
        <f ca="1">IF(F251="","",VLOOKUP(F251,INDIRECT($F$2&amp;6),2,TRUE))</f>
        <v>4</v>
      </c>
      <c r="H251" s="42">
        <v>68</v>
      </c>
      <c r="I251" s="43">
        <f ca="1">IF(H251="","",VLOOKUP(H251,INDIRECT($H$2&amp;6),2,TRUE))</f>
        <v>4</v>
      </c>
      <c r="J251" s="44">
        <f ca="1">(E251+G251+I251)/3</f>
        <v>3.6666666666666665</v>
      </c>
      <c r="K251" s="45">
        <v>27</v>
      </c>
      <c r="L251" s="43">
        <f ca="1">IF(K251="","",VLOOKUP(K251,INDIRECT($K$2&amp;6),2,TRUE))</f>
        <v>4</v>
      </c>
      <c r="M251" s="42">
        <v>30</v>
      </c>
      <c r="N251" s="43">
        <f ca="1">IF(M251="","",VLOOKUP(M251,INDIRECT($M$2&amp;6),2,TRUE))</f>
        <v>4</v>
      </c>
      <c r="O251" s="42">
        <v>24</v>
      </c>
      <c r="P251" s="43">
        <f ca="1">IF(O251="","",VLOOKUP(O251,INDIRECT($O$2&amp;6),2,TRUE))</f>
        <v>4</v>
      </c>
      <c r="Q251" s="46">
        <f>D251+F251+H251+K251+M251+O251</f>
        <v>280</v>
      </c>
      <c r="R251" s="47">
        <f>RANK(Q251,$Q$4:$Q$260,0)</f>
        <v>77</v>
      </c>
      <c r="S251" s="48">
        <f ca="1">(E251+G251+I251+((N251+P251)/2))/4</f>
        <v>3.75</v>
      </c>
    </row>
    <row r="252" spans="1:19">
      <c r="A252" s="41">
        <v>10</v>
      </c>
      <c r="B252">
        <v>21020</v>
      </c>
      <c r="C252" t="s">
        <v>277</v>
      </c>
      <c r="D252" s="42">
        <v>86</v>
      </c>
      <c r="E252" s="43">
        <f ca="1">IF(D252="","",VLOOKUP(D252,INDIRECT($D$2&amp;6),2,TRUE))</f>
        <v>2</v>
      </c>
      <c r="F252" s="42">
        <v>81</v>
      </c>
      <c r="G252" s="43">
        <f ca="1">IF(F252="","",VLOOKUP(F252,INDIRECT($F$2&amp;6),2,TRUE))</f>
        <v>2</v>
      </c>
      <c r="H252" s="42">
        <v>80</v>
      </c>
      <c r="I252" s="43">
        <f ca="1">IF(H252="","",VLOOKUP(H252,INDIRECT($H$2&amp;6),2,TRUE))</f>
        <v>2</v>
      </c>
      <c r="J252" s="44">
        <f ca="1">(E252+G252+I252)/3</f>
        <v>2</v>
      </c>
      <c r="K252" s="45">
        <v>37</v>
      </c>
      <c r="L252" s="43">
        <f ca="1">IF(K252="","",VLOOKUP(K252,INDIRECT($K$2&amp;6),2,TRUE))</f>
        <v>2</v>
      </c>
      <c r="M252" s="42">
        <v>42.5</v>
      </c>
      <c r="N252" s="43">
        <f ca="1">IF(M252="","",VLOOKUP(M252,INDIRECT($M$2&amp;6),2,TRUE))</f>
        <v>2</v>
      </c>
      <c r="O252" s="42">
        <v>35</v>
      </c>
      <c r="P252" s="43">
        <f ca="1">IF(O252="","",VLOOKUP(O252,INDIRECT($O$2&amp;6),2,TRUE))</f>
        <v>2</v>
      </c>
      <c r="Q252" s="46">
        <f>D252+F252+H252+K252+M252+O252</f>
        <v>361.5</v>
      </c>
      <c r="R252" s="47">
        <f>RANK(Q252,$Q$4:$Q$260,0)</f>
        <v>18</v>
      </c>
      <c r="S252" s="48">
        <f ca="1">(E252+G252+I252+((N252+P252)/2))/4</f>
        <v>2</v>
      </c>
    </row>
    <row r="253" spans="1:19">
      <c r="A253" s="41">
        <v>10</v>
      </c>
      <c r="B253">
        <v>21021</v>
      </c>
      <c r="C253" t="s">
        <v>278</v>
      </c>
      <c r="D253" s="42">
        <v>57</v>
      </c>
      <c r="E253" s="43">
        <f ca="1">IF(D253="","",VLOOKUP(D253,INDIRECT($D$2&amp;6),2,TRUE))</f>
        <v>5</v>
      </c>
      <c r="F253" s="42">
        <v>45</v>
      </c>
      <c r="G253" s="43">
        <f ca="1">IF(F253="","",VLOOKUP(F253,INDIRECT($F$2&amp;6),2,TRUE))</f>
        <v>4</v>
      </c>
      <c r="H253" s="42">
        <v>80</v>
      </c>
      <c r="I253" s="43">
        <f ca="1">IF(H253="","",VLOOKUP(H253,INDIRECT($H$2&amp;6),2,TRUE))</f>
        <v>2</v>
      </c>
      <c r="J253" s="44">
        <f ca="1">(E253+G253+I253)/3</f>
        <v>3.6666666666666665</v>
      </c>
      <c r="K253" s="45">
        <v>40</v>
      </c>
      <c r="L253" s="43">
        <f ca="1">IF(K253="","",VLOOKUP(K253,INDIRECT($K$2&amp;6),2,TRUE))</f>
        <v>1</v>
      </c>
      <c r="M253" s="42">
        <v>30</v>
      </c>
      <c r="N253" s="43">
        <f ca="1">IF(M253="","",VLOOKUP(M253,INDIRECT($M$2&amp;6),2,TRUE))</f>
        <v>4</v>
      </c>
      <c r="O253" s="42">
        <v>19.5</v>
      </c>
      <c r="P253" s="43">
        <f ca="1">IF(O253="","",VLOOKUP(O253,INDIRECT($O$2&amp;6),2,TRUE))</f>
        <v>5</v>
      </c>
      <c r="Q253" s="46">
        <f>D253+F253+H253+K253+M253+O253</f>
        <v>271.5</v>
      </c>
      <c r="R253" s="47">
        <f>RANK(Q253,$Q$4:$Q$260,0)</f>
        <v>87</v>
      </c>
      <c r="S253" s="48">
        <f ca="1">(E253+G253+I253+((N253+P253)/2))/4</f>
        <v>3.875</v>
      </c>
    </row>
    <row r="254" spans="1:19">
      <c r="A254" s="41">
        <v>10</v>
      </c>
      <c r="B254">
        <v>21022</v>
      </c>
      <c r="C254" t="s">
        <v>279</v>
      </c>
      <c r="D254" s="42">
        <v>66</v>
      </c>
      <c r="E254" s="43">
        <f ca="1">IF(D254="","",VLOOKUP(D254,INDIRECT($D$2&amp;6),2,TRUE))</f>
        <v>4</v>
      </c>
      <c r="F254" s="42">
        <v>44</v>
      </c>
      <c r="G254" s="43">
        <f ca="1">IF(F254="","",VLOOKUP(F254,INDIRECT($F$2&amp;6),2,TRUE))</f>
        <v>5</v>
      </c>
      <c r="H254" s="42">
        <v>60</v>
      </c>
      <c r="I254" s="43">
        <f ca="1">IF(H254="","",VLOOKUP(H254,INDIRECT($H$2&amp;6),2,TRUE))</f>
        <v>4</v>
      </c>
      <c r="J254" s="44">
        <f ca="1">(E254+G254+I254)/3</f>
        <v>4.333333333333333</v>
      </c>
      <c r="K254" s="45">
        <v>32</v>
      </c>
      <c r="L254" s="43">
        <f ca="1">IF(K254="","",VLOOKUP(K254,INDIRECT($K$2&amp;6),2,TRUE))</f>
        <v>3</v>
      </c>
      <c r="M254" s="42">
        <v>28.5</v>
      </c>
      <c r="N254" s="43">
        <f ca="1">IF(M254="","",VLOOKUP(M254,INDIRECT($M$2&amp;6),2,TRUE))</f>
        <v>4</v>
      </c>
      <c r="O254" s="42">
        <v>28</v>
      </c>
      <c r="P254" s="43">
        <f ca="1">IF(O254="","",VLOOKUP(O254,INDIRECT($O$2&amp;6),2,TRUE))</f>
        <v>3</v>
      </c>
      <c r="Q254" s="46">
        <f>D254+F254+H254+K254+M254+O254</f>
        <v>258.5</v>
      </c>
      <c r="R254" s="47">
        <f>RANK(Q254,$Q$4:$Q$260,0)</f>
        <v>99</v>
      </c>
      <c r="S254" s="48">
        <f ca="1">(E254+G254+I254+((N254+P254)/2))/4</f>
        <v>4.125</v>
      </c>
    </row>
    <row r="255" spans="1:19">
      <c r="A255" s="41">
        <v>10</v>
      </c>
      <c r="B255">
        <v>21023</v>
      </c>
      <c r="C255" t="s">
        <v>280</v>
      </c>
      <c r="D255" s="42">
        <v>46</v>
      </c>
      <c r="E255" s="43">
        <f ca="1">IF(D255="","",VLOOKUP(D255,INDIRECT($D$2&amp;6),2,TRUE))</f>
        <v>5</v>
      </c>
      <c r="F255" s="42">
        <v>24</v>
      </c>
      <c r="G255" s="43">
        <f ca="1">IF(F255="","",VLOOKUP(F255,INDIRECT($F$2&amp;6),2,TRUE))</f>
        <v>6</v>
      </c>
      <c r="H255" s="42">
        <v>52</v>
      </c>
      <c r="I255" s="43">
        <f ca="1">IF(H255="","",VLOOKUP(H255,INDIRECT($H$2&amp;6),2,TRUE))</f>
        <v>5</v>
      </c>
      <c r="J255" s="44">
        <f ca="1">(E255+G255+I255)/3</f>
        <v>5.333333333333333</v>
      </c>
      <c r="K255" s="45">
        <v>25</v>
      </c>
      <c r="L255" s="43">
        <f ca="1">IF(K255="","",VLOOKUP(K255,INDIRECT($K$2&amp;6),2,TRUE))</f>
        <v>4</v>
      </c>
      <c r="M255" s="42">
        <v>29.5</v>
      </c>
      <c r="N255" s="43">
        <f ca="1">IF(M255="","",VLOOKUP(M255,INDIRECT($M$2&amp;6),2,TRUE))</f>
        <v>4</v>
      </c>
      <c r="O255" s="42">
        <v>21</v>
      </c>
      <c r="P255" s="43">
        <f ca="1">IF(O255="","",VLOOKUP(O255,INDIRECT($O$2&amp;6),2,TRUE))</f>
        <v>5</v>
      </c>
      <c r="Q255" s="46">
        <f>D255+F255+H255+K255+M255+O255</f>
        <v>197.5</v>
      </c>
      <c r="R255" s="47">
        <f>RANK(Q255,$Q$4:$Q$260,0)</f>
        <v>161</v>
      </c>
      <c r="S255" s="48">
        <f ca="1">(E255+G255+I255+((N255+P255)/2))/4</f>
        <v>5.125</v>
      </c>
    </row>
    <row r="256" spans="1:19">
      <c r="A256" s="41">
        <v>10</v>
      </c>
      <c r="B256">
        <v>21024</v>
      </c>
      <c r="C256" t="s">
        <v>281</v>
      </c>
      <c r="D256" s="42">
        <v>51</v>
      </c>
      <c r="E256" s="43">
        <f ca="1">IF(D256="","",VLOOKUP(D256,INDIRECT($D$2&amp;6),2,TRUE))</f>
        <v>5</v>
      </c>
      <c r="F256" s="42">
        <v>54</v>
      </c>
      <c r="G256" s="43">
        <f ca="1">IF(F256="","",VLOOKUP(F256,INDIRECT($F$2&amp;6),2,TRUE))</f>
        <v>4</v>
      </c>
      <c r="H256" s="42">
        <v>64</v>
      </c>
      <c r="I256" s="43">
        <f ca="1">IF(H256="","",VLOOKUP(H256,INDIRECT($H$2&amp;6),2,TRUE))</f>
        <v>4</v>
      </c>
      <c r="J256" s="44">
        <f ca="1">(E256+G256+I256)/3</f>
        <v>4.333333333333333</v>
      </c>
      <c r="K256" s="45">
        <v>5</v>
      </c>
      <c r="L256" s="43">
        <f ca="1">IF(K256="","",VLOOKUP(K256,INDIRECT($K$2&amp;6),2,TRUE))</f>
        <v>8</v>
      </c>
      <c r="M256" s="42">
        <v>22.5</v>
      </c>
      <c r="N256" s="43">
        <f ca="1">IF(M256="","",VLOOKUP(M256,INDIRECT($M$2&amp;6),2,TRUE))</f>
        <v>5</v>
      </c>
      <c r="O256" s="42">
        <v>21</v>
      </c>
      <c r="P256" s="43">
        <f ca="1">IF(O256="","",VLOOKUP(O256,INDIRECT($O$2&amp;6),2,TRUE))</f>
        <v>5</v>
      </c>
      <c r="Q256" s="46">
        <f>D256+F256+H256+K256+M256+O256</f>
        <v>217.5</v>
      </c>
      <c r="R256" s="47">
        <f>RANK(Q256,$Q$4:$Q$260,0)</f>
        <v>138</v>
      </c>
      <c r="S256" s="48">
        <f ca="1">(E256+G256+I256+((N256+P256)/2))/4</f>
        <v>4.5</v>
      </c>
    </row>
    <row r="257" spans="1:19">
      <c r="A257" s="41">
        <v>10</v>
      </c>
      <c r="B257">
        <v>21025</v>
      </c>
      <c r="C257" t="s">
        <v>282</v>
      </c>
      <c r="D257" s="42">
        <v>62</v>
      </c>
      <c r="E257" s="43">
        <f ca="1">IF(D257="","",VLOOKUP(D257,INDIRECT($D$2&amp;6),2,TRUE))</f>
        <v>4</v>
      </c>
      <c r="F257" s="42">
        <v>41</v>
      </c>
      <c r="G257" s="43">
        <f ca="1">IF(F257="","",VLOOKUP(F257,INDIRECT($F$2&amp;6),2,TRUE))</f>
        <v>5</v>
      </c>
      <c r="H257" s="42">
        <v>64</v>
      </c>
      <c r="I257" s="43">
        <f ca="1">IF(H257="","",VLOOKUP(H257,INDIRECT($H$2&amp;6),2,TRUE))</f>
        <v>4</v>
      </c>
      <c r="J257" s="44">
        <f ca="1">(E257+G257+I257)/3</f>
        <v>4.333333333333333</v>
      </c>
      <c r="K257" s="45">
        <v>39</v>
      </c>
      <c r="L257" s="43">
        <f ca="1">IF(K257="","",VLOOKUP(K257,INDIRECT($K$2&amp;6),2,TRUE))</f>
        <v>2</v>
      </c>
      <c r="M257" s="42">
        <v>28.5</v>
      </c>
      <c r="N257" s="43">
        <f ca="1">IF(M257="","",VLOOKUP(M257,INDIRECT($M$2&amp;6),2,TRUE))</f>
        <v>4</v>
      </c>
      <c r="O257" s="42">
        <v>21</v>
      </c>
      <c r="P257" s="43">
        <f ca="1">IF(O257="","",VLOOKUP(O257,INDIRECT($O$2&amp;6),2,TRUE))</f>
        <v>5</v>
      </c>
      <c r="Q257" s="46">
        <f>D257+F257+H257+K257+M257+O257</f>
        <v>255.5</v>
      </c>
      <c r="R257" s="47">
        <f>RANK(Q257,$Q$4:$Q$260,0)</f>
        <v>102</v>
      </c>
      <c r="S257" s="48">
        <f ca="1">(E257+G257+I257+((N257+P257)/2))/4</f>
        <v>4.375</v>
      </c>
    </row>
    <row r="258" spans="1:19">
      <c r="A258" s="41">
        <v>10</v>
      </c>
      <c r="B258">
        <v>21026</v>
      </c>
      <c r="C258" t="s">
        <v>283</v>
      </c>
      <c r="D258" s="42">
        <v>45</v>
      </c>
      <c r="E258" s="43">
        <f ca="1">IF(D258="","",VLOOKUP(D258,INDIRECT($D$2&amp;6),2,TRUE))</f>
        <v>5</v>
      </c>
      <c r="F258" s="42">
        <v>65</v>
      </c>
      <c r="G258" s="43">
        <f ca="1">IF(F258="","",VLOOKUP(F258,INDIRECT($F$2&amp;6),2,TRUE))</f>
        <v>3</v>
      </c>
      <c r="H258" s="42">
        <v>53</v>
      </c>
      <c r="I258" s="43">
        <f ca="1">IF(H258="","",VLOOKUP(H258,INDIRECT($H$2&amp;6),2,TRUE))</f>
        <v>5</v>
      </c>
      <c r="J258" s="44">
        <f ca="1">(E258+G258+I258)/3</f>
        <v>4.333333333333333</v>
      </c>
      <c r="K258" s="45">
        <v>23</v>
      </c>
      <c r="L258" s="43">
        <f ca="1">IF(K258="","",VLOOKUP(K258,INDIRECT($K$2&amp;6),2,TRUE))</f>
        <v>5</v>
      </c>
      <c r="M258" s="42">
        <v>16.5</v>
      </c>
      <c r="N258" s="43">
        <f ca="1">IF(M258="","",VLOOKUP(M258,INDIRECT($M$2&amp;6),2,TRUE))</f>
        <v>6</v>
      </c>
      <c r="O258" s="42">
        <v>13.5</v>
      </c>
      <c r="P258" s="43">
        <f ca="1">IF(O258="","",VLOOKUP(O258,INDIRECT($O$2&amp;6),2,TRUE))</f>
        <v>6</v>
      </c>
      <c r="Q258" s="46">
        <f>D258+F258+H258+K258+M258+O258</f>
        <v>216</v>
      </c>
      <c r="R258" s="47">
        <f>RANK(Q258,$Q$4:$Q$260,0)</f>
        <v>141</v>
      </c>
      <c r="S258" s="48">
        <f ca="1">(E258+G258+I258+((N258+P258)/2))/4</f>
        <v>4.75</v>
      </c>
    </row>
  </sheetData>
  <autoFilter ref="A3:S258" xr:uid="{00000000-0009-0000-0000-000000000000}">
    <sortState xmlns:xlrd2="http://schemas.microsoft.com/office/spreadsheetml/2017/richdata2" ref="A5:S258">
      <sortCondition ref="B3:B258"/>
    </sortState>
  </autoFilter>
  <mergeCells count="45">
    <mergeCell ref="Z76:Z84"/>
    <mergeCell ref="AB27:AB28"/>
    <mergeCell ref="Z31:Z39"/>
    <mergeCell ref="Z40:Z48"/>
    <mergeCell ref="Z49:Z57"/>
    <mergeCell ref="Z58:Z66"/>
    <mergeCell ref="Z67:Z75"/>
    <mergeCell ref="AB16:AB17"/>
    <mergeCell ref="AC16:AC17"/>
    <mergeCell ref="AD16:AD17"/>
    <mergeCell ref="AE16:AE17"/>
    <mergeCell ref="U27:V28"/>
    <mergeCell ref="W27:W28"/>
    <mergeCell ref="X27:X28"/>
    <mergeCell ref="Y27:Y28"/>
    <mergeCell ref="Z27:Z28"/>
    <mergeCell ref="AA27:AA28"/>
    <mergeCell ref="U16:V17"/>
    <mergeCell ref="W16:W17"/>
    <mergeCell ref="X16:X17"/>
    <mergeCell ref="Y16:Y17"/>
    <mergeCell ref="Z16:Z17"/>
    <mergeCell ref="AA16:AA17"/>
    <mergeCell ref="W13:W14"/>
    <mergeCell ref="X13:X14"/>
    <mergeCell ref="Y13:Y14"/>
    <mergeCell ref="Z13:Z14"/>
    <mergeCell ref="AA13:AA14"/>
    <mergeCell ref="AB13:AB14"/>
    <mergeCell ref="O2:P2"/>
    <mergeCell ref="Q2:Q3"/>
    <mergeCell ref="R2:R3"/>
    <mergeCell ref="S2:S3"/>
    <mergeCell ref="U3:V3"/>
    <mergeCell ref="U13:V14"/>
    <mergeCell ref="A1:S1"/>
    <mergeCell ref="A2:A3"/>
    <mergeCell ref="B2:B3"/>
    <mergeCell ref="C2:C3"/>
    <mergeCell ref="D2:E2"/>
    <mergeCell ref="F2:G2"/>
    <mergeCell ref="H2:I2"/>
    <mergeCell ref="J2:J3"/>
    <mergeCell ref="K2:L2"/>
    <mergeCell ref="M2:N2"/>
  </mergeCells>
  <phoneticPr fontId="7" type="noConversion"/>
  <conditionalFormatting sqref="E1:E3 G1:I1 N1:N3 P1:P3 K1:L1 G3:I3 G2:H2 K3:L3 K2 E259:E1048576 G259:I1048576 N259:N1048576 P259:P1048576 K259:L1048576 H4:H258 K4:K258">
    <cfRule type="cellIs" dxfId="12" priority="13" operator="equal">
      <formula>1</formula>
    </cfRule>
  </conditionalFormatting>
  <conditionalFormatting sqref="E4:E258">
    <cfRule type="containsText" dxfId="11" priority="11" operator="containsText" text="2">
      <formula>NOT(ISERROR(SEARCH("2",E4)))</formula>
    </cfRule>
    <cfRule type="containsText" dxfId="10" priority="12" operator="containsText" text="1">
      <formula>NOT(ISERROR(SEARCH("1",E4)))</formula>
    </cfRule>
  </conditionalFormatting>
  <conditionalFormatting sqref="G4:G258">
    <cfRule type="containsText" dxfId="9" priority="9" operator="containsText" text="2">
      <formula>NOT(ISERROR(SEARCH("2",G4)))</formula>
    </cfRule>
    <cfRule type="containsText" dxfId="8" priority="10" operator="containsText" text="1">
      <formula>NOT(ISERROR(SEARCH("1",G4)))</formula>
    </cfRule>
  </conditionalFormatting>
  <conditionalFormatting sqref="I4:I258">
    <cfRule type="containsText" dxfId="7" priority="7" operator="containsText" text="2">
      <formula>NOT(ISERROR(SEARCH("2",I4)))</formula>
    </cfRule>
    <cfRule type="containsText" dxfId="6" priority="8" operator="containsText" text="1">
      <formula>NOT(ISERROR(SEARCH("1",I4)))</formula>
    </cfRule>
  </conditionalFormatting>
  <conditionalFormatting sqref="L4:L258">
    <cfRule type="containsText" dxfId="5" priority="5" operator="containsText" text="2">
      <formula>NOT(ISERROR(SEARCH("2",L4)))</formula>
    </cfRule>
    <cfRule type="containsText" dxfId="4" priority="6" operator="containsText" text="1">
      <formula>NOT(ISERROR(SEARCH("1",L4)))</formula>
    </cfRule>
  </conditionalFormatting>
  <conditionalFormatting sqref="N4:N258">
    <cfRule type="containsText" dxfId="3" priority="3" operator="containsText" text="2">
      <formula>NOT(ISERROR(SEARCH("2",N4)))</formula>
    </cfRule>
    <cfRule type="containsText" dxfId="2" priority="4" operator="containsText" text="1">
      <formula>NOT(ISERROR(SEARCH("1",N4)))</formula>
    </cfRule>
  </conditionalFormatting>
  <conditionalFormatting sqref="P4:P258">
    <cfRule type="containsText" dxfId="1" priority="1" operator="containsText" text="2">
      <formula>NOT(ISERROR(SEARCH("2",P4)))</formula>
    </cfRule>
    <cfRule type="containsText" dxfId="0" priority="2" operator="containsText" text="1">
      <formula>NOT(ISERROR(SEARCH("1",P4)))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2학년 6월 모의고사</vt:lpstr>
      <vt:lpstr>과학탐구6</vt:lpstr>
      <vt:lpstr>국어5</vt:lpstr>
      <vt:lpstr>국어6</vt:lpstr>
      <vt:lpstr>사회탐구6</vt:lpstr>
      <vt:lpstr>수학6</vt:lpstr>
      <vt:lpstr>영어6</vt:lpstr>
      <vt:lpstr>한국사6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윤영필</dc:creator>
  <cp:lastModifiedBy>윤영필</cp:lastModifiedBy>
  <dcterms:created xsi:type="dcterms:W3CDTF">2026-06-05T05:56:37Z</dcterms:created>
  <dcterms:modified xsi:type="dcterms:W3CDTF">2026-06-05T05:58:35Z</dcterms:modified>
</cp:coreProperties>
</file>