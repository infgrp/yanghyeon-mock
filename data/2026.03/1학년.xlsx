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16E4899-0547-47D8-BF0C-4106520D2C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월 성적 정보" sheetId="11" r:id="rId1"/>
    <sheet name="3월 등급 정보" sheetId="12" r:id="rId2"/>
  </sheets>
  <definedNames>
    <definedName name="_xlnm._FilterDatabase" localSheetId="0" hidden="1">'3월 성적 정보'!$AD$1:$AD$1000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44" i="11" l="1"/>
  <c r="AB244" i="11"/>
  <c r="X244" i="11"/>
  <c r="T244" i="11"/>
  <c r="P244" i="11"/>
  <c r="L244" i="11"/>
  <c r="H244" i="11"/>
  <c r="AC10" i="11"/>
  <c r="AB10" i="11"/>
  <c r="X10" i="11"/>
  <c r="T10" i="11"/>
  <c r="P10" i="11"/>
  <c r="L10" i="11"/>
  <c r="H10" i="11"/>
  <c r="AC33" i="11"/>
  <c r="AB33" i="11"/>
  <c r="X33" i="11"/>
  <c r="T33" i="11"/>
  <c r="P33" i="11"/>
  <c r="L33" i="11"/>
  <c r="H33" i="11"/>
  <c r="AC80" i="11"/>
  <c r="AB80" i="11"/>
  <c r="X80" i="11"/>
  <c r="T80" i="11"/>
  <c r="P80" i="11"/>
  <c r="L80" i="11"/>
  <c r="H80" i="11"/>
  <c r="AC162" i="11"/>
  <c r="AB162" i="11"/>
  <c r="X162" i="11"/>
  <c r="T162" i="11"/>
  <c r="P162" i="11"/>
  <c r="L162" i="11"/>
  <c r="H162" i="11"/>
  <c r="AC152" i="11"/>
  <c r="AB152" i="11"/>
  <c r="X152" i="11"/>
  <c r="T152" i="11"/>
  <c r="P152" i="11"/>
  <c r="L152" i="11"/>
  <c r="H152" i="11"/>
  <c r="AC60" i="11"/>
  <c r="AB60" i="11"/>
  <c r="X60" i="11"/>
  <c r="T60" i="11"/>
  <c r="P60" i="11"/>
  <c r="L60" i="11"/>
  <c r="H60" i="11"/>
  <c r="AC26" i="11"/>
  <c r="AB26" i="11"/>
  <c r="X26" i="11"/>
  <c r="T26" i="11"/>
  <c r="P26" i="11"/>
  <c r="L26" i="11"/>
  <c r="H26" i="11"/>
  <c r="AC160" i="11"/>
  <c r="AB160" i="11"/>
  <c r="X160" i="11"/>
  <c r="T160" i="11"/>
  <c r="P160" i="11"/>
  <c r="L160" i="11"/>
  <c r="H160" i="11"/>
  <c r="AC246" i="11"/>
  <c r="AB246" i="11"/>
  <c r="X246" i="11"/>
  <c r="T246" i="11"/>
  <c r="P246" i="11"/>
  <c r="L246" i="11"/>
  <c r="H246" i="11"/>
  <c r="AC242" i="11"/>
  <c r="AB242" i="11"/>
  <c r="X242" i="11"/>
  <c r="T242" i="11"/>
  <c r="P242" i="11"/>
  <c r="L242" i="11"/>
  <c r="H242" i="11"/>
  <c r="AC167" i="11"/>
  <c r="AB167" i="11"/>
  <c r="X167" i="11"/>
  <c r="T167" i="11"/>
  <c r="P167" i="11"/>
  <c r="L167" i="11"/>
  <c r="H167" i="11"/>
  <c r="AC202" i="11"/>
  <c r="AB202" i="11"/>
  <c r="X202" i="11"/>
  <c r="T202" i="11"/>
  <c r="P202" i="11"/>
  <c r="L202" i="11"/>
  <c r="H202" i="11"/>
  <c r="AC102" i="11"/>
  <c r="AB102" i="11"/>
  <c r="X102" i="11"/>
  <c r="T102" i="11"/>
  <c r="P102" i="11"/>
  <c r="L102" i="11"/>
  <c r="H102" i="11"/>
  <c r="AC164" i="11"/>
  <c r="AB164" i="11"/>
  <c r="X164" i="11"/>
  <c r="T164" i="11"/>
  <c r="P164" i="11"/>
  <c r="L164" i="11"/>
  <c r="H164" i="11"/>
  <c r="AC265" i="11"/>
  <c r="AB265" i="11"/>
  <c r="X265" i="11"/>
  <c r="T265" i="11"/>
  <c r="P265" i="11"/>
  <c r="L265" i="11"/>
  <c r="H265" i="11"/>
  <c r="AC109" i="11"/>
  <c r="AB109" i="11"/>
  <c r="X109" i="11"/>
  <c r="T109" i="11"/>
  <c r="P109" i="11"/>
  <c r="L109" i="11"/>
  <c r="H109" i="11"/>
  <c r="AC56" i="11"/>
  <c r="AB56" i="11"/>
  <c r="X56" i="11"/>
  <c r="T56" i="11"/>
  <c r="P56" i="11"/>
  <c r="L56" i="11"/>
  <c r="H56" i="11"/>
  <c r="AC263" i="11"/>
  <c r="AB263" i="11"/>
  <c r="X263" i="11"/>
  <c r="T263" i="11"/>
  <c r="P263" i="11"/>
  <c r="L263" i="11"/>
  <c r="H263" i="11"/>
  <c r="AC31" i="11"/>
  <c r="AB31" i="11"/>
  <c r="X31" i="11"/>
  <c r="T31" i="11"/>
  <c r="P31" i="11"/>
  <c r="L31" i="11"/>
  <c r="H31" i="11"/>
  <c r="AC269" i="11"/>
  <c r="AB269" i="11"/>
  <c r="X269" i="11"/>
  <c r="T269" i="11"/>
  <c r="P269" i="11"/>
  <c r="L269" i="11"/>
  <c r="H269" i="11"/>
  <c r="AC207" i="11"/>
  <c r="AB207" i="11"/>
  <c r="X207" i="11"/>
  <c r="T207" i="11"/>
  <c r="P207" i="11"/>
  <c r="L207" i="11"/>
  <c r="H207" i="11"/>
  <c r="AC201" i="11"/>
  <c r="AB201" i="11"/>
  <c r="X201" i="11"/>
  <c r="T201" i="11"/>
  <c r="P201" i="11"/>
  <c r="L201" i="11"/>
  <c r="H201" i="11"/>
  <c r="AC146" i="11"/>
  <c r="AB146" i="11"/>
  <c r="X146" i="11"/>
  <c r="T146" i="11"/>
  <c r="P146" i="11"/>
  <c r="L146" i="11"/>
  <c r="H146" i="11"/>
  <c r="AC231" i="11"/>
  <c r="AB231" i="11"/>
  <c r="X231" i="11"/>
  <c r="T231" i="11"/>
  <c r="P231" i="11"/>
  <c r="L231" i="11"/>
  <c r="H231" i="11"/>
  <c r="AC215" i="11"/>
  <c r="AB215" i="11"/>
  <c r="X215" i="11"/>
  <c r="T215" i="11"/>
  <c r="P215" i="11"/>
  <c r="L215" i="11"/>
  <c r="H215" i="11"/>
  <c r="AC206" i="11"/>
  <c r="AB206" i="11"/>
  <c r="X206" i="11"/>
  <c r="T206" i="11"/>
  <c r="P206" i="11"/>
  <c r="L206" i="11"/>
  <c r="H206" i="11"/>
  <c r="AC37" i="11"/>
  <c r="AB37" i="11"/>
  <c r="X37" i="11"/>
  <c r="T37" i="11"/>
  <c r="P37" i="11"/>
  <c r="L37" i="11"/>
  <c r="H37" i="11"/>
  <c r="AC69" i="11"/>
  <c r="AB69" i="11"/>
  <c r="X69" i="11"/>
  <c r="T69" i="11"/>
  <c r="P69" i="11"/>
  <c r="L69" i="11"/>
  <c r="H69" i="11"/>
  <c r="AC120" i="11"/>
  <c r="AB120" i="11"/>
  <c r="X120" i="11"/>
  <c r="T120" i="11"/>
  <c r="P120" i="11"/>
  <c r="L120" i="11"/>
  <c r="H120" i="11"/>
  <c r="AC229" i="11"/>
  <c r="AB229" i="11"/>
  <c r="X229" i="11"/>
  <c r="T229" i="11"/>
  <c r="P229" i="11"/>
  <c r="L229" i="11"/>
  <c r="H229" i="11"/>
  <c r="AC91" i="11"/>
  <c r="AB91" i="11"/>
  <c r="X91" i="11"/>
  <c r="T91" i="11"/>
  <c r="P91" i="11"/>
  <c r="L91" i="11"/>
  <c r="H91" i="11"/>
  <c r="AC179" i="11"/>
  <c r="AB179" i="11"/>
  <c r="X179" i="11"/>
  <c r="T179" i="11"/>
  <c r="P179" i="11"/>
  <c r="L179" i="11"/>
  <c r="H179" i="11"/>
  <c r="AC115" i="11"/>
  <c r="AB115" i="11"/>
  <c r="X115" i="11"/>
  <c r="T115" i="11"/>
  <c r="P115" i="11"/>
  <c r="L115" i="11"/>
  <c r="H115" i="11"/>
  <c r="AC96" i="11"/>
  <c r="AB96" i="11"/>
  <c r="X96" i="11"/>
  <c r="T96" i="11"/>
  <c r="P96" i="11"/>
  <c r="L96" i="11"/>
  <c r="H96" i="11"/>
  <c r="AC248" i="11"/>
  <c r="AB248" i="11"/>
  <c r="X248" i="11"/>
  <c r="T248" i="11"/>
  <c r="P248" i="11"/>
  <c r="L248" i="11"/>
  <c r="H248" i="11"/>
  <c r="AC154" i="11"/>
  <c r="AB154" i="11"/>
  <c r="X154" i="11"/>
  <c r="T154" i="11"/>
  <c r="P154" i="11"/>
  <c r="L154" i="11"/>
  <c r="H154" i="11"/>
  <c r="AC116" i="11"/>
  <c r="AB116" i="11"/>
  <c r="X116" i="11"/>
  <c r="T116" i="11"/>
  <c r="P116" i="11"/>
  <c r="L116" i="11"/>
  <c r="H116" i="11"/>
  <c r="AC129" i="11"/>
  <c r="AB129" i="11"/>
  <c r="X129" i="11"/>
  <c r="T129" i="11"/>
  <c r="P129" i="11"/>
  <c r="L129" i="11"/>
  <c r="H129" i="11"/>
  <c r="AC252" i="11"/>
  <c r="AB252" i="11"/>
  <c r="X252" i="11"/>
  <c r="T252" i="11"/>
  <c r="P252" i="11"/>
  <c r="L252" i="11"/>
  <c r="H252" i="11"/>
  <c r="AC220" i="11"/>
  <c r="AB220" i="11"/>
  <c r="X220" i="11"/>
  <c r="T220" i="11"/>
  <c r="P220" i="11"/>
  <c r="L220" i="11"/>
  <c r="H220" i="11"/>
  <c r="AC78" i="11"/>
  <c r="AB78" i="11"/>
  <c r="X78" i="11"/>
  <c r="T78" i="11"/>
  <c r="P78" i="11"/>
  <c r="L78" i="11"/>
  <c r="H78" i="11"/>
  <c r="AC151" i="11"/>
  <c r="AB151" i="11"/>
  <c r="X151" i="11"/>
  <c r="T151" i="11"/>
  <c r="P151" i="11"/>
  <c r="L151" i="11"/>
  <c r="H151" i="11"/>
  <c r="AC196" i="11"/>
  <c r="AB196" i="11"/>
  <c r="X196" i="11"/>
  <c r="T196" i="11"/>
  <c r="P196" i="11"/>
  <c r="L196" i="11"/>
  <c r="H196" i="11"/>
  <c r="AC42" i="11"/>
  <c r="AB42" i="11"/>
  <c r="X42" i="11"/>
  <c r="T42" i="11"/>
  <c r="P42" i="11"/>
  <c r="L42" i="11"/>
  <c r="H42" i="11"/>
  <c r="AC6" i="11"/>
  <c r="AB6" i="11"/>
  <c r="X6" i="11"/>
  <c r="T6" i="11"/>
  <c r="P6" i="11"/>
  <c r="L6" i="11"/>
  <c r="H6" i="11"/>
  <c r="AC155" i="11"/>
  <c r="AB155" i="11"/>
  <c r="X155" i="11"/>
  <c r="T155" i="11"/>
  <c r="P155" i="11"/>
  <c r="L155" i="11"/>
  <c r="H155" i="11"/>
  <c r="AC53" i="11"/>
  <c r="AB53" i="11"/>
  <c r="X53" i="11"/>
  <c r="T53" i="11"/>
  <c r="P53" i="11"/>
  <c r="L53" i="11"/>
  <c r="H53" i="11"/>
  <c r="AC214" i="11"/>
  <c r="AB214" i="11"/>
  <c r="X214" i="11"/>
  <c r="T214" i="11"/>
  <c r="P214" i="11"/>
  <c r="L214" i="11"/>
  <c r="H214" i="11"/>
  <c r="AC65" i="11"/>
  <c r="AB65" i="11"/>
  <c r="X65" i="11"/>
  <c r="T65" i="11"/>
  <c r="P65" i="11"/>
  <c r="L65" i="11"/>
  <c r="H65" i="11"/>
  <c r="AC223" i="11"/>
  <c r="AB223" i="11"/>
  <c r="X223" i="11"/>
  <c r="T223" i="11"/>
  <c r="P223" i="11"/>
  <c r="L223" i="11"/>
  <c r="H223" i="11"/>
  <c r="AC187" i="11"/>
  <c r="AB187" i="11"/>
  <c r="X187" i="11"/>
  <c r="T187" i="11"/>
  <c r="P187" i="11"/>
  <c r="L187" i="11"/>
  <c r="H187" i="11"/>
  <c r="AC57" i="11"/>
  <c r="AB57" i="11"/>
  <c r="X57" i="11"/>
  <c r="T57" i="11"/>
  <c r="P57" i="11"/>
  <c r="L57" i="11"/>
  <c r="H57" i="11"/>
  <c r="AC104" i="11"/>
  <c r="AB104" i="11"/>
  <c r="X104" i="11"/>
  <c r="T104" i="11"/>
  <c r="P104" i="11"/>
  <c r="L104" i="11"/>
  <c r="H104" i="11"/>
  <c r="AC228" i="11"/>
  <c r="AB228" i="11"/>
  <c r="X228" i="11"/>
  <c r="T228" i="11"/>
  <c r="P228" i="11"/>
  <c r="L228" i="11"/>
  <c r="H228" i="11"/>
  <c r="AC7" i="11"/>
  <c r="AB7" i="11"/>
  <c r="X7" i="11"/>
  <c r="T7" i="11"/>
  <c r="P7" i="11"/>
  <c r="L7" i="11"/>
  <c r="H7" i="11"/>
  <c r="AC227" i="11"/>
  <c r="AB227" i="11"/>
  <c r="X227" i="11"/>
  <c r="T227" i="11"/>
  <c r="P227" i="11"/>
  <c r="L227" i="11"/>
  <c r="H227" i="11"/>
  <c r="AC108" i="11"/>
  <c r="AB108" i="11"/>
  <c r="X108" i="11"/>
  <c r="T108" i="11"/>
  <c r="P108" i="11"/>
  <c r="L108" i="11"/>
  <c r="H108" i="11"/>
  <c r="AC48" i="11"/>
  <c r="AB48" i="11"/>
  <c r="X48" i="11"/>
  <c r="T48" i="11"/>
  <c r="P48" i="11"/>
  <c r="L48" i="11"/>
  <c r="H48" i="11"/>
  <c r="AC271" i="11"/>
  <c r="AB271" i="11"/>
  <c r="X271" i="11"/>
  <c r="T271" i="11"/>
  <c r="P271" i="11"/>
  <c r="L271" i="11"/>
  <c r="H271" i="11"/>
  <c r="AC253" i="11"/>
  <c r="AB253" i="11"/>
  <c r="X253" i="11"/>
  <c r="T253" i="11"/>
  <c r="P253" i="11"/>
  <c r="L253" i="11"/>
  <c r="H253" i="11"/>
  <c r="AC178" i="11"/>
  <c r="AB178" i="11"/>
  <c r="X178" i="11"/>
  <c r="T178" i="11"/>
  <c r="P178" i="11"/>
  <c r="L178" i="11"/>
  <c r="H178" i="11"/>
  <c r="AC213" i="11"/>
  <c r="AB213" i="11"/>
  <c r="X213" i="11"/>
  <c r="T213" i="11"/>
  <c r="P213" i="11"/>
  <c r="L213" i="11"/>
  <c r="H213" i="11"/>
  <c r="AC174" i="11"/>
  <c r="AB174" i="11"/>
  <c r="X174" i="11"/>
  <c r="T174" i="11"/>
  <c r="P174" i="11"/>
  <c r="L174" i="11"/>
  <c r="H174" i="11"/>
  <c r="AC237" i="11"/>
  <c r="AB237" i="11"/>
  <c r="X237" i="11"/>
  <c r="T237" i="11"/>
  <c r="P237" i="11"/>
  <c r="L237" i="11"/>
  <c r="H237" i="11"/>
  <c r="AC134" i="11"/>
  <c r="AB134" i="11"/>
  <c r="X134" i="11"/>
  <c r="T134" i="11"/>
  <c r="P134" i="11"/>
  <c r="L134" i="11"/>
  <c r="H134" i="11"/>
  <c r="AC181" i="11"/>
  <c r="AB181" i="11"/>
  <c r="X181" i="11"/>
  <c r="T181" i="11"/>
  <c r="P181" i="11"/>
  <c r="L181" i="11"/>
  <c r="H181" i="11"/>
  <c r="AC98" i="11"/>
  <c r="AB98" i="11"/>
  <c r="X98" i="11"/>
  <c r="T98" i="11"/>
  <c r="P98" i="11"/>
  <c r="L98" i="11"/>
  <c r="H98" i="11"/>
  <c r="AC14" i="11"/>
  <c r="AB14" i="11"/>
  <c r="X14" i="11"/>
  <c r="T14" i="11"/>
  <c r="P14" i="11"/>
  <c r="L14" i="11"/>
  <c r="H14" i="11"/>
  <c r="AC46" i="11"/>
  <c r="AB46" i="11"/>
  <c r="X46" i="11"/>
  <c r="T46" i="11"/>
  <c r="P46" i="11"/>
  <c r="L46" i="11"/>
  <c r="H46" i="11"/>
  <c r="AC262" i="11"/>
  <c r="AB262" i="11"/>
  <c r="X262" i="11"/>
  <c r="T262" i="11"/>
  <c r="P262" i="11"/>
  <c r="L262" i="11"/>
  <c r="H262" i="11"/>
  <c r="AC118" i="11"/>
  <c r="AB118" i="11"/>
  <c r="X118" i="11"/>
  <c r="T118" i="11"/>
  <c r="P118" i="11"/>
  <c r="L118" i="11"/>
  <c r="H118" i="11"/>
  <c r="AC59" i="11"/>
  <c r="AB59" i="11"/>
  <c r="X59" i="11"/>
  <c r="T59" i="11"/>
  <c r="P59" i="11"/>
  <c r="L59" i="11"/>
  <c r="H59" i="11"/>
  <c r="AC166" i="11"/>
  <c r="AB166" i="11"/>
  <c r="X166" i="11"/>
  <c r="T166" i="11"/>
  <c r="P166" i="11"/>
  <c r="L166" i="11"/>
  <c r="H166" i="11"/>
  <c r="AC119" i="11"/>
  <c r="AB119" i="11"/>
  <c r="X119" i="11"/>
  <c r="T119" i="11"/>
  <c r="P119" i="11"/>
  <c r="L119" i="11"/>
  <c r="H119" i="11"/>
  <c r="AC251" i="11"/>
  <c r="AB251" i="11"/>
  <c r="X251" i="11"/>
  <c r="T251" i="11"/>
  <c r="P251" i="11"/>
  <c r="L251" i="11"/>
  <c r="H251" i="11"/>
  <c r="AC84" i="11"/>
  <c r="AB84" i="11"/>
  <c r="X84" i="11"/>
  <c r="T84" i="11"/>
  <c r="P84" i="11"/>
  <c r="L84" i="11"/>
  <c r="H84" i="11"/>
  <c r="AC247" i="11"/>
  <c r="AB247" i="11"/>
  <c r="X247" i="11"/>
  <c r="T247" i="11"/>
  <c r="P247" i="11"/>
  <c r="L247" i="11"/>
  <c r="H247" i="11"/>
  <c r="AC63" i="11"/>
  <c r="AB63" i="11"/>
  <c r="X63" i="11"/>
  <c r="T63" i="11"/>
  <c r="P63" i="11"/>
  <c r="L63" i="11"/>
  <c r="H63" i="11"/>
  <c r="AC219" i="11"/>
  <c r="AB219" i="11"/>
  <c r="X219" i="11"/>
  <c r="T219" i="11"/>
  <c r="P219" i="11"/>
  <c r="L219" i="11"/>
  <c r="H219" i="11"/>
  <c r="AC158" i="11"/>
  <c r="AB158" i="11"/>
  <c r="X158" i="11"/>
  <c r="T158" i="11"/>
  <c r="P158" i="11"/>
  <c r="L158" i="11"/>
  <c r="H158" i="11"/>
  <c r="AC137" i="11"/>
  <c r="AB137" i="11"/>
  <c r="X137" i="11"/>
  <c r="T137" i="11"/>
  <c r="P137" i="11"/>
  <c r="L137" i="11"/>
  <c r="H137" i="11"/>
  <c r="AC75" i="11"/>
  <c r="AB75" i="11"/>
  <c r="X75" i="11"/>
  <c r="T75" i="11"/>
  <c r="P75" i="11"/>
  <c r="L75" i="11"/>
  <c r="H75" i="11"/>
  <c r="AC73" i="11"/>
  <c r="AB73" i="11"/>
  <c r="X73" i="11"/>
  <c r="T73" i="11"/>
  <c r="P73" i="11"/>
  <c r="L73" i="11"/>
  <c r="H73" i="11"/>
  <c r="AC198" i="11"/>
  <c r="AB198" i="11"/>
  <c r="X198" i="11"/>
  <c r="T198" i="11"/>
  <c r="P198" i="11"/>
  <c r="L198" i="11"/>
  <c r="H198" i="11"/>
  <c r="AC44" i="11"/>
  <c r="AB44" i="11"/>
  <c r="X44" i="11"/>
  <c r="T44" i="11"/>
  <c r="P44" i="11"/>
  <c r="L44" i="11"/>
  <c r="H44" i="11"/>
  <c r="AC199" i="11"/>
  <c r="AB199" i="11"/>
  <c r="X199" i="11"/>
  <c r="T199" i="11"/>
  <c r="P199" i="11"/>
  <c r="L199" i="11"/>
  <c r="H199" i="11"/>
  <c r="AC273" i="11"/>
  <c r="AB273" i="11"/>
  <c r="X273" i="11"/>
  <c r="T273" i="11"/>
  <c r="P273" i="11"/>
  <c r="L273" i="11"/>
  <c r="H273" i="11"/>
  <c r="AC15" i="11"/>
  <c r="AB15" i="11"/>
  <c r="X15" i="11"/>
  <c r="T15" i="11"/>
  <c r="P15" i="11"/>
  <c r="L15" i="11"/>
  <c r="H15" i="11"/>
  <c r="AC260" i="11"/>
  <c r="AB260" i="11"/>
  <c r="X260" i="11"/>
  <c r="T260" i="11"/>
  <c r="P260" i="11"/>
  <c r="L260" i="11"/>
  <c r="H260" i="11"/>
  <c r="AC133" i="11"/>
  <c r="AB133" i="11"/>
  <c r="X133" i="11"/>
  <c r="T133" i="11"/>
  <c r="P133" i="11"/>
  <c r="L133" i="11"/>
  <c r="H133" i="11"/>
  <c r="AC100" i="11"/>
  <c r="AB100" i="11"/>
  <c r="X100" i="11"/>
  <c r="T100" i="11"/>
  <c r="P100" i="11"/>
  <c r="L100" i="11"/>
  <c r="H100" i="11"/>
  <c r="AC249" i="11"/>
  <c r="AB249" i="11"/>
  <c r="X249" i="11"/>
  <c r="T249" i="11"/>
  <c r="P249" i="11"/>
  <c r="L249" i="11"/>
  <c r="H249" i="11"/>
  <c r="AC94" i="11"/>
  <c r="AB94" i="11"/>
  <c r="X94" i="11"/>
  <c r="T94" i="11"/>
  <c r="P94" i="11"/>
  <c r="L94" i="11"/>
  <c r="H94" i="11"/>
  <c r="AC90" i="11"/>
  <c r="AB90" i="11"/>
  <c r="X90" i="11"/>
  <c r="T90" i="11"/>
  <c r="P90" i="11"/>
  <c r="L90" i="11"/>
  <c r="H90" i="11"/>
  <c r="AC71" i="11"/>
  <c r="AB71" i="11"/>
  <c r="X71" i="11"/>
  <c r="T71" i="11"/>
  <c r="P71" i="11"/>
  <c r="L71" i="11"/>
  <c r="H71" i="11"/>
  <c r="AC239" i="11"/>
  <c r="AB239" i="11"/>
  <c r="X239" i="11"/>
  <c r="T239" i="11"/>
  <c r="P239" i="11"/>
  <c r="L239" i="11"/>
  <c r="H239" i="11"/>
  <c r="AC190" i="11"/>
  <c r="AB190" i="11"/>
  <c r="X190" i="11"/>
  <c r="T190" i="11"/>
  <c r="P190" i="11"/>
  <c r="L190" i="11"/>
  <c r="H190" i="11"/>
  <c r="AC9" i="11"/>
  <c r="AB9" i="11"/>
  <c r="X9" i="11"/>
  <c r="T9" i="11"/>
  <c r="P9" i="11"/>
  <c r="L9" i="11"/>
  <c r="H9" i="11"/>
  <c r="AC205" i="11"/>
  <c r="AB205" i="11"/>
  <c r="X205" i="11"/>
  <c r="T205" i="11"/>
  <c r="P205" i="11"/>
  <c r="L205" i="11"/>
  <c r="H205" i="11"/>
  <c r="AC132" i="11"/>
  <c r="AB132" i="11"/>
  <c r="X132" i="11"/>
  <c r="T132" i="11"/>
  <c r="P132" i="11"/>
  <c r="L132" i="11"/>
  <c r="H132" i="11"/>
  <c r="AC163" i="11"/>
  <c r="AB163" i="11"/>
  <c r="X163" i="11"/>
  <c r="T163" i="11"/>
  <c r="P163" i="11"/>
  <c r="L163" i="11"/>
  <c r="H163" i="11"/>
  <c r="AC55" i="11"/>
  <c r="AB55" i="11"/>
  <c r="X55" i="11"/>
  <c r="T55" i="11"/>
  <c r="P55" i="11"/>
  <c r="L55" i="11"/>
  <c r="H55" i="11"/>
  <c r="AC170" i="11"/>
  <c r="AB170" i="11"/>
  <c r="X170" i="11"/>
  <c r="T170" i="11"/>
  <c r="P170" i="11"/>
  <c r="L170" i="11"/>
  <c r="H170" i="11"/>
  <c r="AC140" i="11"/>
  <c r="AB140" i="11"/>
  <c r="X140" i="11"/>
  <c r="T140" i="11"/>
  <c r="P140" i="11"/>
  <c r="L140" i="11"/>
  <c r="H140" i="11"/>
  <c r="AC200" i="11"/>
  <c r="AB200" i="11"/>
  <c r="X200" i="11"/>
  <c r="T200" i="11"/>
  <c r="P200" i="11"/>
  <c r="L200" i="11"/>
  <c r="H200" i="11"/>
  <c r="AC142" i="11"/>
  <c r="AB142" i="11"/>
  <c r="X142" i="11"/>
  <c r="T142" i="11"/>
  <c r="P142" i="11"/>
  <c r="L142" i="11"/>
  <c r="H142" i="11"/>
  <c r="AC149" i="11"/>
  <c r="AB149" i="11"/>
  <c r="X149" i="11"/>
  <c r="T149" i="11"/>
  <c r="P149" i="11"/>
  <c r="L149" i="11"/>
  <c r="H149" i="11"/>
  <c r="AC210" i="11"/>
  <c r="AB210" i="11"/>
  <c r="X210" i="11"/>
  <c r="T210" i="11"/>
  <c r="P210" i="11"/>
  <c r="L210" i="11"/>
  <c r="H210" i="11"/>
  <c r="AC221" i="11"/>
  <c r="AB221" i="11"/>
  <c r="X221" i="11"/>
  <c r="T221" i="11"/>
  <c r="P221" i="11"/>
  <c r="L221" i="11"/>
  <c r="H221" i="11"/>
  <c r="AC5" i="11"/>
  <c r="AB5" i="11"/>
  <c r="X5" i="11"/>
  <c r="T5" i="11"/>
  <c r="P5" i="11"/>
  <c r="L5" i="11"/>
  <c r="H5" i="11"/>
  <c r="AC131" i="11"/>
  <c r="AB131" i="11"/>
  <c r="X131" i="11"/>
  <c r="T131" i="11"/>
  <c r="P131" i="11"/>
  <c r="L131" i="11"/>
  <c r="H131" i="11"/>
  <c r="AC11" i="11"/>
  <c r="AB11" i="11"/>
  <c r="X11" i="11"/>
  <c r="T11" i="11"/>
  <c r="P11" i="11"/>
  <c r="L11" i="11"/>
  <c r="H11" i="11"/>
  <c r="AC191" i="11"/>
  <c r="AB191" i="11"/>
  <c r="X191" i="11"/>
  <c r="T191" i="11"/>
  <c r="P191" i="11"/>
  <c r="L191" i="11"/>
  <c r="H191" i="11"/>
  <c r="AC177" i="11"/>
  <c r="AB177" i="11"/>
  <c r="X177" i="11"/>
  <c r="T177" i="11"/>
  <c r="P177" i="11"/>
  <c r="L177" i="11"/>
  <c r="H177" i="11"/>
  <c r="AC268" i="11"/>
  <c r="AB268" i="11"/>
  <c r="X268" i="11"/>
  <c r="T268" i="11"/>
  <c r="P268" i="11"/>
  <c r="L268" i="11"/>
  <c r="H268" i="11"/>
  <c r="AC272" i="11"/>
  <c r="AB272" i="11"/>
  <c r="X272" i="11"/>
  <c r="T272" i="11"/>
  <c r="P272" i="11"/>
  <c r="L272" i="11"/>
  <c r="H272" i="11"/>
  <c r="AC139" i="11"/>
  <c r="AB139" i="11"/>
  <c r="X139" i="11"/>
  <c r="T139" i="11"/>
  <c r="P139" i="11"/>
  <c r="L139" i="11"/>
  <c r="H139" i="11"/>
  <c r="AC257" i="11"/>
  <c r="AB257" i="11"/>
  <c r="X257" i="11"/>
  <c r="T257" i="11"/>
  <c r="P257" i="11"/>
  <c r="L257" i="11"/>
  <c r="H257" i="11"/>
  <c r="AC150" i="11"/>
  <c r="AB150" i="11"/>
  <c r="X150" i="11"/>
  <c r="T150" i="11"/>
  <c r="P150" i="11"/>
  <c r="L150" i="11"/>
  <c r="H150" i="11"/>
  <c r="AC62" i="11"/>
  <c r="AB62" i="11"/>
  <c r="X62" i="11"/>
  <c r="T62" i="11"/>
  <c r="P62" i="11"/>
  <c r="L62" i="11"/>
  <c r="H62" i="11"/>
  <c r="AC127" i="11"/>
  <c r="AB127" i="11"/>
  <c r="X127" i="11"/>
  <c r="T127" i="11"/>
  <c r="P127" i="11"/>
  <c r="L127" i="11"/>
  <c r="H127" i="11"/>
  <c r="AC35" i="11"/>
  <c r="AB35" i="11"/>
  <c r="X35" i="11"/>
  <c r="T35" i="11"/>
  <c r="P35" i="11"/>
  <c r="L35" i="11"/>
  <c r="H35" i="11"/>
  <c r="AC29" i="11"/>
  <c r="AB29" i="11"/>
  <c r="X29" i="11"/>
  <c r="T29" i="11"/>
  <c r="P29" i="11"/>
  <c r="L29" i="11"/>
  <c r="H29" i="11"/>
  <c r="AC236" i="11"/>
  <c r="AB236" i="11"/>
  <c r="X236" i="11"/>
  <c r="T236" i="11"/>
  <c r="P236" i="11"/>
  <c r="L236" i="11"/>
  <c r="H236" i="11"/>
  <c r="AC81" i="11"/>
  <c r="AB81" i="11"/>
  <c r="X81" i="11"/>
  <c r="T81" i="11"/>
  <c r="P81" i="11"/>
  <c r="L81" i="11"/>
  <c r="H81" i="11"/>
  <c r="AC148" i="11"/>
  <c r="AB148" i="11"/>
  <c r="X148" i="11"/>
  <c r="T148" i="11"/>
  <c r="P148" i="11"/>
  <c r="L148" i="11"/>
  <c r="H148" i="11"/>
  <c r="AC224" i="11"/>
  <c r="AB224" i="11"/>
  <c r="X224" i="11"/>
  <c r="T224" i="11"/>
  <c r="P224" i="11"/>
  <c r="L224" i="11"/>
  <c r="H224" i="11"/>
  <c r="AC161" i="11"/>
  <c r="AB161" i="11"/>
  <c r="X161" i="11"/>
  <c r="T161" i="11"/>
  <c r="P161" i="11"/>
  <c r="L161" i="11"/>
  <c r="H161" i="11"/>
  <c r="AC204" i="11"/>
  <c r="AB204" i="11"/>
  <c r="X204" i="11"/>
  <c r="T204" i="11"/>
  <c r="P204" i="11"/>
  <c r="L204" i="11"/>
  <c r="H204" i="11"/>
  <c r="AC258" i="11"/>
  <c r="AB258" i="11"/>
  <c r="X258" i="11"/>
  <c r="T258" i="11"/>
  <c r="P258" i="11"/>
  <c r="L258" i="11"/>
  <c r="H258" i="11"/>
  <c r="AC173" i="11"/>
  <c r="AB173" i="11"/>
  <c r="X173" i="11"/>
  <c r="T173" i="11"/>
  <c r="P173" i="11"/>
  <c r="L173" i="11"/>
  <c r="H173" i="11"/>
  <c r="AC172" i="11"/>
  <c r="AB172" i="11"/>
  <c r="X172" i="11"/>
  <c r="T172" i="11"/>
  <c r="P172" i="11"/>
  <c r="L172" i="11"/>
  <c r="H172" i="11"/>
  <c r="AC13" i="11"/>
  <c r="AB13" i="11"/>
  <c r="X13" i="11"/>
  <c r="T13" i="11"/>
  <c r="P13" i="11"/>
  <c r="L13" i="11"/>
  <c r="H13" i="11"/>
  <c r="AC186" i="11"/>
  <c r="AB186" i="11"/>
  <c r="X186" i="11"/>
  <c r="T186" i="11"/>
  <c r="P186" i="11"/>
  <c r="L186" i="11"/>
  <c r="H186" i="11"/>
  <c r="AC250" i="11"/>
  <c r="AB250" i="11"/>
  <c r="X250" i="11"/>
  <c r="T250" i="11"/>
  <c r="P250" i="11"/>
  <c r="L250" i="11"/>
  <c r="H250" i="11"/>
  <c r="AC64" i="11"/>
  <c r="AB64" i="11"/>
  <c r="X64" i="11"/>
  <c r="T64" i="11"/>
  <c r="P64" i="11"/>
  <c r="L64" i="11"/>
  <c r="H64" i="11"/>
  <c r="AC123" i="11"/>
  <c r="AB123" i="11"/>
  <c r="X123" i="11"/>
  <c r="T123" i="11"/>
  <c r="P123" i="11"/>
  <c r="L123" i="11"/>
  <c r="H123" i="11"/>
  <c r="AC113" i="11"/>
  <c r="AB113" i="11"/>
  <c r="X113" i="11"/>
  <c r="T113" i="11"/>
  <c r="P113" i="11"/>
  <c r="L113" i="11"/>
  <c r="H113" i="11"/>
  <c r="AC168" i="11"/>
  <c r="AB168" i="11"/>
  <c r="X168" i="11"/>
  <c r="T168" i="11"/>
  <c r="P168" i="11"/>
  <c r="L168" i="11"/>
  <c r="H168" i="11"/>
  <c r="AC255" i="11"/>
  <c r="AB255" i="11"/>
  <c r="X255" i="11"/>
  <c r="T255" i="11"/>
  <c r="P255" i="11"/>
  <c r="L255" i="11"/>
  <c r="H255" i="11"/>
  <c r="AC68" i="11"/>
  <c r="AB68" i="11"/>
  <c r="X68" i="11"/>
  <c r="T68" i="11"/>
  <c r="P68" i="11"/>
  <c r="L68" i="11"/>
  <c r="H68" i="11"/>
  <c r="AC49" i="11"/>
  <c r="AB49" i="11"/>
  <c r="X49" i="11"/>
  <c r="T49" i="11"/>
  <c r="P49" i="11"/>
  <c r="L49" i="11"/>
  <c r="H49" i="11"/>
  <c r="AC270" i="11"/>
  <c r="AB270" i="11"/>
  <c r="X270" i="11"/>
  <c r="T270" i="11"/>
  <c r="P270" i="11"/>
  <c r="L270" i="11"/>
  <c r="H270" i="11"/>
  <c r="AC259" i="11"/>
  <c r="AB259" i="11"/>
  <c r="X259" i="11"/>
  <c r="T259" i="11"/>
  <c r="P259" i="11"/>
  <c r="L259" i="11"/>
  <c r="H259" i="11"/>
  <c r="AC54" i="11"/>
  <c r="AB54" i="11"/>
  <c r="X54" i="11"/>
  <c r="T54" i="11"/>
  <c r="P54" i="11"/>
  <c r="L54" i="11"/>
  <c r="H54" i="11"/>
  <c r="AC32" i="11"/>
  <c r="AB32" i="11"/>
  <c r="X32" i="11"/>
  <c r="T32" i="11"/>
  <c r="P32" i="11"/>
  <c r="L32" i="11"/>
  <c r="H32" i="11"/>
  <c r="AC83" i="11"/>
  <c r="AB83" i="11"/>
  <c r="X83" i="11"/>
  <c r="T83" i="11"/>
  <c r="P83" i="11"/>
  <c r="L83" i="11"/>
  <c r="H83" i="11"/>
  <c r="AC189" i="11"/>
  <c r="AB189" i="11"/>
  <c r="X189" i="11"/>
  <c r="T189" i="11"/>
  <c r="P189" i="11"/>
  <c r="L189" i="11"/>
  <c r="H189" i="11"/>
  <c r="AC114" i="11"/>
  <c r="AB114" i="11"/>
  <c r="X114" i="11"/>
  <c r="T114" i="11"/>
  <c r="P114" i="11"/>
  <c r="L114" i="11"/>
  <c r="H114" i="11"/>
  <c r="AC99" i="11"/>
  <c r="AB99" i="11"/>
  <c r="X99" i="11"/>
  <c r="T99" i="11"/>
  <c r="P99" i="11"/>
  <c r="L99" i="11"/>
  <c r="H99" i="11"/>
  <c r="AC230" i="11"/>
  <c r="AB230" i="11"/>
  <c r="X230" i="11"/>
  <c r="T230" i="11"/>
  <c r="P230" i="11"/>
  <c r="L230" i="11"/>
  <c r="H230" i="11"/>
  <c r="AC147" i="11"/>
  <c r="AB147" i="11"/>
  <c r="X147" i="11"/>
  <c r="T147" i="11"/>
  <c r="P147" i="11"/>
  <c r="L147" i="11"/>
  <c r="H147" i="11"/>
  <c r="AC218" i="11"/>
  <c r="AB218" i="11"/>
  <c r="X218" i="11"/>
  <c r="T218" i="11"/>
  <c r="P218" i="11"/>
  <c r="L218" i="11"/>
  <c r="H218" i="11"/>
  <c r="AC180" i="11"/>
  <c r="AB180" i="11"/>
  <c r="X180" i="11"/>
  <c r="T180" i="11"/>
  <c r="P180" i="11"/>
  <c r="L180" i="11"/>
  <c r="H180" i="11"/>
  <c r="AC30" i="11"/>
  <c r="AB30" i="11"/>
  <c r="X30" i="11"/>
  <c r="T30" i="11"/>
  <c r="P30" i="11"/>
  <c r="L30" i="11"/>
  <c r="H30" i="11"/>
  <c r="AC117" i="11"/>
  <c r="AB117" i="11"/>
  <c r="X117" i="11"/>
  <c r="T117" i="11"/>
  <c r="P117" i="11"/>
  <c r="L117" i="11"/>
  <c r="H117" i="11"/>
  <c r="AC183" i="11"/>
  <c r="AB183" i="11"/>
  <c r="X183" i="11"/>
  <c r="T183" i="11"/>
  <c r="P183" i="11"/>
  <c r="L183" i="11"/>
  <c r="H183" i="11"/>
  <c r="AC86" i="11"/>
  <c r="AB86" i="11"/>
  <c r="X86" i="11"/>
  <c r="T86" i="11"/>
  <c r="P86" i="11"/>
  <c r="L86" i="11"/>
  <c r="H86" i="11"/>
  <c r="AC41" i="11"/>
  <c r="AB41" i="11"/>
  <c r="X41" i="11"/>
  <c r="T41" i="11"/>
  <c r="P41" i="11"/>
  <c r="L41" i="11"/>
  <c r="H41" i="11"/>
  <c r="AC136" i="11"/>
  <c r="AB136" i="11"/>
  <c r="X136" i="11"/>
  <c r="T136" i="11"/>
  <c r="P136" i="11"/>
  <c r="L136" i="11"/>
  <c r="H136" i="11"/>
  <c r="AC267" i="11"/>
  <c r="AB267" i="11"/>
  <c r="X267" i="11"/>
  <c r="T267" i="11"/>
  <c r="P267" i="11"/>
  <c r="L267" i="11"/>
  <c r="H267" i="11"/>
  <c r="AC39" i="11"/>
  <c r="AB39" i="11"/>
  <c r="X39" i="11"/>
  <c r="T39" i="11"/>
  <c r="P39" i="11"/>
  <c r="L39" i="11"/>
  <c r="H39" i="11"/>
  <c r="AC254" i="11"/>
  <c r="AB254" i="11"/>
  <c r="X254" i="11"/>
  <c r="T254" i="11"/>
  <c r="P254" i="11"/>
  <c r="L254" i="11"/>
  <c r="H254" i="11"/>
  <c r="AC112" i="11"/>
  <c r="AB112" i="11"/>
  <c r="X112" i="11"/>
  <c r="T112" i="11"/>
  <c r="P112" i="11"/>
  <c r="L112" i="11"/>
  <c r="H112" i="11"/>
  <c r="AC110" i="11"/>
  <c r="AB110" i="11"/>
  <c r="X110" i="11"/>
  <c r="T110" i="11"/>
  <c r="P110" i="11"/>
  <c r="L110" i="11"/>
  <c r="H110" i="11"/>
  <c r="AC217" i="11"/>
  <c r="AB217" i="11"/>
  <c r="X217" i="11"/>
  <c r="T217" i="11"/>
  <c r="P217" i="11"/>
  <c r="L217" i="11"/>
  <c r="H217" i="11"/>
  <c r="AC51" i="11"/>
  <c r="AB51" i="11"/>
  <c r="X51" i="11"/>
  <c r="T51" i="11"/>
  <c r="P51" i="11"/>
  <c r="L51" i="11"/>
  <c r="H51" i="11"/>
  <c r="AC197" i="11"/>
  <c r="AB197" i="11"/>
  <c r="X197" i="11"/>
  <c r="T197" i="11"/>
  <c r="P197" i="11"/>
  <c r="L197" i="11"/>
  <c r="H197" i="11"/>
  <c r="AC43" i="11"/>
  <c r="AB43" i="11"/>
  <c r="X43" i="11"/>
  <c r="T43" i="11"/>
  <c r="P43" i="11"/>
  <c r="L43" i="11"/>
  <c r="H43" i="11"/>
  <c r="AC169" i="11"/>
  <c r="AB169" i="11"/>
  <c r="X169" i="11"/>
  <c r="T169" i="11"/>
  <c r="P169" i="11"/>
  <c r="L169" i="11"/>
  <c r="H169" i="11"/>
  <c r="AC208" i="11"/>
  <c r="AB208" i="11"/>
  <c r="X208" i="11"/>
  <c r="T208" i="11"/>
  <c r="P208" i="11"/>
  <c r="L208" i="11"/>
  <c r="H208" i="11"/>
  <c r="AC176" i="11"/>
  <c r="AB176" i="11"/>
  <c r="X176" i="11"/>
  <c r="T176" i="11"/>
  <c r="P176" i="11"/>
  <c r="L176" i="11"/>
  <c r="H176" i="11"/>
  <c r="AC3" i="11"/>
  <c r="AB3" i="11"/>
  <c r="X3" i="11"/>
  <c r="T3" i="11"/>
  <c r="P3" i="11"/>
  <c r="L3" i="11"/>
  <c r="H3" i="11"/>
  <c r="AC159" i="11"/>
  <c r="AB159" i="11"/>
  <c r="X159" i="11"/>
  <c r="T159" i="11"/>
  <c r="P159" i="11"/>
  <c r="L159" i="11"/>
  <c r="H159" i="11"/>
  <c r="AC107" i="11"/>
  <c r="AB107" i="11"/>
  <c r="X107" i="11"/>
  <c r="T107" i="11"/>
  <c r="P107" i="11"/>
  <c r="L107" i="11"/>
  <c r="H107" i="11"/>
  <c r="AC89" i="11"/>
  <c r="AB89" i="11"/>
  <c r="X89" i="11"/>
  <c r="T89" i="11"/>
  <c r="P89" i="11"/>
  <c r="L89" i="11"/>
  <c r="H89" i="11"/>
  <c r="AC193" i="11"/>
  <c r="AB193" i="11"/>
  <c r="X193" i="11"/>
  <c r="T193" i="11"/>
  <c r="P193" i="11"/>
  <c r="L193" i="11"/>
  <c r="H193" i="11"/>
  <c r="AC241" i="11"/>
  <c r="AB241" i="11"/>
  <c r="X241" i="11"/>
  <c r="T241" i="11"/>
  <c r="P241" i="11"/>
  <c r="L241" i="11"/>
  <c r="H241" i="11"/>
  <c r="AC105" i="11"/>
  <c r="AB105" i="11"/>
  <c r="X105" i="11"/>
  <c r="T105" i="11"/>
  <c r="P105" i="11"/>
  <c r="L105" i="11"/>
  <c r="H105" i="11"/>
  <c r="AC126" i="11"/>
  <c r="AB126" i="11"/>
  <c r="X126" i="11"/>
  <c r="T126" i="11"/>
  <c r="P126" i="11"/>
  <c r="L126" i="11"/>
  <c r="H126" i="11"/>
  <c r="AC238" i="11"/>
  <c r="AB238" i="11"/>
  <c r="X238" i="11"/>
  <c r="T238" i="11"/>
  <c r="P238" i="11"/>
  <c r="L238" i="11"/>
  <c r="H238" i="11"/>
  <c r="AC138" i="11"/>
  <c r="AB138" i="11"/>
  <c r="X138" i="11"/>
  <c r="T138" i="11"/>
  <c r="P138" i="11"/>
  <c r="L138" i="11"/>
  <c r="H138" i="11"/>
  <c r="AC76" i="11"/>
  <c r="AB76" i="11"/>
  <c r="X76" i="11"/>
  <c r="T76" i="11"/>
  <c r="P76" i="11"/>
  <c r="L76" i="11"/>
  <c r="H76" i="11"/>
  <c r="AC211" i="11"/>
  <c r="AB211" i="11"/>
  <c r="X211" i="11"/>
  <c r="T211" i="11"/>
  <c r="P211" i="11"/>
  <c r="L211" i="11"/>
  <c r="H211" i="11"/>
  <c r="AC87" i="11"/>
  <c r="AB87" i="11"/>
  <c r="X87" i="11"/>
  <c r="T87" i="11"/>
  <c r="P87" i="11"/>
  <c r="L87" i="11"/>
  <c r="H87" i="11"/>
  <c r="AC34" i="11"/>
  <c r="AB34" i="11"/>
  <c r="X34" i="11"/>
  <c r="T34" i="11"/>
  <c r="P34" i="11"/>
  <c r="L34" i="11"/>
  <c r="H34" i="11"/>
  <c r="AC27" i="11"/>
  <c r="AB27" i="11"/>
  <c r="X27" i="11"/>
  <c r="T27" i="11"/>
  <c r="P27" i="11"/>
  <c r="L27" i="11"/>
  <c r="H27" i="11"/>
  <c r="AC225" i="11"/>
  <c r="AB225" i="11"/>
  <c r="X225" i="11"/>
  <c r="T225" i="11"/>
  <c r="P225" i="11"/>
  <c r="L225" i="11"/>
  <c r="H225" i="11"/>
  <c r="AC50" i="11"/>
  <c r="AB50" i="11"/>
  <c r="X50" i="11"/>
  <c r="T50" i="11"/>
  <c r="P50" i="11"/>
  <c r="L50" i="11"/>
  <c r="H50" i="11"/>
  <c r="AC79" i="11"/>
  <c r="AB79" i="11"/>
  <c r="X79" i="11"/>
  <c r="T79" i="11"/>
  <c r="P79" i="11"/>
  <c r="L79" i="11"/>
  <c r="H79" i="11"/>
  <c r="AC20" i="11"/>
  <c r="AB20" i="11"/>
  <c r="X20" i="11"/>
  <c r="T20" i="11"/>
  <c r="P20" i="11"/>
  <c r="L20" i="11"/>
  <c r="H20" i="11"/>
  <c r="AC145" i="11"/>
  <c r="AB145" i="11"/>
  <c r="X145" i="11"/>
  <c r="T145" i="11"/>
  <c r="P145" i="11"/>
  <c r="L145" i="11"/>
  <c r="H145" i="11"/>
  <c r="AC216" i="11"/>
  <c r="AB216" i="11"/>
  <c r="X216" i="11"/>
  <c r="T216" i="11"/>
  <c r="P216" i="11"/>
  <c r="L216" i="11"/>
  <c r="H216" i="11"/>
  <c r="AC171" i="11"/>
  <c r="AB171" i="11"/>
  <c r="X171" i="11"/>
  <c r="T171" i="11"/>
  <c r="P171" i="11"/>
  <c r="L171" i="11"/>
  <c r="H171" i="11"/>
  <c r="AC122" i="11"/>
  <c r="AB122" i="11"/>
  <c r="X122" i="11"/>
  <c r="T122" i="11"/>
  <c r="P122" i="11"/>
  <c r="L122" i="11"/>
  <c r="H122" i="11"/>
  <c r="AC245" i="11"/>
  <c r="AB245" i="11"/>
  <c r="X245" i="11"/>
  <c r="T245" i="11"/>
  <c r="P245" i="11"/>
  <c r="L245" i="11"/>
  <c r="H245" i="11"/>
  <c r="AC232" i="11"/>
  <c r="AB232" i="11"/>
  <c r="X232" i="11"/>
  <c r="T232" i="11"/>
  <c r="P232" i="11"/>
  <c r="L232" i="11"/>
  <c r="H232" i="11"/>
  <c r="AC157" i="11"/>
  <c r="AB157" i="11"/>
  <c r="X157" i="11"/>
  <c r="T157" i="11"/>
  <c r="P157" i="11"/>
  <c r="L157" i="11"/>
  <c r="H157" i="11"/>
  <c r="AC106" i="11"/>
  <c r="AB106" i="11"/>
  <c r="X106" i="11"/>
  <c r="T106" i="11"/>
  <c r="P106" i="11"/>
  <c r="L106" i="11"/>
  <c r="H106" i="11"/>
  <c r="AC261" i="11"/>
  <c r="AB261" i="11"/>
  <c r="X261" i="11"/>
  <c r="T261" i="11"/>
  <c r="P261" i="11"/>
  <c r="L261" i="11"/>
  <c r="H261" i="11"/>
  <c r="AC24" i="11"/>
  <c r="AB24" i="11"/>
  <c r="X24" i="11"/>
  <c r="T24" i="11"/>
  <c r="P24" i="11"/>
  <c r="L24" i="11"/>
  <c r="H24" i="11"/>
  <c r="AC222" i="11"/>
  <c r="AB222" i="11"/>
  <c r="X222" i="11"/>
  <c r="T222" i="11"/>
  <c r="P222" i="11"/>
  <c r="L222" i="11"/>
  <c r="H222" i="11"/>
  <c r="AC188" i="11"/>
  <c r="AB188" i="11"/>
  <c r="X188" i="11"/>
  <c r="T188" i="11"/>
  <c r="P188" i="11"/>
  <c r="L188" i="11"/>
  <c r="H188" i="11"/>
  <c r="AC82" i="11"/>
  <c r="AB82" i="11"/>
  <c r="X82" i="11"/>
  <c r="T82" i="11"/>
  <c r="P82" i="11"/>
  <c r="L82" i="11"/>
  <c r="H82" i="11"/>
  <c r="AC125" i="11"/>
  <c r="AB125" i="11"/>
  <c r="X125" i="11"/>
  <c r="T125" i="11"/>
  <c r="P125" i="11"/>
  <c r="L125" i="11"/>
  <c r="H125" i="11"/>
  <c r="AC19" i="11"/>
  <c r="AB19" i="11"/>
  <c r="X19" i="11"/>
  <c r="T19" i="11"/>
  <c r="P19" i="11"/>
  <c r="L19" i="11"/>
  <c r="H19" i="11"/>
  <c r="AC144" i="11"/>
  <c r="AB144" i="11"/>
  <c r="X144" i="11"/>
  <c r="T144" i="11"/>
  <c r="P144" i="11"/>
  <c r="L144" i="11"/>
  <c r="H144" i="11"/>
  <c r="AC128" i="11"/>
  <c r="AB128" i="11"/>
  <c r="X128" i="11"/>
  <c r="T128" i="11"/>
  <c r="P128" i="11"/>
  <c r="L128" i="11"/>
  <c r="H128" i="11"/>
  <c r="AC101" i="11"/>
  <c r="AB101" i="11"/>
  <c r="X101" i="11"/>
  <c r="T101" i="11"/>
  <c r="P101" i="11"/>
  <c r="L101" i="11"/>
  <c r="H101" i="11"/>
  <c r="AC243" i="11"/>
  <c r="AB243" i="11"/>
  <c r="X243" i="11"/>
  <c r="T243" i="11"/>
  <c r="P243" i="11"/>
  <c r="L243" i="11"/>
  <c r="H243" i="11"/>
  <c r="AC66" i="11"/>
  <c r="AB66" i="11"/>
  <c r="X66" i="11"/>
  <c r="T66" i="11"/>
  <c r="P66" i="11"/>
  <c r="L66" i="11"/>
  <c r="H66" i="11"/>
  <c r="AC97" i="11"/>
  <c r="AB97" i="11"/>
  <c r="X97" i="11"/>
  <c r="T97" i="11"/>
  <c r="P97" i="11"/>
  <c r="L97" i="11"/>
  <c r="H97" i="11"/>
  <c r="AC36" i="11"/>
  <c r="AB36" i="11"/>
  <c r="X36" i="11"/>
  <c r="T36" i="11"/>
  <c r="P36" i="11"/>
  <c r="L36" i="11"/>
  <c r="H36" i="11"/>
  <c r="AC45" i="11"/>
  <c r="AB45" i="11"/>
  <c r="X45" i="11"/>
  <c r="T45" i="11"/>
  <c r="P45" i="11"/>
  <c r="L45" i="11"/>
  <c r="H45" i="11"/>
  <c r="AC67" i="11"/>
  <c r="AB67" i="11"/>
  <c r="X67" i="11"/>
  <c r="T67" i="11"/>
  <c r="P67" i="11"/>
  <c r="L67" i="11"/>
  <c r="H67" i="11"/>
  <c r="AC18" i="11"/>
  <c r="AB18" i="11"/>
  <c r="X18" i="11"/>
  <c r="T18" i="11"/>
  <c r="P18" i="11"/>
  <c r="L18" i="11"/>
  <c r="H18" i="11"/>
  <c r="AC165" i="11"/>
  <c r="AB165" i="11"/>
  <c r="X165" i="11"/>
  <c r="T165" i="11"/>
  <c r="P165" i="11"/>
  <c r="L165" i="11"/>
  <c r="H165" i="11"/>
  <c r="AC153" i="11"/>
  <c r="AB153" i="11"/>
  <c r="X153" i="11"/>
  <c r="T153" i="11"/>
  <c r="P153" i="11"/>
  <c r="L153" i="11"/>
  <c r="H153" i="11"/>
  <c r="AC95" i="11"/>
  <c r="AB95" i="11"/>
  <c r="X95" i="11"/>
  <c r="T95" i="11"/>
  <c r="P95" i="11"/>
  <c r="L95" i="11"/>
  <c r="H95" i="11"/>
  <c r="AC266" i="11"/>
  <c r="AB266" i="11"/>
  <c r="X266" i="11"/>
  <c r="T266" i="11"/>
  <c r="P266" i="11"/>
  <c r="L266" i="11"/>
  <c r="H266" i="11"/>
  <c r="AC184" i="11"/>
  <c r="AB184" i="11"/>
  <c r="X184" i="11"/>
  <c r="T184" i="11"/>
  <c r="P184" i="11"/>
  <c r="L184" i="11"/>
  <c r="H184" i="11"/>
  <c r="AC192" i="11"/>
  <c r="AB192" i="11"/>
  <c r="X192" i="11"/>
  <c r="T192" i="11"/>
  <c r="P192" i="11"/>
  <c r="L192" i="11"/>
  <c r="H192" i="11"/>
  <c r="AC175" i="11"/>
  <c r="AB175" i="11"/>
  <c r="X175" i="11"/>
  <c r="T175" i="11"/>
  <c r="P175" i="11"/>
  <c r="L175" i="11"/>
  <c r="H175" i="11"/>
  <c r="AC52" i="11"/>
  <c r="AB52" i="11"/>
  <c r="X52" i="11"/>
  <c r="T52" i="11"/>
  <c r="P52" i="11"/>
  <c r="L52" i="11"/>
  <c r="H52" i="11"/>
  <c r="AC226" i="11"/>
  <c r="AB226" i="11"/>
  <c r="X226" i="11"/>
  <c r="T226" i="11"/>
  <c r="P226" i="11"/>
  <c r="L226" i="11"/>
  <c r="H226" i="11"/>
  <c r="AC58" i="11"/>
  <c r="AB58" i="11"/>
  <c r="X58" i="11"/>
  <c r="T58" i="11"/>
  <c r="P58" i="11"/>
  <c r="L58" i="11"/>
  <c r="H58" i="11"/>
  <c r="AC77" i="11"/>
  <c r="AB77" i="11"/>
  <c r="X77" i="11"/>
  <c r="T77" i="11"/>
  <c r="P77" i="11"/>
  <c r="L77" i="11"/>
  <c r="H77" i="11"/>
  <c r="AC16" i="11"/>
  <c r="AB16" i="11"/>
  <c r="X16" i="11"/>
  <c r="T16" i="11"/>
  <c r="P16" i="11"/>
  <c r="L16" i="11"/>
  <c r="H16" i="11"/>
  <c r="AC234" i="11"/>
  <c r="AB234" i="11"/>
  <c r="X234" i="11"/>
  <c r="T234" i="11"/>
  <c r="P234" i="11"/>
  <c r="L234" i="11"/>
  <c r="H234" i="11"/>
  <c r="AC195" i="11"/>
  <c r="AB195" i="11"/>
  <c r="X195" i="11"/>
  <c r="T195" i="11"/>
  <c r="P195" i="11"/>
  <c r="L195" i="11"/>
  <c r="H195" i="11"/>
  <c r="AC143" i="11"/>
  <c r="AB143" i="11"/>
  <c r="X143" i="11"/>
  <c r="T143" i="11"/>
  <c r="P143" i="11"/>
  <c r="L143" i="11"/>
  <c r="H143" i="11"/>
  <c r="AC111" i="11"/>
  <c r="AB111" i="11"/>
  <c r="X111" i="11"/>
  <c r="T111" i="11"/>
  <c r="P111" i="11"/>
  <c r="L111" i="11"/>
  <c r="H111" i="11"/>
  <c r="AC23" i="11"/>
  <c r="AB23" i="11"/>
  <c r="X23" i="11"/>
  <c r="T23" i="11"/>
  <c r="P23" i="11"/>
  <c r="L23" i="11"/>
  <c r="H23" i="11"/>
  <c r="AC121" i="11"/>
  <c r="AB121" i="11"/>
  <c r="X121" i="11"/>
  <c r="T121" i="11"/>
  <c r="P121" i="11"/>
  <c r="L121" i="11"/>
  <c r="H121" i="11"/>
  <c r="AC47" i="11"/>
  <c r="AB47" i="11"/>
  <c r="X47" i="11"/>
  <c r="T47" i="11"/>
  <c r="P47" i="11"/>
  <c r="L47" i="11"/>
  <c r="H47" i="11"/>
  <c r="AC28" i="11"/>
  <c r="AB28" i="11"/>
  <c r="X28" i="11"/>
  <c r="T28" i="11"/>
  <c r="P28" i="11"/>
  <c r="L28" i="11"/>
  <c r="H28" i="11"/>
  <c r="AC12" i="11"/>
  <c r="AB12" i="11"/>
  <c r="X12" i="11"/>
  <c r="T12" i="11"/>
  <c r="P12" i="11"/>
  <c r="L12" i="11"/>
  <c r="H12" i="11"/>
  <c r="AC264" i="11"/>
  <c r="AB264" i="11"/>
  <c r="X264" i="11"/>
  <c r="T264" i="11"/>
  <c r="P264" i="11"/>
  <c r="L264" i="11"/>
  <c r="H264" i="11"/>
  <c r="AC17" i="11"/>
  <c r="AB17" i="11"/>
  <c r="X17" i="11"/>
  <c r="T17" i="11"/>
  <c r="P17" i="11"/>
  <c r="L17" i="11"/>
  <c r="H17" i="11"/>
  <c r="AC4" i="11"/>
  <c r="AB4" i="11"/>
  <c r="X4" i="11"/>
  <c r="T4" i="11"/>
  <c r="P4" i="11"/>
  <c r="L4" i="11"/>
  <c r="H4" i="11"/>
  <c r="AC74" i="11"/>
  <c r="AB74" i="11"/>
  <c r="X74" i="11"/>
  <c r="T74" i="11"/>
  <c r="P74" i="11"/>
  <c r="L74" i="11"/>
  <c r="H74" i="11"/>
  <c r="AC93" i="11"/>
  <c r="AB93" i="11"/>
  <c r="X93" i="11"/>
  <c r="T93" i="11"/>
  <c r="P93" i="11"/>
  <c r="L93" i="11"/>
  <c r="H93" i="11"/>
  <c r="AC203" i="11"/>
  <c r="AB203" i="11"/>
  <c r="X203" i="11"/>
  <c r="T203" i="11"/>
  <c r="P203" i="11"/>
  <c r="L203" i="11"/>
  <c r="H203" i="11"/>
  <c r="AC21" i="11"/>
  <c r="AB21" i="11"/>
  <c r="X21" i="11"/>
  <c r="T21" i="11"/>
  <c r="P21" i="11"/>
  <c r="L21" i="11"/>
  <c r="H21" i="11"/>
  <c r="AC185" i="11"/>
  <c r="AB185" i="11"/>
  <c r="X185" i="11"/>
  <c r="T185" i="11"/>
  <c r="P185" i="11"/>
  <c r="L185" i="11"/>
  <c r="H185" i="11"/>
  <c r="AC61" i="11"/>
  <c r="AB61" i="11"/>
  <c r="X61" i="11"/>
  <c r="T61" i="11"/>
  <c r="P61" i="11"/>
  <c r="L61" i="11"/>
  <c r="H61" i="11"/>
  <c r="AC130" i="11"/>
  <c r="AB130" i="11"/>
  <c r="X130" i="11"/>
  <c r="T130" i="11"/>
  <c r="P130" i="11"/>
  <c r="L130" i="11"/>
  <c r="H130" i="11"/>
  <c r="AC25" i="11"/>
  <c r="AB25" i="11"/>
  <c r="X25" i="11"/>
  <c r="T25" i="11"/>
  <c r="P25" i="11"/>
  <c r="L25" i="11"/>
  <c r="H25" i="11"/>
  <c r="AC124" i="11"/>
  <c r="AB124" i="11"/>
  <c r="X124" i="11"/>
  <c r="T124" i="11"/>
  <c r="P124" i="11"/>
  <c r="L124" i="11"/>
  <c r="H124" i="11"/>
  <c r="AC72" i="11"/>
  <c r="AB72" i="11"/>
  <c r="X72" i="11"/>
  <c r="T72" i="11"/>
  <c r="P72" i="11"/>
  <c r="L72" i="11"/>
  <c r="H72" i="11"/>
  <c r="AC38" i="11"/>
  <c r="AB38" i="11"/>
  <c r="X38" i="11"/>
  <c r="T38" i="11"/>
  <c r="P38" i="11"/>
  <c r="L38" i="11"/>
  <c r="H38" i="11"/>
  <c r="AC235" i="11"/>
  <c r="AB235" i="11"/>
  <c r="X235" i="11"/>
  <c r="T235" i="11"/>
  <c r="P235" i="11"/>
  <c r="L235" i="11"/>
  <c r="H235" i="11"/>
  <c r="AC22" i="11"/>
  <c r="AB22" i="11"/>
  <c r="X22" i="11"/>
  <c r="T22" i="11"/>
  <c r="P22" i="11"/>
  <c r="L22" i="11"/>
  <c r="H22" i="11"/>
  <c r="AC88" i="11"/>
  <c r="AB88" i="11"/>
  <c r="X88" i="11"/>
  <c r="T88" i="11"/>
  <c r="P88" i="11"/>
  <c r="L88" i="11"/>
  <c r="H88" i="11"/>
  <c r="AC240" i="11"/>
  <c r="AB240" i="11"/>
  <c r="X240" i="11"/>
  <c r="T240" i="11"/>
  <c r="P240" i="11"/>
  <c r="L240" i="11"/>
  <c r="H240" i="11"/>
  <c r="AC209" i="11"/>
  <c r="AB209" i="11"/>
  <c r="X209" i="11"/>
  <c r="T209" i="11"/>
  <c r="P209" i="11"/>
  <c r="L209" i="11"/>
  <c r="H209" i="11"/>
  <c r="AC141" i="11"/>
  <c r="AB141" i="11"/>
  <c r="X141" i="11"/>
  <c r="T141" i="11"/>
  <c r="P141" i="11"/>
  <c r="L141" i="11"/>
  <c r="H141" i="11"/>
  <c r="AC103" i="11"/>
  <c r="AB103" i="11"/>
  <c r="X103" i="11"/>
  <c r="T103" i="11"/>
  <c r="P103" i="11"/>
  <c r="L103" i="11"/>
  <c r="H103" i="11"/>
  <c r="AC212" i="11"/>
  <c r="AB212" i="11"/>
  <c r="X212" i="11"/>
  <c r="T212" i="11"/>
  <c r="P212" i="11"/>
  <c r="L212" i="11"/>
  <c r="H212" i="11"/>
  <c r="AC135" i="11"/>
  <c r="AB135" i="11"/>
  <c r="X135" i="11"/>
  <c r="T135" i="11"/>
  <c r="P135" i="11"/>
  <c r="L135" i="11"/>
  <c r="H135" i="11"/>
  <c r="AC182" i="11"/>
  <c r="AB182" i="11"/>
  <c r="X182" i="11"/>
  <c r="T182" i="11"/>
  <c r="P182" i="11"/>
  <c r="L182" i="11"/>
  <c r="H182" i="11"/>
  <c r="AC92" i="11"/>
  <c r="AB92" i="11"/>
  <c r="X92" i="11"/>
  <c r="T92" i="11"/>
  <c r="P92" i="11"/>
  <c r="L92" i="11"/>
  <c r="H92" i="11"/>
  <c r="AC156" i="11"/>
  <c r="AB156" i="11"/>
  <c r="X156" i="11"/>
  <c r="T156" i="11"/>
  <c r="P156" i="11"/>
  <c r="L156" i="11"/>
  <c r="H156" i="11"/>
  <c r="AC85" i="11"/>
  <c r="AB85" i="11"/>
  <c r="X85" i="11"/>
  <c r="T85" i="11"/>
  <c r="P85" i="11"/>
  <c r="L85" i="11"/>
  <c r="H85" i="11"/>
  <c r="AC40" i="11"/>
  <c r="AB40" i="11"/>
  <c r="X40" i="11"/>
  <c r="T40" i="11"/>
  <c r="P40" i="11"/>
  <c r="L40" i="11"/>
  <c r="H40" i="11"/>
  <c r="AC194" i="11"/>
  <c r="AB194" i="11"/>
  <c r="X194" i="11"/>
  <c r="T194" i="11"/>
  <c r="P194" i="11"/>
  <c r="L194" i="11"/>
  <c r="H194" i="11"/>
  <c r="AC256" i="11"/>
  <c r="AB256" i="11"/>
  <c r="X256" i="11"/>
  <c r="T256" i="11"/>
  <c r="P256" i="11"/>
  <c r="L256" i="11"/>
  <c r="H256" i="11"/>
  <c r="AC8" i="11"/>
  <c r="AB8" i="11"/>
  <c r="X8" i="11"/>
  <c r="T8" i="11"/>
  <c r="P8" i="11"/>
  <c r="L8" i="11"/>
  <c r="H8" i="11"/>
  <c r="AC233" i="11"/>
  <c r="AB233" i="11"/>
  <c r="X233" i="11"/>
  <c r="T233" i="11"/>
  <c r="P233" i="11"/>
  <c r="L233" i="11"/>
  <c r="H233" i="11"/>
  <c r="AC70" i="11"/>
  <c r="AB70" i="11"/>
  <c r="X70" i="11"/>
  <c r="T70" i="11"/>
  <c r="P70" i="11"/>
  <c r="L70" i="11"/>
  <c r="H70" i="11"/>
  <c r="AD75" i="11" l="1"/>
  <c r="AD60" i="11"/>
  <c r="AD135" i="11"/>
  <c r="AD156" i="11"/>
  <c r="AD17" i="11"/>
  <c r="AD194" i="11"/>
  <c r="AD93" i="11"/>
  <c r="AD246" i="11"/>
  <c r="AD25" i="11"/>
  <c r="AD265" i="11"/>
  <c r="AD202" i="11"/>
  <c r="AD38" i="11"/>
  <c r="AD182" i="11"/>
  <c r="AD88" i="11"/>
  <c r="AD213" i="11"/>
  <c r="AD256" i="11"/>
  <c r="AD77" i="11"/>
  <c r="AD85" i="11"/>
  <c r="AD28" i="11"/>
  <c r="AD185" i="11"/>
  <c r="AD141" i="11"/>
  <c r="AD27" i="11"/>
  <c r="AD110" i="11"/>
  <c r="AD255" i="11"/>
  <c r="AD268" i="11"/>
  <c r="AD94" i="11"/>
  <c r="AD14" i="11"/>
  <c r="AD153" i="11"/>
  <c r="AD79" i="11"/>
  <c r="AD197" i="11"/>
  <c r="AD270" i="11"/>
  <c r="AD257" i="11"/>
  <c r="AD239" i="11"/>
  <c r="AD118" i="11"/>
  <c r="AD101" i="11"/>
  <c r="AD211" i="11"/>
  <c r="AD245" i="11"/>
  <c r="AD159" i="11"/>
  <c r="AD114" i="11"/>
  <c r="AD236" i="11"/>
  <c r="AD55" i="11"/>
  <c r="AD247" i="11"/>
  <c r="AD57" i="11"/>
  <c r="AD151" i="11"/>
  <c r="AD52" i="11"/>
  <c r="AD106" i="11"/>
  <c r="AD193" i="11"/>
  <c r="AD147" i="11"/>
  <c r="AD224" i="11"/>
  <c r="AD200" i="11"/>
  <c r="AD158" i="11"/>
  <c r="AD7" i="11"/>
  <c r="AD222" i="11"/>
  <c r="AD126" i="11"/>
  <c r="AD30" i="11"/>
  <c r="AD258" i="11"/>
  <c r="AD210" i="11"/>
  <c r="AD73" i="11"/>
  <c r="AD48" i="11"/>
  <c r="AD11" i="11"/>
  <c r="AD125" i="11"/>
  <c r="AD76" i="11"/>
  <c r="AD86" i="11"/>
  <c r="AD13" i="11"/>
  <c r="AD131" i="11"/>
  <c r="AD199" i="11"/>
  <c r="AD178" i="11"/>
  <c r="AD33" i="11"/>
  <c r="AD8" i="11"/>
  <c r="AD40" i="11"/>
  <c r="AD92" i="11"/>
  <c r="AD212" i="11"/>
  <c r="AD209" i="11"/>
  <c r="AD22" i="11"/>
  <c r="AD72" i="11"/>
  <c r="AD130" i="11"/>
  <c r="AD21" i="11"/>
  <c r="AD74" i="11"/>
  <c r="AD264" i="11"/>
  <c r="AD47" i="11"/>
  <c r="AD111" i="11"/>
  <c r="AD234" i="11"/>
  <c r="AD58" i="11"/>
  <c r="AD175" i="11"/>
  <c r="AD266" i="11"/>
  <c r="AD165" i="11"/>
  <c r="AD45" i="11"/>
  <c r="AD66" i="11"/>
  <c r="AD128" i="11"/>
  <c r="AD34" i="11"/>
  <c r="AD267" i="11"/>
  <c r="AD64" i="11"/>
  <c r="AD177" i="11"/>
  <c r="AD260" i="11"/>
  <c r="AD237" i="11"/>
  <c r="AD263" i="11"/>
  <c r="AD41" i="11"/>
  <c r="AD80" i="11"/>
  <c r="AD133" i="11"/>
  <c r="AD50" i="11"/>
  <c r="AD112" i="11"/>
  <c r="AD168" i="11"/>
  <c r="AD139" i="11"/>
  <c r="AD249" i="11"/>
  <c r="AD98" i="11"/>
  <c r="AD214" i="11"/>
  <c r="AD145" i="11"/>
  <c r="AD51" i="11"/>
  <c r="AD49" i="11"/>
  <c r="AD62" i="11"/>
  <c r="AD71" i="11"/>
  <c r="AD262" i="11"/>
  <c r="AD207" i="11"/>
  <c r="AD160" i="11"/>
  <c r="AD122" i="11"/>
  <c r="AD169" i="11"/>
  <c r="AD54" i="11"/>
  <c r="AD29" i="11"/>
  <c r="AD9" i="11"/>
  <c r="AD166" i="11"/>
  <c r="AD187" i="11"/>
  <c r="AD157" i="11"/>
  <c r="AD3" i="11"/>
  <c r="AD189" i="11"/>
  <c r="AD148" i="11"/>
  <c r="AD163" i="11"/>
  <c r="AD84" i="11"/>
  <c r="AD228" i="11"/>
  <c r="AD231" i="11"/>
  <c r="AD24" i="11"/>
  <c r="AD89" i="11"/>
  <c r="AD230" i="11"/>
  <c r="AD204" i="11"/>
  <c r="AD140" i="11"/>
  <c r="AD219" i="11"/>
  <c r="AD108" i="11"/>
  <c r="AD82" i="11"/>
  <c r="AD105" i="11"/>
  <c r="AD180" i="11"/>
  <c r="AD172" i="11"/>
  <c r="AD149" i="11"/>
  <c r="AD253" i="11"/>
  <c r="AD10" i="11"/>
  <c r="AD162" i="11"/>
  <c r="AD26" i="11"/>
  <c r="AD242" i="11"/>
  <c r="AD102" i="11"/>
  <c r="AD109" i="11"/>
  <c r="AD31" i="11"/>
  <c r="AD201" i="11"/>
  <c r="AD215" i="11"/>
  <c r="AD69" i="11"/>
  <c r="AD91" i="11"/>
  <c r="AD96" i="11"/>
  <c r="AD116" i="11"/>
  <c r="AD220" i="11"/>
  <c r="AD196" i="11"/>
  <c r="AD155" i="11"/>
  <c r="AD65" i="11"/>
  <c r="AD42" i="11"/>
  <c r="AD78" i="11"/>
  <c r="AD129" i="11"/>
  <c r="AD248" i="11"/>
  <c r="AD179" i="11"/>
  <c r="AD120" i="11"/>
  <c r="AD206" i="11"/>
  <c r="AD146" i="11"/>
  <c r="AD269" i="11"/>
  <c r="AD6" i="11"/>
  <c r="AD56" i="11"/>
  <c r="AD164" i="11"/>
  <c r="AD252" i="11"/>
  <c r="AD167" i="11"/>
  <c r="AD152" i="11"/>
  <c r="AD144" i="11"/>
  <c r="AD138" i="11"/>
  <c r="AD183" i="11"/>
  <c r="AD250" i="11"/>
  <c r="AD5" i="11"/>
  <c r="AD44" i="11"/>
  <c r="AD174" i="11"/>
  <c r="AD37" i="11"/>
  <c r="AD70" i="11"/>
  <c r="AD103" i="11"/>
  <c r="AD240" i="11"/>
  <c r="AD235" i="11"/>
  <c r="AD124" i="11"/>
  <c r="AD61" i="11"/>
  <c r="AD203" i="11"/>
  <c r="AD4" i="11"/>
  <c r="AD12" i="11"/>
  <c r="AD121" i="11"/>
  <c r="AD143" i="11"/>
  <c r="AD16" i="11"/>
  <c r="AD226" i="11"/>
  <c r="AD192" i="11"/>
  <c r="AD95" i="11"/>
  <c r="AD18" i="11"/>
  <c r="AD36" i="11"/>
  <c r="AD243" i="11"/>
  <c r="AD87" i="11"/>
  <c r="AD136" i="11"/>
  <c r="AD113" i="11"/>
  <c r="AD191" i="11"/>
  <c r="AD15" i="11"/>
  <c r="AD181" i="11"/>
  <c r="AD19" i="11"/>
  <c r="AD233" i="11"/>
  <c r="AD195" i="11"/>
  <c r="AD67" i="11"/>
  <c r="AD123" i="11"/>
  <c r="AD32" i="11"/>
  <c r="AD127" i="11"/>
  <c r="AD225" i="11"/>
  <c r="AD254" i="11"/>
  <c r="AD68" i="11"/>
  <c r="AD272" i="11"/>
  <c r="AD100" i="11"/>
  <c r="AD46" i="11"/>
  <c r="AD53" i="11"/>
  <c r="AD229" i="11"/>
  <c r="AD184" i="11"/>
  <c r="AD119" i="11"/>
  <c r="AD20" i="11"/>
  <c r="AD217" i="11"/>
  <c r="AD259" i="11"/>
  <c r="AD150" i="11"/>
  <c r="AD90" i="11"/>
  <c r="AD59" i="11"/>
  <c r="AD186" i="11"/>
  <c r="AD221" i="11"/>
  <c r="AD273" i="11"/>
  <c r="AD97" i="11"/>
  <c r="AD39" i="11"/>
  <c r="AD216" i="11"/>
  <c r="AD205" i="11"/>
  <c r="AD171" i="11"/>
  <c r="AD43" i="11"/>
  <c r="AD83" i="11"/>
  <c r="AD35" i="11"/>
  <c r="AD190" i="11"/>
  <c r="AD251" i="11"/>
  <c r="AD223" i="11"/>
  <c r="AD23" i="11"/>
  <c r="AD232" i="11"/>
  <c r="AD176" i="11"/>
  <c r="AD99" i="11"/>
  <c r="AD81" i="11"/>
  <c r="AD132" i="11"/>
  <c r="AD63" i="11"/>
  <c r="AD104" i="11"/>
  <c r="AD115" i="11"/>
  <c r="AD238" i="11"/>
  <c r="AD134" i="11"/>
  <c r="AD261" i="11"/>
  <c r="AD107" i="11"/>
  <c r="AD218" i="11"/>
  <c r="AD161" i="11"/>
  <c r="AD170" i="11"/>
  <c r="AD137" i="11"/>
  <c r="AD227" i="11"/>
  <c r="AD208" i="11"/>
  <c r="AD188" i="11"/>
  <c r="AD241" i="11"/>
  <c r="AD117" i="11"/>
  <c r="AD173" i="11"/>
  <c r="AD142" i="11"/>
  <c r="AD198" i="11"/>
  <c r="AD271" i="11"/>
  <c r="AD154" i="11"/>
  <c r="AD244" i="11"/>
</calcChain>
</file>

<file path=xl/sharedStrings.xml><?xml version="1.0" encoding="utf-8"?>
<sst xmlns="http://schemas.openxmlformats.org/spreadsheetml/2006/main" count="594" uniqueCount="291">
  <si>
    <t>국어</t>
  </si>
  <si>
    <t>수학</t>
  </si>
  <si>
    <t>영어</t>
  </si>
  <si>
    <t>통합사회</t>
  </si>
  <si>
    <t>통합과학</t>
  </si>
  <si>
    <t>한국사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</si>
  <si>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</si>
  <si>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</si>
  <si>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</si>
  <si>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</si>
  <si>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</si>
  <si>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</si>
  <si>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</si>
  <si>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</si>
  <si>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</si>
  <si>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학년</t>
  </si>
  <si>
    <t>반</t>
  </si>
  <si>
    <t>번호</t>
  </si>
  <si>
    <t>이름</t>
  </si>
  <si>
    <t>사회탐구</t>
  </si>
  <si>
    <t>과학탐구</t>
  </si>
  <si>
    <t>석차</t>
  </si>
  <si>
    <t>원점수</t>
  </si>
  <si>
    <t>표준점수</t>
  </si>
  <si>
    <t>백분위</t>
  </si>
  <si>
    <t>등급</t>
  </si>
  <si>
    <t>1</t>
  </si>
  <si>
    <t>구분</t>
  </si>
  <si>
    <r>
      <rPr>
        <sz val="11"/>
        <color rgb="FF000000"/>
        <rFont val="Calibri"/>
        <family val="3"/>
        <charset val="129"/>
        <scheme val="major"/>
      </rPr>
      <t>강유신</t>
    </r>
  </si>
  <si>
    <r>
      <rPr>
        <sz val="11"/>
        <color rgb="FF000000"/>
        <rFont val="Calibri"/>
        <family val="3"/>
        <charset val="129"/>
        <scheme val="major"/>
      </rPr>
      <t>고승우</t>
    </r>
  </si>
  <si>
    <r>
      <rPr>
        <sz val="11"/>
        <color rgb="FF000000"/>
        <rFont val="Calibri"/>
        <family val="3"/>
        <charset val="129"/>
        <scheme val="major"/>
      </rPr>
      <t>김건호</t>
    </r>
  </si>
  <si>
    <r>
      <rPr>
        <sz val="11"/>
        <color rgb="FF000000"/>
        <rFont val="Calibri"/>
        <family val="3"/>
        <charset val="129"/>
        <scheme val="major"/>
      </rPr>
      <t>김도현</t>
    </r>
  </si>
  <si>
    <r>
      <rPr>
        <sz val="11"/>
        <color rgb="FF000000"/>
        <rFont val="Calibri"/>
        <family val="3"/>
        <charset val="129"/>
        <scheme val="major"/>
      </rPr>
      <t>김민서</t>
    </r>
  </si>
  <si>
    <r>
      <rPr>
        <sz val="11"/>
        <color rgb="FF000000"/>
        <rFont val="Calibri"/>
        <family val="3"/>
        <charset val="129"/>
        <scheme val="major"/>
      </rPr>
      <t>김유수</t>
    </r>
  </si>
  <si>
    <r>
      <rPr>
        <sz val="11"/>
        <color rgb="FF000000"/>
        <rFont val="Calibri"/>
        <family val="3"/>
        <charset val="129"/>
        <scheme val="major"/>
      </rPr>
      <t>김윤건</t>
    </r>
  </si>
  <si>
    <r>
      <rPr>
        <sz val="11"/>
        <color rgb="FF000000"/>
        <rFont val="Calibri"/>
        <family val="3"/>
        <charset val="129"/>
        <scheme val="major"/>
      </rPr>
      <t>박인석</t>
    </r>
  </si>
  <si>
    <r>
      <rPr>
        <sz val="11"/>
        <color rgb="FF000000"/>
        <rFont val="Calibri"/>
        <family val="3"/>
        <charset val="129"/>
        <scheme val="major"/>
      </rPr>
      <t>박태규</t>
    </r>
  </si>
  <si>
    <r>
      <rPr>
        <sz val="11"/>
        <color rgb="FF000000"/>
        <rFont val="Calibri"/>
        <family val="3"/>
        <charset val="129"/>
        <scheme val="major"/>
      </rPr>
      <t>백호</t>
    </r>
  </si>
  <si>
    <r>
      <rPr>
        <sz val="11"/>
        <color rgb="FF000000"/>
        <rFont val="Calibri"/>
        <family val="3"/>
        <charset val="129"/>
        <scheme val="major"/>
      </rPr>
      <t>신동욱</t>
    </r>
  </si>
  <si>
    <r>
      <rPr>
        <sz val="11"/>
        <color rgb="FF000000"/>
        <rFont val="Calibri"/>
        <family val="3"/>
        <charset val="129"/>
        <scheme val="major"/>
      </rPr>
      <t>이건희</t>
    </r>
  </si>
  <si>
    <r>
      <rPr>
        <sz val="11"/>
        <color rgb="FF000000"/>
        <rFont val="Calibri"/>
        <family val="3"/>
        <charset val="129"/>
        <scheme val="major"/>
      </rPr>
      <t>이라온</t>
    </r>
  </si>
  <si>
    <r>
      <rPr>
        <sz val="11"/>
        <color rgb="FF000000"/>
        <rFont val="Calibri"/>
        <family val="3"/>
        <charset val="129"/>
        <scheme val="major"/>
      </rPr>
      <t>이정후</t>
    </r>
  </si>
  <si>
    <r>
      <rPr>
        <sz val="11"/>
        <color rgb="FF000000"/>
        <rFont val="Calibri"/>
        <family val="3"/>
        <charset val="129"/>
        <scheme val="major"/>
      </rPr>
      <t>이주영</t>
    </r>
  </si>
  <si>
    <r>
      <rPr>
        <sz val="11"/>
        <color rgb="FF000000"/>
        <rFont val="Calibri"/>
        <family val="3"/>
        <charset val="129"/>
        <scheme val="major"/>
      </rPr>
      <t>이주원</t>
    </r>
  </si>
  <si>
    <r>
      <rPr>
        <sz val="11"/>
        <color rgb="FF000000"/>
        <rFont val="Calibri"/>
        <family val="3"/>
        <charset val="129"/>
        <scheme val="major"/>
      </rPr>
      <t>이현성</t>
    </r>
  </si>
  <si>
    <r>
      <rPr>
        <sz val="11"/>
        <color rgb="FF000000"/>
        <rFont val="Calibri"/>
        <family val="3"/>
        <charset val="129"/>
        <scheme val="major"/>
      </rPr>
      <t>이호찬</t>
    </r>
  </si>
  <si>
    <r>
      <rPr>
        <sz val="11"/>
        <color rgb="FF000000"/>
        <rFont val="Calibri"/>
        <family val="3"/>
        <charset val="129"/>
        <scheme val="major"/>
      </rPr>
      <t>임범술</t>
    </r>
  </si>
  <si>
    <r>
      <rPr>
        <sz val="11"/>
        <color rgb="FF000000"/>
        <rFont val="Calibri"/>
        <family val="3"/>
        <charset val="129"/>
        <scheme val="major"/>
      </rPr>
      <t>전준호</t>
    </r>
  </si>
  <si>
    <r>
      <rPr>
        <sz val="11"/>
        <color rgb="FF000000"/>
        <rFont val="Calibri"/>
        <family val="3"/>
        <charset val="129"/>
        <scheme val="major"/>
      </rPr>
      <t>정의성</t>
    </r>
  </si>
  <si>
    <r>
      <rPr>
        <sz val="11"/>
        <color rgb="FF000000"/>
        <rFont val="Calibri"/>
        <family val="3"/>
        <charset val="129"/>
        <scheme val="major"/>
      </rPr>
      <t>최지호</t>
    </r>
  </si>
  <si>
    <r>
      <rPr>
        <sz val="11"/>
        <color rgb="FF000000"/>
        <rFont val="Calibri"/>
        <family val="3"/>
        <charset val="129"/>
        <scheme val="major"/>
      </rPr>
      <t>최현성</t>
    </r>
  </si>
  <si>
    <r>
      <rPr>
        <sz val="11"/>
        <color rgb="FF000000"/>
        <rFont val="Calibri"/>
        <family val="3"/>
        <charset val="129"/>
        <scheme val="major"/>
      </rPr>
      <t>한동윤</t>
    </r>
  </si>
  <si>
    <r>
      <rPr>
        <sz val="11"/>
        <color rgb="FF000000"/>
        <rFont val="Calibri"/>
        <family val="3"/>
        <charset val="129"/>
        <scheme val="major"/>
      </rPr>
      <t>한준영</t>
    </r>
  </si>
  <si>
    <r>
      <rPr>
        <sz val="11"/>
        <color rgb="FF000000"/>
        <rFont val="Calibri"/>
        <family val="3"/>
        <charset val="129"/>
        <scheme val="major"/>
      </rPr>
      <t>허도겸</t>
    </r>
  </si>
  <si>
    <r>
      <rPr>
        <sz val="11"/>
        <color rgb="FF000000"/>
        <rFont val="Calibri"/>
        <family val="3"/>
        <charset val="129"/>
        <scheme val="major"/>
      </rPr>
      <t>허중원</t>
    </r>
  </si>
  <si>
    <r>
      <rPr>
        <sz val="11"/>
        <color rgb="FF000000"/>
        <rFont val="Calibri"/>
        <family val="3"/>
        <charset val="129"/>
        <scheme val="major"/>
      </rPr>
      <t>김재유</t>
    </r>
  </si>
  <si>
    <r>
      <rPr>
        <sz val="11"/>
        <color rgb="FF000000"/>
        <rFont val="Calibri"/>
        <family val="3"/>
        <charset val="129"/>
        <scheme val="major"/>
      </rPr>
      <t>김준희</t>
    </r>
  </si>
  <si>
    <r>
      <rPr>
        <sz val="11"/>
        <color rgb="FF000000"/>
        <rFont val="Calibri"/>
        <family val="3"/>
        <charset val="129"/>
        <scheme val="major"/>
      </rPr>
      <t>김지혁</t>
    </r>
  </si>
  <si>
    <r>
      <rPr>
        <sz val="11"/>
        <color rgb="FF000000"/>
        <rFont val="Calibri"/>
        <family val="3"/>
        <charset val="129"/>
        <scheme val="major"/>
      </rPr>
      <t>김지현</t>
    </r>
  </si>
  <si>
    <r>
      <rPr>
        <sz val="11"/>
        <color rgb="FF000000"/>
        <rFont val="Calibri"/>
        <family val="3"/>
        <charset val="129"/>
        <scheme val="major"/>
      </rPr>
      <t>김한솔</t>
    </r>
  </si>
  <si>
    <r>
      <rPr>
        <sz val="11"/>
        <color rgb="FF000000"/>
        <rFont val="Calibri"/>
        <family val="3"/>
        <charset val="129"/>
        <scheme val="major"/>
      </rPr>
      <t>김한열</t>
    </r>
  </si>
  <si>
    <r>
      <rPr>
        <sz val="11"/>
        <color rgb="FF000000"/>
        <rFont val="Calibri"/>
        <family val="3"/>
        <charset val="129"/>
        <scheme val="major"/>
      </rPr>
      <t>나건우</t>
    </r>
  </si>
  <si>
    <r>
      <rPr>
        <sz val="11"/>
        <color rgb="FF000000"/>
        <rFont val="Calibri"/>
        <family val="3"/>
        <charset val="129"/>
        <scheme val="major"/>
      </rPr>
      <t>신동윤</t>
    </r>
  </si>
  <si>
    <r>
      <rPr>
        <sz val="11"/>
        <color rgb="FF000000"/>
        <rFont val="Calibri"/>
        <family val="3"/>
        <charset val="129"/>
        <scheme val="major"/>
      </rPr>
      <t>신민찬</t>
    </r>
  </si>
  <si>
    <r>
      <rPr>
        <sz val="11"/>
        <color rgb="FF000000"/>
        <rFont val="Calibri"/>
        <family val="3"/>
        <charset val="129"/>
        <scheme val="major"/>
      </rPr>
      <t>심승운</t>
    </r>
  </si>
  <si>
    <r>
      <rPr>
        <sz val="11"/>
        <color rgb="FF000000"/>
        <rFont val="Calibri"/>
        <family val="3"/>
        <charset val="129"/>
        <scheme val="major"/>
      </rPr>
      <t>양동건</t>
    </r>
  </si>
  <si>
    <r>
      <rPr>
        <sz val="11"/>
        <color rgb="FF000000"/>
        <rFont val="Calibri"/>
        <family val="3"/>
        <charset val="129"/>
        <scheme val="major"/>
      </rPr>
      <t>이우진</t>
    </r>
  </si>
  <si>
    <r>
      <rPr>
        <sz val="11"/>
        <color rgb="FF000000"/>
        <rFont val="Calibri"/>
        <family val="3"/>
        <charset val="129"/>
        <scheme val="major"/>
      </rPr>
      <t>임주완</t>
    </r>
  </si>
  <si>
    <r>
      <rPr>
        <sz val="11"/>
        <color rgb="FF000000"/>
        <rFont val="Calibri"/>
        <family val="3"/>
        <charset val="129"/>
        <scheme val="major"/>
      </rPr>
      <t>장승호</t>
    </r>
  </si>
  <si>
    <r>
      <rPr>
        <sz val="11"/>
        <color rgb="FF000000"/>
        <rFont val="Calibri"/>
        <family val="3"/>
        <charset val="129"/>
        <scheme val="major"/>
      </rPr>
      <t>정도선</t>
    </r>
  </si>
  <si>
    <r>
      <rPr>
        <sz val="11"/>
        <color rgb="FF000000"/>
        <rFont val="Calibri"/>
        <family val="3"/>
        <charset val="129"/>
        <scheme val="major"/>
      </rPr>
      <t>정하경</t>
    </r>
  </si>
  <si>
    <r>
      <rPr>
        <sz val="11"/>
        <color rgb="FF000000"/>
        <rFont val="Calibri"/>
        <family val="3"/>
        <charset val="129"/>
        <scheme val="major"/>
      </rPr>
      <t>조영민</t>
    </r>
  </si>
  <si>
    <r>
      <rPr>
        <sz val="11"/>
        <color rgb="FF000000"/>
        <rFont val="Calibri"/>
        <family val="3"/>
        <charset val="129"/>
        <scheme val="major"/>
      </rPr>
      <t>주하랑</t>
    </r>
  </si>
  <si>
    <r>
      <rPr>
        <sz val="11"/>
        <color rgb="FF000000"/>
        <rFont val="Calibri"/>
        <family val="3"/>
        <charset val="129"/>
        <scheme val="major"/>
      </rPr>
      <t>최건희</t>
    </r>
  </si>
  <si>
    <r>
      <rPr>
        <sz val="11"/>
        <color rgb="FF000000"/>
        <rFont val="Calibri"/>
        <family val="3"/>
        <charset val="129"/>
        <scheme val="major"/>
      </rPr>
      <t>최시환</t>
    </r>
  </si>
  <si>
    <r>
      <rPr>
        <sz val="11"/>
        <color rgb="FF000000"/>
        <rFont val="Calibri"/>
        <family val="3"/>
        <charset val="129"/>
        <scheme val="major"/>
      </rPr>
      <t>최은우</t>
    </r>
  </si>
  <si>
    <r>
      <rPr>
        <sz val="11"/>
        <color rgb="FF000000"/>
        <rFont val="Calibri"/>
        <family val="3"/>
        <charset val="129"/>
        <scheme val="major"/>
      </rPr>
      <t>최재우</t>
    </r>
  </si>
  <si>
    <r>
      <rPr>
        <sz val="11"/>
        <color rgb="FF000000"/>
        <rFont val="Calibri"/>
        <family val="3"/>
        <charset val="129"/>
        <scheme val="major"/>
      </rPr>
      <t>한승우</t>
    </r>
  </si>
  <si>
    <r>
      <rPr>
        <sz val="11"/>
        <color rgb="FF000000"/>
        <rFont val="Calibri"/>
        <family val="3"/>
        <charset val="129"/>
        <scheme val="major"/>
      </rPr>
      <t>한윤슬</t>
    </r>
  </si>
  <si>
    <r>
      <rPr>
        <sz val="11"/>
        <color rgb="FF000000"/>
        <rFont val="Calibri"/>
        <family val="3"/>
        <charset val="129"/>
        <scheme val="major"/>
      </rPr>
      <t>홍승안</t>
    </r>
  </si>
  <si>
    <r>
      <rPr>
        <sz val="11"/>
        <color rgb="FF000000"/>
        <rFont val="Calibri"/>
        <family val="3"/>
        <charset val="129"/>
        <scheme val="major"/>
      </rPr>
      <t>강이재</t>
    </r>
  </si>
  <si>
    <r>
      <rPr>
        <sz val="11"/>
        <color rgb="FF000000"/>
        <rFont val="Calibri"/>
        <family val="3"/>
        <charset val="129"/>
        <scheme val="major"/>
      </rPr>
      <t>권성준</t>
    </r>
  </si>
  <si>
    <r>
      <rPr>
        <sz val="11"/>
        <color rgb="FF000000"/>
        <rFont val="Calibri"/>
        <family val="3"/>
        <charset val="129"/>
        <scheme val="major"/>
      </rPr>
      <t>김도운</t>
    </r>
  </si>
  <si>
    <r>
      <rPr>
        <sz val="11"/>
        <color rgb="FF000000"/>
        <rFont val="Calibri"/>
        <family val="3"/>
        <charset val="129"/>
        <scheme val="major"/>
      </rPr>
      <t>김연우</t>
    </r>
  </si>
  <si>
    <r>
      <rPr>
        <sz val="11"/>
        <color rgb="FF000000"/>
        <rFont val="Calibri"/>
        <family val="3"/>
        <charset val="129"/>
        <scheme val="major"/>
      </rPr>
      <t>김정훈</t>
    </r>
  </si>
  <si>
    <r>
      <rPr>
        <sz val="11"/>
        <color rgb="FF000000"/>
        <rFont val="Calibri"/>
        <family val="3"/>
        <charset val="129"/>
        <scheme val="major"/>
      </rPr>
      <t>김태욱</t>
    </r>
  </si>
  <si>
    <r>
      <rPr>
        <sz val="11"/>
        <color rgb="FF000000"/>
        <rFont val="Calibri"/>
        <family val="3"/>
        <charset val="129"/>
        <scheme val="major"/>
      </rPr>
      <t>김하민</t>
    </r>
  </si>
  <si>
    <r>
      <rPr>
        <sz val="11"/>
        <color rgb="FF000000"/>
        <rFont val="Calibri"/>
        <family val="3"/>
        <charset val="129"/>
        <scheme val="major"/>
      </rPr>
      <t>나형준</t>
    </r>
  </si>
  <si>
    <r>
      <rPr>
        <sz val="11"/>
        <color rgb="FF000000"/>
        <rFont val="Calibri"/>
        <family val="3"/>
        <charset val="129"/>
        <scheme val="major"/>
      </rPr>
      <t>노한율</t>
    </r>
  </si>
  <si>
    <r>
      <rPr>
        <sz val="11"/>
        <color rgb="FF000000"/>
        <rFont val="Calibri"/>
        <family val="3"/>
        <charset val="129"/>
        <scheme val="major"/>
      </rPr>
      <t>배수빈</t>
    </r>
  </si>
  <si>
    <r>
      <rPr>
        <sz val="11"/>
        <color rgb="FF000000"/>
        <rFont val="Calibri"/>
        <family val="3"/>
        <charset val="129"/>
        <scheme val="major"/>
      </rPr>
      <t>양태건</t>
    </r>
  </si>
  <si>
    <r>
      <rPr>
        <sz val="11"/>
        <color rgb="FF000000"/>
        <rFont val="Calibri"/>
        <family val="3"/>
        <charset val="129"/>
        <scheme val="major"/>
      </rPr>
      <t>온유</t>
    </r>
  </si>
  <si>
    <r>
      <rPr>
        <sz val="11"/>
        <color rgb="FF000000"/>
        <rFont val="Calibri"/>
        <family val="3"/>
        <charset val="129"/>
        <scheme val="major"/>
      </rPr>
      <t>유건희</t>
    </r>
  </si>
  <si>
    <r>
      <rPr>
        <sz val="11"/>
        <color rgb="FF000000"/>
        <rFont val="Calibri"/>
        <family val="3"/>
        <charset val="129"/>
        <scheme val="major"/>
      </rPr>
      <t>이도현</t>
    </r>
  </si>
  <si>
    <r>
      <rPr>
        <sz val="11"/>
        <color rgb="FF000000"/>
        <rFont val="Calibri"/>
        <family val="3"/>
        <charset val="129"/>
        <scheme val="major"/>
      </rPr>
      <t>이시우</t>
    </r>
  </si>
  <si>
    <r>
      <rPr>
        <sz val="11"/>
        <color rgb="FF000000"/>
        <rFont val="Calibri"/>
        <family val="3"/>
        <charset val="129"/>
        <scheme val="major"/>
      </rPr>
      <t>이시헌</t>
    </r>
  </si>
  <si>
    <r>
      <rPr>
        <sz val="11"/>
        <color rgb="FF000000"/>
        <rFont val="Calibri"/>
        <family val="3"/>
        <charset val="129"/>
        <scheme val="major"/>
      </rPr>
      <t>이예준</t>
    </r>
  </si>
  <si>
    <r>
      <rPr>
        <sz val="11"/>
        <color rgb="FF000000"/>
        <rFont val="Calibri"/>
        <family val="3"/>
        <charset val="129"/>
        <scheme val="major"/>
      </rPr>
      <t>이주한</t>
    </r>
  </si>
  <si>
    <r>
      <rPr>
        <sz val="11"/>
        <color rgb="FF000000"/>
        <rFont val="Calibri"/>
        <family val="3"/>
        <charset val="129"/>
        <scheme val="major"/>
      </rPr>
      <t>조은상</t>
    </r>
  </si>
  <si>
    <r>
      <rPr>
        <sz val="11"/>
        <color rgb="FF000000"/>
        <rFont val="Calibri"/>
        <family val="3"/>
        <charset val="129"/>
        <scheme val="major"/>
      </rPr>
      <t>조찬형</t>
    </r>
  </si>
  <si>
    <r>
      <rPr>
        <sz val="11"/>
        <color rgb="FF000000"/>
        <rFont val="Calibri"/>
        <family val="3"/>
        <charset val="129"/>
        <scheme val="major"/>
      </rPr>
      <t>차선호</t>
    </r>
  </si>
  <si>
    <r>
      <rPr>
        <sz val="11"/>
        <color rgb="FF000000"/>
        <rFont val="Calibri"/>
        <family val="3"/>
        <charset val="129"/>
        <scheme val="major"/>
      </rPr>
      <t>최정수</t>
    </r>
  </si>
  <si>
    <r>
      <rPr>
        <sz val="11"/>
        <color rgb="FF000000"/>
        <rFont val="Calibri"/>
        <family val="3"/>
        <charset val="129"/>
        <scheme val="major"/>
      </rPr>
      <t>최주원</t>
    </r>
  </si>
  <si>
    <r>
      <rPr>
        <sz val="11"/>
        <color rgb="FF000000"/>
        <rFont val="Calibri"/>
        <family val="3"/>
        <charset val="129"/>
        <scheme val="major"/>
      </rPr>
      <t>최지원</t>
    </r>
  </si>
  <si>
    <r>
      <rPr>
        <sz val="11"/>
        <color rgb="FF000000"/>
        <rFont val="Calibri"/>
        <family val="3"/>
        <charset val="129"/>
        <scheme val="major"/>
      </rPr>
      <t>한건영</t>
    </r>
  </si>
  <si>
    <r>
      <rPr>
        <sz val="11"/>
        <color rgb="FF000000"/>
        <rFont val="Calibri"/>
        <family val="3"/>
        <charset val="129"/>
        <scheme val="major"/>
      </rPr>
      <t>형준원</t>
    </r>
  </si>
  <si>
    <r>
      <rPr>
        <sz val="11"/>
        <color rgb="FF000000"/>
        <rFont val="Calibri"/>
        <family val="3"/>
        <charset val="129"/>
        <scheme val="major"/>
      </rPr>
      <t>권율</t>
    </r>
  </si>
  <si>
    <r>
      <rPr>
        <sz val="11"/>
        <color rgb="FF000000"/>
        <rFont val="Calibri"/>
        <family val="3"/>
        <charset val="129"/>
        <scheme val="major"/>
      </rPr>
      <t>김민찬</t>
    </r>
  </si>
  <si>
    <r>
      <rPr>
        <sz val="11"/>
        <color rgb="FF000000"/>
        <rFont val="Calibri"/>
        <family val="3"/>
        <charset val="129"/>
        <scheme val="major"/>
      </rPr>
      <t>김준우</t>
    </r>
  </si>
  <si>
    <r>
      <rPr>
        <sz val="11"/>
        <color rgb="FF000000"/>
        <rFont val="Calibri"/>
        <family val="3"/>
        <charset val="129"/>
        <scheme val="major"/>
      </rPr>
      <t>김태윤</t>
    </r>
  </si>
  <si>
    <r>
      <rPr>
        <sz val="11"/>
        <color rgb="FF000000"/>
        <rFont val="Calibri"/>
        <family val="3"/>
        <charset val="129"/>
        <scheme val="major"/>
      </rPr>
      <t>노지형</t>
    </r>
  </si>
  <si>
    <r>
      <rPr>
        <sz val="11"/>
        <color rgb="FF000000"/>
        <rFont val="Calibri"/>
        <family val="3"/>
        <charset val="129"/>
        <scheme val="major"/>
      </rPr>
      <t>박준영</t>
    </r>
  </si>
  <si>
    <r>
      <rPr>
        <sz val="11"/>
        <color rgb="FF000000"/>
        <rFont val="Calibri"/>
        <family val="3"/>
        <charset val="129"/>
        <scheme val="major"/>
      </rPr>
      <t>백지훈</t>
    </r>
  </si>
  <si>
    <r>
      <rPr>
        <sz val="11"/>
        <color rgb="FF000000"/>
        <rFont val="Calibri"/>
        <family val="3"/>
        <charset val="129"/>
        <scheme val="major"/>
      </rPr>
      <t>성민수</t>
    </r>
  </si>
  <si>
    <r>
      <rPr>
        <sz val="11"/>
        <color rgb="FF000000"/>
        <rFont val="Calibri"/>
        <family val="3"/>
        <charset val="129"/>
        <scheme val="major"/>
      </rPr>
      <t>성진우</t>
    </r>
  </si>
  <si>
    <r>
      <rPr>
        <sz val="11"/>
        <color rgb="FF000000"/>
        <rFont val="Calibri"/>
        <family val="3"/>
        <charset val="129"/>
        <scheme val="major"/>
      </rPr>
      <t>안인호</t>
    </r>
  </si>
  <si>
    <r>
      <rPr>
        <sz val="11"/>
        <color rgb="FF000000"/>
        <rFont val="Calibri"/>
        <family val="3"/>
        <charset val="129"/>
        <scheme val="major"/>
      </rPr>
      <t>양태율</t>
    </r>
  </si>
  <si>
    <r>
      <rPr>
        <sz val="11"/>
        <color rgb="FF000000"/>
        <rFont val="Calibri"/>
        <family val="3"/>
        <charset val="129"/>
        <scheme val="major"/>
      </rPr>
      <t>유영국</t>
    </r>
  </si>
  <si>
    <r>
      <rPr>
        <sz val="11"/>
        <color rgb="FF000000"/>
        <rFont val="Calibri"/>
        <family val="3"/>
        <charset val="129"/>
        <scheme val="major"/>
      </rPr>
      <t>유태훈</t>
    </r>
  </si>
  <si>
    <r>
      <rPr>
        <sz val="11"/>
        <color rgb="FF000000"/>
        <rFont val="Calibri"/>
        <family val="3"/>
        <charset val="129"/>
        <scheme val="major"/>
      </rPr>
      <t>이도윤</t>
    </r>
  </si>
  <si>
    <r>
      <rPr>
        <sz val="11"/>
        <color rgb="FF000000"/>
        <rFont val="Calibri"/>
        <family val="3"/>
        <charset val="129"/>
        <scheme val="major"/>
      </rPr>
      <t>이병헌</t>
    </r>
  </si>
  <si>
    <r>
      <rPr>
        <sz val="11"/>
        <color rgb="FF000000"/>
        <rFont val="Calibri"/>
        <family val="3"/>
        <charset val="129"/>
        <scheme val="major"/>
      </rPr>
      <t>이서준</t>
    </r>
  </si>
  <si>
    <r>
      <rPr>
        <sz val="11"/>
        <color rgb="FF000000"/>
        <rFont val="Calibri"/>
        <family val="3"/>
        <charset val="129"/>
        <scheme val="major"/>
      </rPr>
      <t>이윤곤</t>
    </r>
  </si>
  <si>
    <r>
      <rPr>
        <sz val="11"/>
        <color rgb="FF000000"/>
        <rFont val="Calibri"/>
        <family val="3"/>
        <charset val="129"/>
        <scheme val="major"/>
      </rPr>
      <t>장도현</t>
    </r>
  </si>
  <si>
    <r>
      <rPr>
        <sz val="11"/>
        <color rgb="FF000000"/>
        <rFont val="Calibri"/>
        <family val="3"/>
        <charset val="129"/>
        <scheme val="major"/>
      </rPr>
      <t>전근우</t>
    </r>
  </si>
  <si>
    <r>
      <rPr>
        <sz val="11"/>
        <color rgb="FF000000"/>
        <rFont val="Calibri"/>
        <family val="3"/>
        <charset val="129"/>
        <scheme val="major"/>
      </rPr>
      <t>정석현</t>
    </r>
  </si>
  <si>
    <r>
      <rPr>
        <sz val="11"/>
        <color rgb="FF000000"/>
        <rFont val="Calibri"/>
        <family val="3"/>
        <charset val="129"/>
        <scheme val="major"/>
      </rPr>
      <t>정한슬</t>
    </r>
  </si>
  <si>
    <r>
      <rPr>
        <sz val="11"/>
        <color rgb="FF000000"/>
        <rFont val="Calibri"/>
        <family val="3"/>
        <charset val="129"/>
        <scheme val="major"/>
      </rPr>
      <t>조성훈</t>
    </r>
  </si>
  <si>
    <r>
      <rPr>
        <sz val="11"/>
        <color rgb="FF000000"/>
        <rFont val="Calibri"/>
        <family val="3"/>
        <charset val="129"/>
        <scheme val="major"/>
      </rPr>
      <t>조한율</t>
    </r>
  </si>
  <si>
    <r>
      <rPr>
        <sz val="11"/>
        <color rgb="FF000000"/>
        <rFont val="Calibri"/>
        <family val="3"/>
        <charset val="129"/>
        <scheme val="major"/>
      </rPr>
      <t>하승우</t>
    </r>
  </si>
  <si>
    <r>
      <rPr>
        <sz val="11"/>
        <color rgb="FF000000"/>
        <rFont val="Calibri"/>
        <family val="3"/>
        <charset val="129"/>
        <scheme val="major"/>
      </rPr>
      <t>하정우</t>
    </r>
  </si>
  <si>
    <r>
      <rPr>
        <sz val="11"/>
        <color rgb="FF000000"/>
        <rFont val="Calibri"/>
        <family val="3"/>
        <charset val="129"/>
        <scheme val="major"/>
      </rPr>
      <t>한재욱</t>
    </r>
  </si>
  <si>
    <r>
      <rPr>
        <sz val="11"/>
        <color rgb="FF000000"/>
        <rFont val="Calibri"/>
        <family val="3"/>
        <charset val="129"/>
        <scheme val="major"/>
      </rPr>
      <t>허진혁</t>
    </r>
  </si>
  <si>
    <r>
      <rPr>
        <sz val="11"/>
        <color rgb="FF000000"/>
        <rFont val="Calibri"/>
        <family val="3"/>
        <charset val="129"/>
        <scheme val="major"/>
      </rPr>
      <t>구태양</t>
    </r>
  </si>
  <si>
    <r>
      <rPr>
        <sz val="11"/>
        <color rgb="FF000000"/>
        <rFont val="Calibri"/>
        <family val="3"/>
        <charset val="129"/>
        <scheme val="major"/>
      </rPr>
      <t>김도훈</t>
    </r>
  </si>
  <si>
    <r>
      <rPr>
        <sz val="11"/>
        <color rgb="FF000000"/>
        <rFont val="Calibri"/>
        <family val="3"/>
        <charset val="129"/>
        <scheme val="major"/>
      </rPr>
      <t>김륜환</t>
    </r>
  </si>
  <si>
    <r>
      <rPr>
        <sz val="11"/>
        <color rgb="FF000000"/>
        <rFont val="Calibri"/>
        <family val="3"/>
        <charset val="129"/>
        <scheme val="major"/>
      </rPr>
      <t>김윤찬</t>
    </r>
  </si>
  <si>
    <r>
      <rPr>
        <sz val="11"/>
        <color rgb="FF000000"/>
        <rFont val="Calibri"/>
        <family val="3"/>
        <charset val="129"/>
        <scheme val="major"/>
      </rPr>
      <t>김준형</t>
    </r>
  </si>
  <si>
    <r>
      <rPr>
        <sz val="11"/>
        <color rgb="FF000000"/>
        <rFont val="Calibri"/>
        <family val="3"/>
        <charset val="129"/>
        <scheme val="major"/>
      </rPr>
      <t>김형찬</t>
    </r>
  </si>
  <si>
    <r>
      <rPr>
        <sz val="11"/>
        <color rgb="FF000000"/>
        <rFont val="Calibri"/>
        <family val="3"/>
        <charset val="129"/>
        <scheme val="major"/>
      </rPr>
      <t>배지훈</t>
    </r>
  </si>
  <si>
    <r>
      <rPr>
        <sz val="11"/>
        <color rgb="FF000000"/>
        <rFont val="Calibri"/>
        <family val="3"/>
        <charset val="129"/>
        <scheme val="major"/>
      </rPr>
      <t>소지빈</t>
    </r>
  </si>
  <si>
    <r>
      <rPr>
        <sz val="11"/>
        <color rgb="FF000000"/>
        <rFont val="Calibri"/>
        <family val="3"/>
        <charset val="129"/>
        <scheme val="major"/>
      </rPr>
      <t>송도협</t>
    </r>
  </si>
  <si>
    <r>
      <rPr>
        <sz val="11"/>
        <color rgb="FF000000"/>
        <rFont val="Calibri"/>
        <family val="3"/>
        <charset val="129"/>
        <scheme val="major"/>
      </rPr>
      <t>오선민</t>
    </r>
  </si>
  <si>
    <r>
      <rPr>
        <sz val="11"/>
        <color rgb="FF000000"/>
        <rFont val="Calibri"/>
        <family val="3"/>
        <charset val="129"/>
        <scheme val="major"/>
      </rPr>
      <t>유건우</t>
    </r>
  </si>
  <si>
    <r>
      <rPr>
        <sz val="11"/>
        <color rgb="FF000000"/>
        <rFont val="Calibri"/>
        <family val="3"/>
        <charset val="129"/>
        <scheme val="major"/>
      </rPr>
      <t>윤민혁</t>
    </r>
  </si>
  <si>
    <r>
      <rPr>
        <sz val="11"/>
        <color rgb="FF000000"/>
        <rFont val="Calibri"/>
        <family val="3"/>
        <charset val="129"/>
        <scheme val="major"/>
      </rPr>
      <t>윤우현</t>
    </r>
  </si>
  <si>
    <r>
      <rPr>
        <sz val="11"/>
        <color rgb="FF000000"/>
        <rFont val="Calibri"/>
        <family val="3"/>
        <charset val="129"/>
        <scheme val="major"/>
      </rPr>
      <t>이준영</t>
    </r>
  </si>
  <si>
    <r>
      <rPr>
        <sz val="11"/>
        <color rgb="FF000000"/>
        <rFont val="Calibri"/>
        <family val="3"/>
        <charset val="129"/>
        <scheme val="major"/>
      </rPr>
      <t>이준현</t>
    </r>
  </si>
  <si>
    <r>
      <rPr>
        <sz val="11"/>
        <color rgb="FF000000"/>
        <rFont val="Calibri"/>
        <family val="3"/>
        <charset val="129"/>
        <scheme val="major"/>
      </rPr>
      <t>임재영</t>
    </r>
  </si>
  <si>
    <r>
      <rPr>
        <sz val="11"/>
        <color rgb="FF000000"/>
        <rFont val="Calibri"/>
        <family val="3"/>
        <charset val="129"/>
        <scheme val="major"/>
      </rPr>
      <t>임지훈</t>
    </r>
  </si>
  <si>
    <r>
      <rPr>
        <sz val="11"/>
        <color rgb="FF000000"/>
        <rFont val="Calibri"/>
        <family val="3"/>
        <charset val="129"/>
        <scheme val="major"/>
      </rPr>
      <t>장성우</t>
    </r>
  </si>
  <si>
    <r>
      <rPr>
        <sz val="11"/>
        <color rgb="FF000000"/>
        <rFont val="Calibri"/>
        <family val="3"/>
        <charset val="129"/>
        <scheme val="major"/>
      </rPr>
      <t>장혁</t>
    </r>
  </si>
  <si>
    <r>
      <rPr>
        <sz val="11"/>
        <color rgb="FF000000"/>
        <rFont val="Calibri"/>
        <family val="3"/>
        <charset val="129"/>
        <scheme val="major"/>
      </rPr>
      <t>장현수</t>
    </r>
  </si>
  <si>
    <r>
      <rPr>
        <sz val="11"/>
        <color rgb="FF000000"/>
        <rFont val="Calibri"/>
        <family val="3"/>
        <charset val="129"/>
        <scheme val="major"/>
      </rPr>
      <t>정연준</t>
    </r>
  </si>
  <si>
    <r>
      <rPr>
        <sz val="11"/>
        <color rgb="FF000000"/>
        <rFont val="Calibri"/>
        <family val="3"/>
        <charset val="129"/>
        <scheme val="major"/>
      </rPr>
      <t>정은빈</t>
    </r>
  </si>
  <si>
    <r>
      <rPr>
        <sz val="11"/>
        <color rgb="FF000000"/>
        <rFont val="Calibri"/>
        <family val="3"/>
        <charset val="129"/>
        <scheme val="major"/>
      </rPr>
      <t>정지후</t>
    </r>
  </si>
  <si>
    <r>
      <rPr>
        <sz val="11"/>
        <color rgb="FF000000"/>
        <rFont val="Calibri"/>
        <family val="3"/>
        <charset val="129"/>
        <scheme val="major"/>
      </rPr>
      <t>진태규</t>
    </r>
  </si>
  <si>
    <r>
      <rPr>
        <sz val="11"/>
        <color rgb="FF000000"/>
        <rFont val="Calibri"/>
        <family val="3"/>
        <charset val="129"/>
        <scheme val="major"/>
      </rPr>
      <t>최석진</t>
    </r>
  </si>
  <si>
    <r>
      <rPr>
        <sz val="11"/>
        <color rgb="FF000000"/>
        <rFont val="Calibri"/>
        <family val="3"/>
        <charset val="129"/>
        <scheme val="major"/>
      </rPr>
      <t>최준영</t>
    </r>
  </si>
  <si>
    <r>
      <rPr>
        <sz val="11"/>
        <color rgb="FF000000"/>
        <rFont val="Calibri"/>
        <family val="3"/>
        <charset val="129"/>
        <scheme val="major"/>
      </rPr>
      <t>허준혁</t>
    </r>
  </si>
  <si>
    <r>
      <rPr>
        <sz val="11"/>
        <color rgb="FF000000"/>
        <rFont val="Calibri"/>
        <family val="3"/>
        <charset val="129"/>
        <scheme val="major"/>
      </rPr>
      <t>고은서</t>
    </r>
  </si>
  <si>
    <r>
      <rPr>
        <sz val="11"/>
        <color rgb="FF000000"/>
        <rFont val="Calibri"/>
        <family val="3"/>
        <charset val="129"/>
        <scheme val="major"/>
      </rPr>
      <t>구민아</t>
    </r>
  </si>
  <si>
    <r>
      <rPr>
        <sz val="11"/>
        <color rgb="FF000000"/>
        <rFont val="Calibri"/>
        <family val="3"/>
        <charset val="129"/>
        <scheme val="major"/>
      </rPr>
      <t>국희율</t>
    </r>
  </si>
  <si>
    <r>
      <rPr>
        <sz val="11"/>
        <color rgb="FF000000"/>
        <rFont val="Calibri"/>
        <family val="3"/>
        <charset val="129"/>
        <scheme val="major"/>
      </rPr>
      <t>김서연</t>
    </r>
  </si>
  <si>
    <r>
      <rPr>
        <sz val="11"/>
        <color rgb="FF000000"/>
        <rFont val="Calibri"/>
        <family val="3"/>
        <charset val="129"/>
        <scheme val="major"/>
      </rPr>
      <t>김승아</t>
    </r>
  </si>
  <si>
    <r>
      <rPr>
        <sz val="11"/>
        <color rgb="FF000000"/>
        <rFont val="Calibri"/>
        <family val="3"/>
        <charset val="129"/>
        <scheme val="major"/>
      </rPr>
      <t>김태희</t>
    </r>
  </si>
  <si>
    <r>
      <rPr>
        <sz val="11"/>
        <color rgb="FF000000"/>
        <rFont val="Calibri"/>
        <family val="3"/>
        <charset val="129"/>
        <scheme val="major"/>
      </rPr>
      <t>김하나</t>
    </r>
  </si>
  <si>
    <r>
      <rPr>
        <sz val="11"/>
        <color rgb="FF000000"/>
        <rFont val="Calibri"/>
        <family val="3"/>
        <charset val="129"/>
        <scheme val="major"/>
      </rPr>
      <t>김하울</t>
    </r>
  </si>
  <si>
    <r>
      <rPr>
        <sz val="11"/>
        <color rgb="FF000000"/>
        <rFont val="Calibri"/>
        <family val="3"/>
        <charset val="129"/>
        <scheme val="major"/>
      </rPr>
      <t>박건희</t>
    </r>
  </si>
  <si>
    <r>
      <rPr>
        <sz val="11"/>
        <color rgb="FF000000"/>
        <rFont val="Calibri"/>
        <family val="3"/>
        <charset val="129"/>
        <scheme val="major"/>
      </rPr>
      <t>박다은</t>
    </r>
  </si>
  <si>
    <r>
      <rPr>
        <sz val="11"/>
        <color rgb="FF000000"/>
        <rFont val="Calibri"/>
        <family val="3"/>
        <charset val="129"/>
        <scheme val="major"/>
      </rPr>
      <t>박선아</t>
    </r>
  </si>
  <si>
    <r>
      <rPr>
        <sz val="11"/>
        <color rgb="FF000000"/>
        <rFont val="Calibri"/>
        <family val="3"/>
        <charset val="129"/>
        <scheme val="major"/>
      </rPr>
      <t>박혜윤</t>
    </r>
  </si>
  <si>
    <r>
      <rPr>
        <sz val="11"/>
        <color rgb="FF000000"/>
        <rFont val="Calibri"/>
        <family val="3"/>
        <charset val="129"/>
        <scheme val="major"/>
      </rPr>
      <t>신주하</t>
    </r>
  </si>
  <si>
    <r>
      <rPr>
        <sz val="11"/>
        <color rgb="FF000000"/>
        <rFont val="Calibri"/>
        <family val="3"/>
        <charset val="129"/>
        <scheme val="major"/>
      </rPr>
      <t>양유나</t>
    </r>
  </si>
  <si>
    <r>
      <rPr>
        <sz val="11"/>
        <color rgb="FF000000"/>
        <rFont val="Calibri"/>
        <family val="3"/>
        <charset val="129"/>
        <scheme val="major"/>
      </rPr>
      <t>윤정민</t>
    </r>
  </si>
  <si>
    <r>
      <rPr>
        <sz val="11"/>
        <color rgb="FF000000"/>
        <rFont val="Calibri"/>
        <family val="3"/>
        <charset val="129"/>
        <scheme val="major"/>
      </rPr>
      <t>윤지우</t>
    </r>
  </si>
  <si>
    <r>
      <rPr>
        <sz val="11"/>
        <color rgb="FF000000"/>
        <rFont val="Calibri"/>
        <family val="3"/>
        <charset val="129"/>
        <scheme val="major"/>
      </rPr>
      <t>이다은</t>
    </r>
  </si>
  <si>
    <r>
      <rPr>
        <sz val="11"/>
        <color rgb="FF000000"/>
        <rFont val="Calibri"/>
        <family val="3"/>
        <charset val="129"/>
        <scheme val="major"/>
      </rPr>
      <t>이시원</t>
    </r>
  </si>
  <si>
    <r>
      <rPr>
        <sz val="11"/>
        <color rgb="FF000000"/>
        <rFont val="Calibri"/>
        <family val="3"/>
        <charset val="129"/>
        <scheme val="major"/>
      </rPr>
      <t>장은진</t>
    </r>
  </si>
  <si>
    <r>
      <rPr>
        <sz val="11"/>
        <color rgb="FF000000"/>
        <rFont val="Calibri"/>
        <family val="3"/>
        <charset val="129"/>
        <scheme val="major"/>
      </rPr>
      <t>정예린</t>
    </r>
  </si>
  <si>
    <r>
      <rPr>
        <sz val="11"/>
        <color rgb="FF000000"/>
        <rFont val="Calibri"/>
        <family val="3"/>
        <charset val="129"/>
        <scheme val="major"/>
      </rPr>
      <t>정효민</t>
    </r>
  </si>
  <si>
    <r>
      <rPr>
        <sz val="11"/>
        <color rgb="FF000000"/>
        <rFont val="Calibri"/>
        <family val="3"/>
        <charset val="129"/>
        <scheme val="major"/>
      </rPr>
      <t>조아영</t>
    </r>
  </si>
  <si>
    <r>
      <rPr>
        <sz val="11"/>
        <color rgb="FF000000"/>
        <rFont val="Calibri"/>
        <family val="3"/>
        <charset val="129"/>
        <scheme val="major"/>
      </rPr>
      <t>조여명</t>
    </r>
  </si>
  <si>
    <r>
      <rPr>
        <sz val="11"/>
        <color rgb="FF000000"/>
        <rFont val="Calibri"/>
        <family val="3"/>
        <charset val="129"/>
        <scheme val="major"/>
      </rPr>
      <t>최수아</t>
    </r>
  </si>
  <si>
    <r>
      <rPr>
        <sz val="11"/>
        <color rgb="FF000000"/>
        <rFont val="Calibri"/>
        <family val="3"/>
        <charset val="129"/>
        <scheme val="major"/>
      </rPr>
      <t>최아인</t>
    </r>
  </si>
  <si>
    <r>
      <rPr>
        <sz val="11"/>
        <color rgb="FF000000"/>
        <rFont val="Calibri"/>
        <family val="3"/>
        <charset val="129"/>
        <scheme val="major"/>
      </rPr>
      <t>한나연</t>
    </r>
  </si>
  <si>
    <r>
      <rPr>
        <sz val="11"/>
        <color rgb="FF000000"/>
        <rFont val="Calibri"/>
        <family val="3"/>
        <charset val="129"/>
        <scheme val="major"/>
      </rPr>
      <t>황지우</t>
    </r>
  </si>
  <si>
    <r>
      <rPr>
        <sz val="11"/>
        <color rgb="FF000000"/>
        <rFont val="Calibri"/>
        <family val="3"/>
        <charset val="129"/>
        <scheme val="major"/>
      </rPr>
      <t>김가연</t>
    </r>
  </si>
  <si>
    <r>
      <rPr>
        <sz val="11"/>
        <color rgb="FF000000"/>
        <rFont val="Calibri"/>
        <family val="3"/>
        <charset val="129"/>
        <scheme val="major"/>
      </rPr>
      <t>김유정</t>
    </r>
  </si>
  <si>
    <r>
      <rPr>
        <sz val="11"/>
        <color rgb="FF000000"/>
        <rFont val="Calibri"/>
        <family val="3"/>
        <charset val="129"/>
        <scheme val="major"/>
      </rPr>
      <t>김윤주</t>
    </r>
  </si>
  <si>
    <r>
      <rPr>
        <sz val="11"/>
        <color rgb="FF000000"/>
        <rFont val="Calibri"/>
        <family val="3"/>
        <charset val="129"/>
        <scheme val="major"/>
      </rPr>
      <t>김해린</t>
    </r>
  </si>
  <si>
    <r>
      <rPr>
        <sz val="11"/>
        <color rgb="FF000000"/>
        <rFont val="Calibri"/>
        <family val="3"/>
        <charset val="129"/>
        <scheme val="major"/>
      </rPr>
      <t>모규리</t>
    </r>
  </si>
  <si>
    <r>
      <rPr>
        <sz val="11"/>
        <color rgb="FF000000"/>
        <rFont val="Calibri"/>
        <family val="3"/>
        <charset val="129"/>
        <scheme val="major"/>
      </rPr>
      <t>박라희</t>
    </r>
  </si>
  <si>
    <r>
      <rPr>
        <sz val="11"/>
        <color rgb="FF000000"/>
        <rFont val="Calibri"/>
        <family val="3"/>
        <charset val="129"/>
        <scheme val="major"/>
      </rPr>
      <t>박시은</t>
    </r>
  </si>
  <si>
    <r>
      <rPr>
        <sz val="11"/>
        <color rgb="FF000000"/>
        <rFont val="Calibri"/>
        <family val="3"/>
        <charset val="129"/>
        <scheme val="major"/>
      </rPr>
      <t>선해민</t>
    </r>
  </si>
  <si>
    <r>
      <rPr>
        <sz val="11"/>
        <color rgb="FF000000"/>
        <rFont val="Calibri"/>
        <family val="3"/>
        <charset val="129"/>
        <scheme val="major"/>
      </rPr>
      <t>성채이</t>
    </r>
  </si>
  <si>
    <r>
      <rPr>
        <sz val="11"/>
        <color rgb="FF000000"/>
        <rFont val="Calibri"/>
        <family val="3"/>
        <charset val="129"/>
        <scheme val="major"/>
      </rPr>
      <t>송시은</t>
    </r>
  </si>
  <si>
    <r>
      <rPr>
        <sz val="11"/>
        <color rgb="FF000000"/>
        <rFont val="Calibri"/>
        <family val="3"/>
        <charset val="129"/>
        <scheme val="major"/>
      </rPr>
      <t>신비</t>
    </r>
  </si>
  <si>
    <r>
      <rPr>
        <sz val="11"/>
        <color rgb="FF000000"/>
        <rFont val="Calibri"/>
        <family val="3"/>
        <charset val="129"/>
        <scheme val="major"/>
      </rPr>
      <t>신주영</t>
    </r>
  </si>
  <si>
    <r>
      <rPr>
        <sz val="11"/>
        <color rgb="FF000000"/>
        <rFont val="Calibri"/>
        <family val="3"/>
        <charset val="129"/>
        <scheme val="major"/>
      </rPr>
      <t>양다경</t>
    </r>
  </si>
  <si>
    <r>
      <rPr>
        <sz val="11"/>
        <color rgb="FF000000"/>
        <rFont val="Calibri"/>
        <family val="3"/>
        <charset val="129"/>
        <scheme val="major"/>
      </rPr>
      <t>이신우</t>
    </r>
  </si>
  <si>
    <r>
      <rPr>
        <sz val="11"/>
        <color rgb="FF000000"/>
        <rFont val="Calibri"/>
        <family val="3"/>
        <charset val="129"/>
        <scheme val="major"/>
      </rPr>
      <t>이아현</t>
    </r>
  </si>
  <si>
    <r>
      <rPr>
        <sz val="11"/>
        <color rgb="FF000000"/>
        <rFont val="Calibri"/>
        <family val="3"/>
        <charset val="129"/>
        <scheme val="major"/>
      </rPr>
      <t>이혜원</t>
    </r>
  </si>
  <si>
    <r>
      <rPr>
        <sz val="11"/>
        <color rgb="FF000000"/>
        <rFont val="Calibri"/>
        <family val="3"/>
        <charset val="129"/>
        <scheme val="major"/>
      </rPr>
      <t>임아현</t>
    </r>
  </si>
  <si>
    <r>
      <rPr>
        <sz val="11"/>
        <color rgb="FF000000"/>
        <rFont val="Calibri"/>
        <family val="3"/>
        <charset val="129"/>
        <scheme val="major"/>
      </rPr>
      <t>정선경</t>
    </r>
  </si>
  <si>
    <r>
      <rPr>
        <sz val="11"/>
        <color rgb="FF000000"/>
        <rFont val="Calibri"/>
        <family val="3"/>
        <charset val="129"/>
        <scheme val="major"/>
      </rPr>
      <t>정세령</t>
    </r>
  </si>
  <si>
    <r>
      <rPr>
        <sz val="11"/>
        <color rgb="FF000000"/>
        <rFont val="Calibri"/>
        <family val="3"/>
        <charset val="129"/>
        <scheme val="major"/>
      </rPr>
      <t>정시윤</t>
    </r>
  </si>
  <si>
    <r>
      <rPr>
        <sz val="11"/>
        <color rgb="FF000000"/>
        <rFont val="Calibri"/>
        <family val="3"/>
        <charset val="129"/>
        <scheme val="major"/>
      </rPr>
      <t>지서린</t>
    </r>
  </si>
  <si>
    <r>
      <rPr>
        <sz val="11"/>
        <color rgb="FF000000"/>
        <rFont val="Calibri"/>
        <family val="3"/>
        <charset val="129"/>
        <scheme val="major"/>
      </rPr>
      <t>지은율</t>
    </r>
  </si>
  <si>
    <r>
      <rPr>
        <sz val="11"/>
        <color rgb="FF000000"/>
        <rFont val="Calibri"/>
        <family val="3"/>
        <charset val="129"/>
        <scheme val="major"/>
      </rPr>
      <t>채린</t>
    </r>
  </si>
  <si>
    <r>
      <rPr>
        <sz val="11"/>
        <color rgb="FF000000"/>
        <rFont val="Calibri"/>
        <family val="3"/>
        <charset val="129"/>
        <scheme val="major"/>
      </rPr>
      <t>최서정</t>
    </r>
  </si>
  <si>
    <r>
      <rPr>
        <sz val="11"/>
        <color rgb="FF000000"/>
        <rFont val="Calibri"/>
        <family val="3"/>
        <charset val="129"/>
        <scheme val="major"/>
      </rPr>
      <t>최유나</t>
    </r>
  </si>
  <si>
    <r>
      <rPr>
        <sz val="11"/>
        <color rgb="FF000000"/>
        <rFont val="Calibri"/>
        <family val="3"/>
        <charset val="129"/>
        <scheme val="major"/>
      </rPr>
      <t>최윤서</t>
    </r>
  </si>
  <si>
    <r>
      <rPr>
        <sz val="11"/>
        <color rgb="FF000000"/>
        <rFont val="Calibri"/>
        <family val="3"/>
        <charset val="129"/>
        <scheme val="major"/>
      </rPr>
      <t>최혜린</t>
    </r>
  </si>
  <si>
    <r>
      <rPr>
        <sz val="11"/>
        <color rgb="FF000000"/>
        <rFont val="Calibri"/>
        <family val="3"/>
        <charset val="129"/>
        <scheme val="major"/>
      </rPr>
      <t>홍예은</t>
    </r>
  </si>
  <si>
    <r>
      <rPr>
        <sz val="11"/>
        <color rgb="FF000000"/>
        <rFont val="Calibri"/>
        <family val="3"/>
        <charset val="129"/>
        <scheme val="major"/>
      </rPr>
      <t>강혜정</t>
    </r>
  </si>
  <si>
    <r>
      <rPr>
        <sz val="11"/>
        <color rgb="FF000000"/>
        <rFont val="Calibri"/>
        <family val="3"/>
        <charset val="129"/>
        <scheme val="major"/>
      </rPr>
      <t>고유주</t>
    </r>
  </si>
  <si>
    <r>
      <rPr>
        <sz val="11"/>
        <color rgb="FF000000"/>
        <rFont val="Calibri"/>
        <family val="3"/>
        <charset val="129"/>
        <scheme val="major"/>
      </rPr>
      <t>김수아</t>
    </r>
  </si>
  <si>
    <r>
      <rPr>
        <sz val="11"/>
        <color rgb="FF000000"/>
        <rFont val="Calibri"/>
        <family val="3"/>
        <charset val="129"/>
        <scheme val="major"/>
      </rPr>
      <t>김연이</t>
    </r>
  </si>
  <si>
    <r>
      <rPr>
        <sz val="11"/>
        <color rgb="FF000000"/>
        <rFont val="Calibri"/>
        <family val="3"/>
        <charset val="129"/>
        <scheme val="major"/>
      </rPr>
      <t>김하은</t>
    </r>
  </si>
  <si>
    <r>
      <rPr>
        <sz val="11"/>
        <color rgb="FF000000"/>
        <rFont val="Calibri"/>
        <family val="3"/>
        <charset val="129"/>
        <scheme val="major"/>
      </rPr>
      <t>문채희</t>
    </r>
  </si>
  <si>
    <r>
      <rPr>
        <sz val="11"/>
        <color rgb="FF000000"/>
        <rFont val="Calibri"/>
        <family val="3"/>
        <charset val="129"/>
        <scheme val="major"/>
      </rPr>
      <t>박지원</t>
    </r>
  </si>
  <si>
    <r>
      <rPr>
        <sz val="11"/>
        <color rgb="FF000000"/>
        <rFont val="Calibri"/>
        <family val="3"/>
        <charset val="129"/>
        <scheme val="major"/>
      </rPr>
      <t>송시현</t>
    </r>
  </si>
  <si>
    <r>
      <rPr>
        <sz val="11"/>
        <color rgb="FF000000"/>
        <rFont val="Calibri"/>
        <family val="3"/>
        <charset val="129"/>
        <scheme val="major"/>
      </rPr>
      <t>신지원</t>
    </r>
  </si>
  <si>
    <r>
      <rPr>
        <sz val="11"/>
        <color rgb="FF000000"/>
        <rFont val="Calibri"/>
        <family val="3"/>
        <charset val="129"/>
        <scheme val="major"/>
      </rPr>
      <t>양서윤</t>
    </r>
  </si>
  <si>
    <r>
      <rPr>
        <sz val="11"/>
        <color rgb="FF000000"/>
        <rFont val="Calibri"/>
        <family val="3"/>
        <charset val="129"/>
        <scheme val="major"/>
      </rPr>
      <t>양유정</t>
    </r>
  </si>
  <si>
    <r>
      <rPr>
        <sz val="11"/>
        <color rgb="FF000000"/>
        <rFont val="Calibri"/>
        <family val="3"/>
        <charset val="129"/>
        <scheme val="major"/>
      </rPr>
      <t>이누리</t>
    </r>
  </si>
  <si>
    <r>
      <rPr>
        <sz val="11"/>
        <color rgb="FF000000"/>
        <rFont val="Calibri"/>
        <family val="3"/>
        <charset val="129"/>
        <scheme val="major"/>
      </rPr>
      <t>이다윤</t>
    </r>
  </si>
  <si>
    <r>
      <rPr>
        <sz val="11"/>
        <color rgb="FF000000"/>
        <rFont val="Calibri"/>
        <family val="3"/>
        <charset val="129"/>
        <scheme val="major"/>
      </rPr>
      <t>이태희</t>
    </r>
  </si>
  <si>
    <r>
      <rPr>
        <sz val="11"/>
        <color rgb="FF000000"/>
        <rFont val="Calibri"/>
        <family val="3"/>
        <charset val="129"/>
        <scheme val="major"/>
      </rPr>
      <t>임세경</t>
    </r>
  </si>
  <si>
    <r>
      <rPr>
        <sz val="11"/>
        <color rgb="FF000000"/>
        <rFont val="Calibri"/>
        <family val="3"/>
        <charset val="129"/>
        <scheme val="major"/>
      </rPr>
      <t>임주미</t>
    </r>
  </si>
  <si>
    <r>
      <rPr>
        <sz val="11"/>
        <color rgb="FF000000"/>
        <rFont val="Calibri"/>
        <family val="3"/>
        <charset val="129"/>
        <scheme val="major"/>
      </rPr>
      <t>장세린</t>
    </r>
  </si>
  <si>
    <r>
      <rPr>
        <sz val="11"/>
        <color rgb="FF000000"/>
        <rFont val="Calibri"/>
        <family val="3"/>
        <charset val="129"/>
        <scheme val="major"/>
      </rPr>
      <t>장은주</t>
    </r>
  </si>
  <si>
    <r>
      <rPr>
        <sz val="11"/>
        <color rgb="FF000000"/>
        <rFont val="Calibri"/>
        <family val="3"/>
        <charset val="129"/>
        <scheme val="major"/>
      </rPr>
      <t>정가인</t>
    </r>
  </si>
  <si>
    <r>
      <rPr>
        <sz val="11"/>
        <color rgb="FF000000"/>
        <rFont val="Calibri"/>
        <family val="3"/>
        <charset val="129"/>
        <scheme val="major"/>
      </rPr>
      <t>조영인</t>
    </r>
  </si>
  <si>
    <r>
      <rPr>
        <sz val="11"/>
        <color rgb="FF000000"/>
        <rFont val="Calibri"/>
        <family val="3"/>
        <charset val="129"/>
        <scheme val="major"/>
      </rPr>
      <t>최수민</t>
    </r>
  </si>
  <si>
    <r>
      <rPr>
        <sz val="11"/>
        <color rgb="FF000000"/>
        <rFont val="Calibri"/>
        <family val="3"/>
        <charset val="129"/>
        <scheme val="major"/>
      </rPr>
      <t>최운채</t>
    </r>
  </si>
  <si>
    <r>
      <rPr>
        <sz val="11"/>
        <color rgb="FF000000"/>
        <rFont val="Calibri"/>
        <family val="3"/>
        <charset val="129"/>
        <scheme val="major"/>
      </rPr>
      <t>최현영</t>
    </r>
  </si>
  <si>
    <r>
      <rPr>
        <sz val="11"/>
        <color rgb="FF000000"/>
        <rFont val="Calibri"/>
        <family val="3"/>
        <charset val="129"/>
        <scheme val="major"/>
      </rPr>
      <t>하윤서</t>
    </r>
  </si>
  <si>
    <r>
      <rPr>
        <sz val="11"/>
        <color rgb="FF000000"/>
        <rFont val="Calibri"/>
        <family val="3"/>
        <charset val="129"/>
        <scheme val="major"/>
      </rPr>
      <t>한유빈</t>
    </r>
  </si>
  <si>
    <r>
      <rPr>
        <sz val="11"/>
        <color rgb="FF000000"/>
        <rFont val="Calibri"/>
        <family val="3"/>
        <charset val="129"/>
        <scheme val="major"/>
      </rPr>
      <t>곽하율</t>
    </r>
  </si>
  <si>
    <r>
      <rPr>
        <sz val="11"/>
        <color rgb="FF000000"/>
        <rFont val="Calibri"/>
        <family val="3"/>
        <charset val="129"/>
        <scheme val="major"/>
      </rPr>
      <t>권보민</t>
    </r>
  </si>
  <si>
    <r>
      <rPr>
        <sz val="11"/>
        <color rgb="FF000000"/>
        <rFont val="Calibri"/>
        <family val="3"/>
        <charset val="129"/>
        <scheme val="major"/>
      </rPr>
      <t>김건희</t>
    </r>
  </si>
  <si>
    <r>
      <rPr>
        <sz val="11"/>
        <color rgb="FF000000"/>
        <rFont val="Calibri"/>
        <family val="3"/>
        <charset val="129"/>
        <scheme val="major"/>
      </rPr>
      <t>김도이</t>
    </r>
  </si>
  <si>
    <r>
      <rPr>
        <sz val="11"/>
        <color rgb="FF000000"/>
        <rFont val="Calibri"/>
        <family val="3"/>
        <charset val="129"/>
        <scheme val="major"/>
      </rPr>
      <t>김민지</t>
    </r>
  </si>
  <si>
    <r>
      <rPr>
        <sz val="11"/>
        <color rgb="FF000000"/>
        <rFont val="Calibri"/>
        <family val="3"/>
        <charset val="129"/>
        <scheme val="major"/>
      </rPr>
      <t>김유진</t>
    </r>
  </si>
  <si>
    <r>
      <rPr>
        <sz val="11"/>
        <color rgb="FF000000"/>
        <rFont val="Calibri"/>
        <family val="3"/>
        <charset val="129"/>
        <scheme val="major"/>
      </rPr>
      <t>김윤서</t>
    </r>
  </si>
  <si>
    <r>
      <rPr>
        <sz val="11"/>
        <color rgb="FF000000"/>
        <rFont val="Calibri"/>
        <family val="3"/>
        <charset val="129"/>
        <scheme val="major"/>
      </rPr>
      <t>김하랑</t>
    </r>
  </si>
  <si>
    <r>
      <rPr>
        <sz val="11"/>
        <color rgb="FF000000"/>
        <rFont val="Calibri"/>
        <family val="3"/>
        <charset val="129"/>
        <scheme val="major"/>
      </rPr>
      <t>김현서</t>
    </r>
  </si>
  <si>
    <r>
      <rPr>
        <sz val="11"/>
        <color rgb="FF000000"/>
        <rFont val="Calibri"/>
        <family val="3"/>
        <charset val="129"/>
        <scheme val="major"/>
      </rPr>
      <t>박서영</t>
    </r>
  </si>
  <si>
    <r>
      <rPr>
        <sz val="11"/>
        <color rgb="FF000000"/>
        <rFont val="Calibri"/>
        <family val="3"/>
        <charset val="129"/>
        <scheme val="major"/>
      </rPr>
      <t>배서진</t>
    </r>
  </si>
  <si>
    <r>
      <rPr>
        <sz val="11"/>
        <color rgb="FF000000"/>
        <rFont val="Calibri"/>
        <family val="3"/>
        <charset val="129"/>
        <scheme val="major"/>
      </rPr>
      <t>송세경</t>
    </r>
  </si>
  <si>
    <r>
      <rPr>
        <sz val="11"/>
        <color rgb="FF000000"/>
        <rFont val="Calibri"/>
        <family val="3"/>
        <charset val="129"/>
        <scheme val="major"/>
      </rPr>
      <t>안도은</t>
    </r>
  </si>
  <si>
    <r>
      <rPr>
        <sz val="11"/>
        <color rgb="FF000000"/>
        <rFont val="Calibri"/>
        <family val="3"/>
        <charset val="129"/>
        <scheme val="major"/>
      </rPr>
      <t>유서연</t>
    </r>
  </si>
  <si>
    <r>
      <rPr>
        <sz val="11"/>
        <color rgb="FF000000"/>
        <rFont val="Calibri"/>
        <family val="3"/>
        <charset val="129"/>
        <scheme val="major"/>
      </rPr>
      <t>이민진</t>
    </r>
  </si>
  <si>
    <r>
      <rPr>
        <sz val="11"/>
        <color rgb="FF000000"/>
        <rFont val="Calibri"/>
        <family val="3"/>
        <charset val="129"/>
        <scheme val="major"/>
      </rPr>
      <t>이은유</t>
    </r>
  </si>
  <si>
    <r>
      <rPr>
        <sz val="11"/>
        <color rgb="FF000000"/>
        <rFont val="Calibri"/>
        <family val="3"/>
        <charset val="129"/>
        <scheme val="major"/>
      </rPr>
      <t>임수윤</t>
    </r>
  </si>
  <si>
    <r>
      <rPr>
        <sz val="11"/>
        <color rgb="FF000000"/>
        <rFont val="Calibri"/>
        <family val="3"/>
        <charset val="129"/>
        <scheme val="major"/>
      </rPr>
      <t>장수진</t>
    </r>
  </si>
  <si>
    <r>
      <rPr>
        <sz val="11"/>
        <color rgb="FF000000"/>
        <rFont val="Calibri"/>
        <family val="3"/>
        <charset val="129"/>
        <scheme val="major"/>
      </rPr>
      <t>정서희</t>
    </r>
  </si>
  <si>
    <r>
      <rPr>
        <sz val="11"/>
        <color rgb="FF000000"/>
        <rFont val="Calibri"/>
        <family val="3"/>
        <charset val="129"/>
        <scheme val="major"/>
      </rPr>
      <t>정유진</t>
    </r>
  </si>
  <si>
    <r>
      <rPr>
        <sz val="11"/>
        <color rgb="FF000000"/>
        <rFont val="Calibri"/>
        <family val="3"/>
        <charset val="129"/>
        <scheme val="major"/>
      </rPr>
      <t>진소희</t>
    </r>
  </si>
  <si>
    <r>
      <rPr>
        <sz val="11"/>
        <color rgb="FF000000"/>
        <rFont val="Calibri"/>
        <family val="3"/>
        <charset val="129"/>
        <scheme val="major"/>
      </rPr>
      <t>하서윤</t>
    </r>
  </si>
  <si>
    <r>
      <rPr>
        <sz val="11"/>
        <color rgb="FF000000"/>
        <rFont val="Calibri"/>
        <family val="3"/>
        <charset val="129"/>
        <scheme val="major"/>
      </rPr>
      <t>한승아</t>
    </r>
  </si>
  <si>
    <r>
      <rPr>
        <sz val="11"/>
        <color rgb="FF000000"/>
        <rFont val="Calibri"/>
        <family val="3"/>
        <charset val="129"/>
        <scheme val="major"/>
      </rPr>
      <t>한혜린</t>
    </r>
  </si>
  <si>
    <r>
      <rPr>
        <sz val="11"/>
        <color rgb="FF000000"/>
        <rFont val="Calibri"/>
        <family val="3"/>
        <charset val="129"/>
        <scheme val="major"/>
      </rPr>
      <t>허가윤</t>
    </r>
  </si>
  <si>
    <r>
      <rPr>
        <sz val="11"/>
        <color rgb="FF000000"/>
        <rFont val="Calibri"/>
        <family val="3"/>
        <charset val="129"/>
        <scheme val="major"/>
      </rPr>
      <t>강동이</t>
    </r>
  </si>
  <si>
    <r>
      <rPr>
        <sz val="11"/>
        <color rgb="FF000000"/>
        <rFont val="Calibri"/>
        <family val="3"/>
        <charset val="129"/>
        <scheme val="major"/>
      </rPr>
      <t>강지윤</t>
    </r>
  </si>
  <si>
    <r>
      <rPr>
        <sz val="11"/>
        <color rgb="FF000000"/>
        <rFont val="Calibri"/>
        <family val="3"/>
        <charset val="129"/>
        <scheme val="major"/>
      </rPr>
      <t>김다희</t>
    </r>
  </si>
  <si>
    <r>
      <rPr>
        <sz val="11"/>
        <color rgb="FF000000"/>
        <rFont val="Calibri"/>
        <family val="3"/>
        <charset val="129"/>
        <scheme val="major"/>
      </rPr>
      <t>김수연</t>
    </r>
  </si>
  <si>
    <r>
      <rPr>
        <sz val="11"/>
        <color rgb="FF000000"/>
        <rFont val="Calibri"/>
        <family val="3"/>
        <charset val="129"/>
        <scheme val="major"/>
      </rPr>
      <t>김은혜</t>
    </r>
  </si>
  <si>
    <r>
      <rPr>
        <sz val="11"/>
        <color rgb="FF000000"/>
        <rFont val="Calibri"/>
        <family val="3"/>
        <charset val="129"/>
        <scheme val="major"/>
      </rPr>
      <t>김지후</t>
    </r>
  </si>
  <si>
    <r>
      <rPr>
        <sz val="11"/>
        <color rgb="FF000000"/>
        <rFont val="Calibri"/>
        <family val="3"/>
        <charset val="129"/>
        <scheme val="major"/>
      </rPr>
      <t>남예진</t>
    </r>
  </si>
  <si>
    <r>
      <rPr>
        <sz val="11"/>
        <color rgb="FF000000"/>
        <rFont val="Calibri"/>
        <family val="3"/>
        <charset val="129"/>
        <scheme val="major"/>
      </rPr>
      <t>노희주</t>
    </r>
  </si>
  <si>
    <r>
      <rPr>
        <sz val="11"/>
        <color rgb="FF000000"/>
        <rFont val="Calibri"/>
        <family val="3"/>
        <charset val="129"/>
        <scheme val="major"/>
      </rPr>
      <t>박수경</t>
    </r>
  </si>
  <si>
    <r>
      <rPr>
        <sz val="11"/>
        <color rgb="FF000000"/>
        <rFont val="Calibri"/>
        <family val="3"/>
        <charset val="129"/>
        <scheme val="major"/>
      </rPr>
      <t>박효린</t>
    </r>
  </si>
  <si>
    <r>
      <rPr>
        <sz val="11"/>
        <color rgb="FF000000"/>
        <rFont val="Calibri"/>
        <family val="3"/>
        <charset val="129"/>
        <scheme val="major"/>
      </rPr>
      <t>배하람</t>
    </r>
  </si>
  <si>
    <r>
      <rPr>
        <sz val="11"/>
        <color rgb="FF000000"/>
        <rFont val="Calibri"/>
        <family val="3"/>
        <charset val="129"/>
        <scheme val="major"/>
      </rPr>
      <t>선희윤</t>
    </r>
  </si>
  <si>
    <r>
      <rPr>
        <sz val="11"/>
        <color rgb="FF000000"/>
        <rFont val="Calibri"/>
        <family val="3"/>
        <charset val="129"/>
        <scheme val="major"/>
      </rPr>
      <t>심유나</t>
    </r>
  </si>
  <si>
    <r>
      <rPr>
        <sz val="11"/>
        <color rgb="FF000000"/>
        <rFont val="Calibri"/>
        <family val="3"/>
        <charset val="129"/>
        <scheme val="major"/>
      </rPr>
      <t>오채은</t>
    </r>
  </si>
  <si>
    <r>
      <rPr>
        <sz val="11"/>
        <color rgb="FF000000"/>
        <rFont val="Calibri"/>
        <family val="3"/>
        <charset val="129"/>
        <scheme val="major"/>
      </rPr>
      <t>유채아</t>
    </r>
  </si>
  <si>
    <r>
      <rPr>
        <sz val="11"/>
        <color rgb="FF000000"/>
        <rFont val="Calibri"/>
        <family val="3"/>
        <charset val="129"/>
        <scheme val="major"/>
      </rPr>
      <t>윤소이</t>
    </r>
  </si>
  <si>
    <r>
      <rPr>
        <sz val="11"/>
        <color rgb="FF000000"/>
        <rFont val="Calibri"/>
        <family val="3"/>
        <charset val="129"/>
        <scheme val="major"/>
      </rPr>
      <t>이다인</t>
    </r>
  </si>
  <si>
    <r>
      <rPr>
        <sz val="11"/>
        <color rgb="FF000000"/>
        <rFont val="Calibri"/>
        <family val="3"/>
        <charset val="129"/>
        <scheme val="major"/>
      </rPr>
      <t>이지효</t>
    </r>
  </si>
  <si>
    <r>
      <rPr>
        <sz val="11"/>
        <color rgb="FF000000"/>
        <rFont val="Calibri"/>
        <family val="3"/>
        <charset val="129"/>
        <scheme val="major"/>
      </rPr>
      <t>전다예</t>
    </r>
  </si>
  <si>
    <r>
      <rPr>
        <sz val="11"/>
        <color rgb="FF000000"/>
        <rFont val="Calibri"/>
        <family val="3"/>
        <charset val="129"/>
        <scheme val="major"/>
      </rPr>
      <t>정하윤</t>
    </r>
  </si>
  <si>
    <r>
      <rPr>
        <sz val="11"/>
        <color rgb="FF000000"/>
        <rFont val="Calibri"/>
        <family val="3"/>
        <charset val="129"/>
        <scheme val="major"/>
      </rPr>
      <t>정혜원</t>
    </r>
  </si>
  <si>
    <r>
      <rPr>
        <sz val="11"/>
        <color rgb="FF000000"/>
        <rFont val="Calibri"/>
        <family val="3"/>
        <charset val="129"/>
        <scheme val="major"/>
      </rPr>
      <t>조유빈</t>
    </r>
  </si>
  <si>
    <r>
      <rPr>
        <sz val="11"/>
        <color rgb="FF000000"/>
        <rFont val="Calibri"/>
        <family val="3"/>
        <charset val="129"/>
        <scheme val="major"/>
      </rPr>
      <t>최수인</t>
    </r>
  </si>
  <si>
    <r>
      <rPr>
        <sz val="11"/>
        <color rgb="FF000000"/>
        <rFont val="Calibri"/>
        <family val="3"/>
        <charset val="129"/>
        <scheme val="major"/>
      </rPr>
      <t>최영서</t>
    </r>
  </si>
  <si>
    <r>
      <rPr>
        <sz val="11"/>
        <color rgb="FF000000"/>
        <rFont val="Calibri"/>
        <family val="3"/>
        <charset val="129"/>
        <scheme val="major"/>
      </rPr>
      <t>황민서</t>
    </r>
  </si>
  <si>
    <r>
      <t xml:space="preserve">총점
</t>
    </r>
    <r>
      <rPr>
        <b/>
        <sz val="6"/>
        <color rgb="FF000000"/>
        <rFont val="새굴림"/>
        <family val="1"/>
        <charset val="129"/>
      </rPr>
      <t>(한국사 제외)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</si>
</sst>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6"/>
      <color theme="1"/>
      <name val="Malgun Gothic"/>
      <family val="3"/>
      <charset val="129"/>
    </font>
    <font>
      <sz val="11"/>
      <color theme="1"/>
      <name val="Calibri"/>
      <scheme val="minor"/>
    </font>
    <font>
      <b/>
      <sz val="16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새굴림"/>
      <family val="1"/>
      <charset val="129"/>
    </font>
    <font>
      <b/>
      <sz val="11"/>
      <color rgb="FF000000"/>
      <name val="새굴림"/>
      <family val="1"/>
      <charset val="129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rgb="FF000000"/>
      <name val="Calibri"/>
      <family val="3"/>
      <charset val="129"/>
      <scheme val="major"/>
    </font>
    <font>
      <b/>
      <sz val="6"/>
      <color rgb="FF000000"/>
      <name val="새굴림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CC99FF"/>
        <bgColor rgb="FFCC99FF"/>
      </patternFill>
    </fill>
    <fill>
      <patternFill patternType="solid">
        <fgColor rgb="FFF3F3F3"/>
        <bgColor rgb="FFF3F3F3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/>
    </xf>
    <xf numFmtId="0" fontId="8" fillId="5" borderId="1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</cellXfs>
  <cellStyles count="1">
    <cellStyle name="표준" xfId="0" builtinId="0"/>
  </cellStyles>
  <dxfs count="3"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000"/>
  <sheetViews>
    <sheetView tabSelected="1" zoomScale="85" zoomScaleNormal="85" workbookViewId="0">
      <pane ySplit="2" topLeftCell="A3" activePane="bottomLeft" state="frozen"/>
      <selection pane="bottomLeft" activeCell="AE14" sqref="AE14"/>
    </sheetView>
  </sheetViews>
  <sheetFormatPr defaultColWidth="14.44140625" defaultRowHeight="15" customHeight="1"/>
  <cols>
    <col min="1" max="5" width="8.6640625" customWidth="1"/>
    <col min="6" max="7" width="8.6640625" hidden="1" customWidth="1"/>
    <col min="8" max="9" width="8.6640625" customWidth="1"/>
    <col min="10" max="11" width="8.6640625" hidden="1" customWidth="1"/>
    <col min="12" max="13" width="8.6640625" customWidth="1"/>
    <col min="14" max="15" width="8.6640625" hidden="1" customWidth="1"/>
    <col min="16" max="17" width="8.6640625" customWidth="1"/>
    <col min="18" max="19" width="8.6640625" hidden="1" customWidth="1"/>
    <col min="20" max="21" width="8.6640625" customWidth="1"/>
    <col min="22" max="23" width="8.6640625" hidden="1" customWidth="1"/>
    <col min="24" max="25" width="8.6640625" customWidth="1"/>
    <col min="26" max="27" width="8.6640625" hidden="1" customWidth="1"/>
    <col min="28" max="28" width="8.6640625" customWidth="1"/>
    <col min="29" max="29" width="9.33203125" customWidth="1"/>
    <col min="30" max="30" width="8.6640625" customWidth="1"/>
  </cols>
  <sheetData>
    <row r="1" spans="1:30" ht="17.25" customHeight="1">
      <c r="A1" s="16" t="s">
        <v>15</v>
      </c>
      <c r="B1" s="16" t="s">
        <v>16</v>
      </c>
      <c r="C1" s="17" t="s">
        <v>17</v>
      </c>
      <c r="D1" s="17" t="s">
        <v>18</v>
      </c>
      <c r="E1" s="18" t="s">
        <v>0</v>
      </c>
      <c r="F1" s="19"/>
      <c r="G1" s="19"/>
      <c r="H1" s="19"/>
      <c r="I1" s="20" t="s">
        <v>1</v>
      </c>
      <c r="J1" s="19"/>
      <c r="K1" s="19"/>
      <c r="L1" s="19"/>
      <c r="M1" s="21" t="s">
        <v>2</v>
      </c>
      <c r="N1" s="19"/>
      <c r="O1" s="19"/>
      <c r="P1" s="19"/>
      <c r="Q1" s="16" t="s">
        <v>19</v>
      </c>
      <c r="R1" s="19"/>
      <c r="S1" s="19"/>
      <c r="T1" s="19"/>
      <c r="U1" s="22" t="s">
        <v>20</v>
      </c>
      <c r="V1" s="19"/>
      <c r="W1" s="19"/>
      <c r="X1" s="19"/>
      <c r="Y1" s="23" t="s">
        <v>5</v>
      </c>
      <c r="Z1" s="19"/>
      <c r="AA1" s="19"/>
      <c r="AB1" s="19"/>
      <c r="AC1" s="24" t="s">
        <v>290</v>
      </c>
      <c r="AD1" s="24" t="s">
        <v>21</v>
      </c>
    </row>
    <row r="2" spans="1:30" ht="17.25" customHeight="1">
      <c r="A2" s="19"/>
      <c r="B2" s="19"/>
      <c r="C2" s="19"/>
      <c r="D2" s="19"/>
      <c r="E2" s="25" t="s">
        <v>22</v>
      </c>
      <c r="F2" s="25" t="s">
        <v>23</v>
      </c>
      <c r="G2" s="25" t="s">
        <v>24</v>
      </c>
      <c r="H2" s="25" t="s">
        <v>25</v>
      </c>
      <c r="I2" s="26" t="s">
        <v>22</v>
      </c>
      <c r="J2" s="26" t="s">
        <v>23</v>
      </c>
      <c r="K2" s="26" t="s">
        <v>24</v>
      </c>
      <c r="L2" s="26" t="s">
        <v>25</v>
      </c>
      <c r="M2" s="27" t="s">
        <v>22</v>
      </c>
      <c r="N2" s="27" t="s">
        <v>23</v>
      </c>
      <c r="O2" s="27" t="s">
        <v>24</v>
      </c>
      <c r="P2" s="27" t="s">
        <v>25</v>
      </c>
      <c r="Q2" s="28" t="s">
        <v>22</v>
      </c>
      <c r="R2" s="29" t="s">
        <v>23</v>
      </c>
      <c r="S2" s="29" t="s">
        <v>24</v>
      </c>
      <c r="T2" s="29" t="s">
        <v>25</v>
      </c>
      <c r="U2" s="30" t="s">
        <v>22</v>
      </c>
      <c r="V2" s="25" t="s">
        <v>23</v>
      </c>
      <c r="W2" s="25" t="s">
        <v>24</v>
      </c>
      <c r="X2" s="25" t="s">
        <v>25</v>
      </c>
      <c r="Y2" s="31" t="s">
        <v>22</v>
      </c>
      <c r="Z2" s="31" t="s">
        <v>23</v>
      </c>
      <c r="AA2" s="31" t="s">
        <v>24</v>
      </c>
      <c r="AB2" s="31" t="s">
        <v>25</v>
      </c>
      <c r="AC2" s="32"/>
      <c r="AD2" s="32"/>
    </row>
    <row r="3" spans="1:30" ht="17.25" customHeight="1">
      <c r="A3" s="33" t="s">
        <v>26</v>
      </c>
      <c r="B3" s="34">
        <v>4</v>
      </c>
      <c r="C3" s="34">
        <v>17</v>
      </c>
      <c r="D3" s="34" t="s">
        <v>122</v>
      </c>
      <c r="E3" s="34">
        <v>93</v>
      </c>
      <c r="F3" s="33"/>
      <c r="G3" s="33"/>
      <c r="H3" s="33">
        <f>IF(INT(E3)&gt;='3월 등급 정보'!$C$3,1,IF(INT(E3)&gt;='3월 등급 정보'!$C$4,2,IF(INT(E3)&gt;='3월 등급 정보'!$C$5,3,IF(INT(E3)&gt;='3월 등급 정보'!$C$6,4,IF(INT(E3)&gt;='3월 등급 정보'!$C$7,5,IF(INT(E3)&gt;='3월 등급 정보'!$C$8,6,IF(INT(E3)&gt;='3월 등급 정보'!$C$9,7,IF(INT(E3)&gt;='3월 등급 정보'!$C$10,8,IF(INT(E3)&gt;='3월 등급 정보'!$C$11,9)))))))))</f>
        <v>1</v>
      </c>
      <c r="I3" s="34">
        <v>96</v>
      </c>
      <c r="J3" s="33"/>
      <c r="K3" s="33"/>
      <c r="L3" s="33">
        <f>IF(INT(I3)&gt;='3월 등급 정보'!$D$3,1,IF(INT(I3)&gt;='3월 등급 정보'!$D$4,2,IF(INT(I3)&gt;='3월 등급 정보'!$D$5,3,IF(INT(I3)&gt;='3월 등급 정보'!$D$6,4,IF(INT(I3)&gt;='3월 등급 정보'!$D$7,5,IF(INT(I3)&gt;='3월 등급 정보'!$D$8,6,IF(INT(I3)&gt;='3월 등급 정보'!$D$9,7,IF(INT(I3)&gt;='3월 등급 정보'!$D$10,8,IF(INT(I3)&gt;='3월 등급 정보'!$D$11,9)))))))))</f>
        <v>1</v>
      </c>
      <c r="M3" s="34">
        <v>95</v>
      </c>
      <c r="N3" s="33"/>
      <c r="O3" s="33"/>
      <c r="P3" s="33">
        <f>IF(INT(M3)&gt;='3월 등급 정보'!$E$3,1,IF(INT(M3)&gt;='3월 등급 정보'!$E$4,2,IF(INT(M3)&gt;='3월 등급 정보'!$E$5,3,IF(INT(M3)&gt;='3월 등급 정보'!$E$6,4,IF(INT(M3)&gt;='3월 등급 정보'!$E$7,5,IF(INT(M3)&gt;='3월 등급 정보'!$E$8,6,IF(INT(M3)&gt;='3월 등급 정보'!$E$9,7,IF(INT(M3)&gt;='3월 등급 정보'!$E$10,8,IF(INT(M3)&gt;='3월 등급 정보'!$E$11,9)))))))))</f>
        <v>1</v>
      </c>
      <c r="Q3" s="34">
        <v>47.5</v>
      </c>
      <c r="R3" s="33"/>
      <c r="S3" s="33"/>
      <c r="T3" s="33">
        <f>IF(INT(Q3)&gt;='3월 등급 정보'!$F$3,1,IF(INT(Q3)&gt;='3월 등급 정보'!$F$4,2,IF(INT(Q3)&gt;='3월 등급 정보'!$F$5,3,IF(INT(Q3)&gt;='3월 등급 정보'!$F$6,4,IF(INT(Q3)&gt;='3월 등급 정보'!$F$7,5,IF(INT(Q3)&gt;='3월 등급 정보'!$F$8,6,IF(INT(Q3)&gt;='3월 등급 정보'!$F$9,7,IF(INT(Q3)&gt;='3월 등급 정보'!$F$10,8,IF(INT(Q3)&gt;='3월 등급 정보'!$F$11,9)))))))))</f>
        <v>1</v>
      </c>
      <c r="U3" s="34">
        <v>46</v>
      </c>
      <c r="V3" s="33"/>
      <c r="W3" s="33"/>
      <c r="X3" s="33">
        <f>IF(INT(U3)&gt;='3월 등급 정보'!$G$3,1,IF(INT(U3)&gt;='3월 등급 정보'!$G$4,2,IF(INT(U3)&gt;='3월 등급 정보'!$G$5,3,IF(INT(U3)&gt;='3월 등급 정보'!$G$6,4,IF(INT(U3)&gt;='3월 등급 정보'!$G$7,5,IF(INT(U3)&gt;='3월 등급 정보'!$G$8,6,IF(INT(U3)&gt;='3월 등급 정보'!$G$9,7,IF(INT(U3)&gt;='3월 등급 정보'!$G$10,8,IF(INT(U3)&gt;='3월 등급 정보'!$G$11,9)))))))))</f>
        <v>1</v>
      </c>
      <c r="Y3" s="34">
        <v>50</v>
      </c>
      <c r="Z3" s="33"/>
      <c r="AA3" s="33"/>
      <c r="AB3" s="33">
        <f>IF(INT(Y3)&gt;='3월 등급 정보'!$H$3,1,IF(INT(Y3)&gt;='3월 등급 정보'!$H$4,2,IF(INT(Y3)&gt;='3월 등급 정보'!$H$5,3,IF(INT(Y3)&gt;='3월 등급 정보'!$H$6,4,IF(INT(Y3)&gt;='3월 등급 정보'!$H$7,5,IF(INT(Y3)&gt;='3월 등급 정보'!$H$8,6,IF(INT(Y3)&gt;='3월 등급 정보'!$H$9,7,IF(INT(Y3)&gt;='3월 등급 정보'!$H$10,8,IF(INT(Y3)&gt;='3월 등급 정보'!$H$11,9)))))))))</f>
        <v>1</v>
      </c>
      <c r="AC3" s="33">
        <f>E3+I3+M3+Q3+U3</f>
        <v>377.5</v>
      </c>
      <c r="AD3" s="33">
        <f>RANK(AC3,$AC$3:$AC$273)</f>
        <v>1</v>
      </c>
    </row>
    <row r="4" spans="1:30" ht="17.25" customHeight="1">
      <c r="A4" s="33" t="s">
        <v>26</v>
      </c>
      <c r="B4" s="34">
        <v>2</v>
      </c>
      <c r="C4" s="34">
        <v>4</v>
      </c>
      <c r="D4" s="34" t="s">
        <v>57</v>
      </c>
      <c r="E4" s="34">
        <v>95</v>
      </c>
      <c r="F4" s="33"/>
      <c r="G4" s="33"/>
      <c r="H4" s="33">
        <f>IF(INT(E4)&gt;='3월 등급 정보'!$C$3,1,IF(INT(E4)&gt;='3월 등급 정보'!$C$4,2,IF(INT(E4)&gt;='3월 등급 정보'!$C$5,3,IF(INT(E4)&gt;='3월 등급 정보'!$C$6,4,IF(INT(E4)&gt;='3월 등급 정보'!$C$7,5,IF(INT(E4)&gt;='3월 등급 정보'!$C$8,6,IF(INT(E4)&gt;='3월 등급 정보'!$C$9,7,IF(INT(E4)&gt;='3월 등급 정보'!$C$10,8,IF(INT(E4)&gt;='3월 등급 정보'!$C$11,9)))))))))</f>
        <v>1</v>
      </c>
      <c r="I4" s="34">
        <v>92</v>
      </c>
      <c r="J4" s="33"/>
      <c r="K4" s="33"/>
      <c r="L4" s="33">
        <f>IF(INT(I4)&gt;='3월 등급 정보'!$D$3,1,IF(INT(I4)&gt;='3월 등급 정보'!$D$4,2,IF(INT(I4)&gt;='3월 등급 정보'!$D$5,3,IF(INT(I4)&gt;='3월 등급 정보'!$D$6,4,IF(INT(I4)&gt;='3월 등급 정보'!$D$7,5,IF(INT(I4)&gt;='3월 등급 정보'!$D$8,6,IF(INT(I4)&gt;='3월 등급 정보'!$D$9,7,IF(INT(I4)&gt;='3월 등급 정보'!$D$10,8,IF(INT(I4)&gt;='3월 등급 정보'!$D$11,9)))))))))</f>
        <v>1</v>
      </c>
      <c r="M4" s="34">
        <v>90</v>
      </c>
      <c r="N4" s="33"/>
      <c r="O4" s="33"/>
      <c r="P4" s="33">
        <f>IF(INT(M4)&gt;='3월 등급 정보'!$E$3,1,IF(INT(M4)&gt;='3월 등급 정보'!$E$4,2,IF(INT(M4)&gt;='3월 등급 정보'!$E$5,3,IF(INT(M4)&gt;='3월 등급 정보'!$E$6,4,IF(INT(M4)&gt;='3월 등급 정보'!$E$7,5,IF(INT(M4)&gt;='3월 등급 정보'!$E$8,6,IF(INT(M4)&gt;='3월 등급 정보'!$E$9,7,IF(INT(M4)&gt;='3월 등급 정보'!$E$10,8,IF(INT(M4)&gt;='3월 등급 정보'!$E$11,9)))))))))</f>
        <v>1</v>
      </c>
      <c r="Q4" s="34">
        <v>48</v>
      </c>
      <c r="R4" s="33"/>
      <c r="S4" s="33"/>
      <c r="T4" s="33">
        <f>IF(INT(Q4)&gt;='3월 등급 정보'!$F$3,1,IF(INT(Q4)&gt;='3월 등급 정보'!$F$4,2,IF(INT(Q4)&gt;='3월 등급 정보'!$F$5,3,IF(INT(Q4)&gt;='3월 등급 정보'!$F$6,4,IF(INT(Q4)&gt;='3월 등급 정보'!$F$7,5,IF(INT(Q4)&gt;='3월 등급 정보'!$F$8,6,IF(INT(Q4)&gt;='3월 등급 정보'!$F$9,7,IF(INT(Q4)&gt;='3월 등급 정보'!$F$10,8,IF(INT(Q4)&gt;='3월 등급 정보'!$F$11,9)))))))))</f>
        <v>1</v>
      </c>
      <c r="U4" s="34">
        <v>44</v>
      </c>
      <c r="V4" s="33"/>
      <c r="W4" s="33"/>
      <c r="X4" s="33">
        <f>IF(INT(U4)&gt;='3월 등급 정보'!$G$3,1,IF(INT(U4)&gt;='3월 등급 정보'!$G$4,2,IF(INT(U4)&gt;='3월 등급 정보'!$G$5,3,IF(INT(U4)&gt;='3월 등급 정보'!$G$6,4,IF(INT(U4)&gt;='3월 등급 정보'!$G$7,5,IF(INT(U4)&gt;='3월 등급 정보'!$G$8,6,IF(INT(U4)&gt;='3월 등급 정보'!$G$9,7,IF(INT(U4)&gt;='3월 등급 정보'!$G$10,8,IF(INT(U4)&gt;='3월 등급 정보'!$G$11,9)))))))))</f>
        <v>1</v>
      </c>
      <c r="Y4" s="34">
        <v>47</v>
      </c>
      <c r="Z4" s="33"/>
      <c r="AA4" s="33"/>
      <c r="AB4" s="33">
        <f>IF(INT(Y4)&gt;='3월 등급 정보'!$H$3,1,IF(INT(Y4)&gt;='3월 등급 정보'!$H$4,2,IF(INT(Y4)&gt;='3월 등급 정보'!$H$5,3,IF(INT(Y4)&gt;='3월 등급 정보'!$H$6,4,IF(INT(Y4)&gt;='3월 등급 정보'!$H$7,5,IF(INT(Y4)&gt;='3월 등급 정보'!$H$8,6,IF(INT(Y4)&gt;='3월 등급 정보'!$H$9,7,IF(INT(Y4)&gt;='3월 등급 정보'!$H$10,8,IF(INT(Y4)&gt;='3월 등급 정보'!$H$11,9)))))))))</f>
        <v>1</v>
      </c>
      <c r="AC4" s="33">
        <f>E4+I4+M4+Q4+U4</f>
        <v>369</v>
      </c>
      <c r="AD4" s="33">
        <f>RANK(AC4,$AC$3:$AC$273)</f>
        <v>2</v>
      </c>
    </row>
    <row r="5" spans="1:30" ht="17.25" customHeight="1">
      <c r="A5" s="33" t="s">
        <v>26</v>
      </c>
      <c r="B5" s="34">
        <v>6</v>
      </c>
      <c r="C5" s="34">
        <v>25</v>
      </c>
      <c r="D5" s="34" t="s">
        <v>183</v>
      </c>
      <c r="E5" s="34">
        <v>98</v>
      </c>
      <c r="F5" s="33"/>
      <c r="G5" s="33"/>
      <c r="H5" s="33">
        <f>IF(INT(E5)&gt;='3월 등급 정보'!$C$3,1,IF(INT(E5)&gt;='3월 등급 정보'!$C$4,2,IF(INT(E5)&gt;='3월 등급 정보'!$C$5,3,IF(INT(E5)&gt;='3월 등급 정보'!$C$6,4,IF(INT(E5)&gt;='3월 등급 정보'!$C$7,5,IF(INT(E5)&gt;='3월 등급 정보'!$C$8,6,IF(INT(E5)&gt;='3월 등급 정보'!$C$9,7,IF(INT(E5)&gt;='3월 등급 정보'!$C$10,8,IF(INT(E5)&gt;='3월 등급 정보'!$C$11,9)))))))))</f>
        <v>1</v>
      </c>
      <c r="I5" s="34">
        <v>84</v>
      </c>
      <c r="J5" s="33"/>
      <c r="K5" s="33"/>
      <c r="L5" s="33">
        <f>IF(INT(I5)&gt;='3월 등급 정보'!$D$3,1,IF(INT(I5)&gt;='3월 등급 정보'!$D$4,2,IF(INT(I5)&gt;='3월 등급 정보'!$D$5,3,IF(INT(I5)&gt;='3월 등급 정보'!$D$6,4,IF(INT(I5)&gt;='3월 등급 정보'!$D$7,5,IF(INT(I5)&gt;='3월 등급 정보'!$D$8,6,IF(INT(I5)&gt;='3월 등급 정보'!$D$9,7,IF(INT(I5)&gt;='3월 등급 정보'!$D$10,8,IF(INT(I5)&gt;='3월 등급 정보'!$D$11,9)))))))))</f>
        <v>1</v>
      </c>
      <c r="M5" s="34">
        <v>94</v>
      </c>
      <c r="N5" s="33"/>
      <c r="O5" s="33"/>
      <c r="P5" s="33">
        <f>IF(INT(M5)&gt;='3월 등급 정보'!$E$3,1,IF(INT(M5)&gt;='3월 등급 정보'!$E$4,2,IF(INT(M5)&gt;='3월 등급 정보'!$E$5,3,IF(INT(M5)&gt;='3월 등급 정보'!$E$6,4,IF(INT(M5)&gt;='3월 등급 정보'!$E$7,5,IF(INT(M5)&gt;='3월 등급 정보'!$E$8,6,IF(INT(M5)&gt;='3월 등급 정보'!$E$9,7,IF(INT(M5)&gt;='3월 등급 정보'!$E$10,8,IF(INT(M5)&gt;='3월 등급 정보'!$E$11,9)))))))))</f>
        <v>1</v>
      </c>
      <c r="Q5" s="34">
        <v>47.5</v>
      </c>
      <c r="R5" s="33"/>
      <c r="S5" s="33"/>
      <c r="T5" s="33">
        <f>IF(INT(Q5)&gt;='3월 등급 정보'!$F$3,1,IF(INT(Q5)&gt;='3월 등급 정보'!$F$4,2,IF(INT(Q5)&gt;='3월 등급 정보'!$F$5,3,IF(INT(Q5)&gt;='3월 등급 정보'!$F$6,4,IF(INT(Q5)&gt;='3월 등급 정보'!$F$7,5,IF(INT(Q5)&gt;='3월 등급 정보'!$F$8,6,IF(INT(Q5)&gt;='3월 등급 정보'!$F$9,7,IF(INT(Q5)&gt;='3월 등급 정보'!$F$10,8,IF(INT(Q5)&gt;='3월 등급 정보'!$F$11,9)))))))))</f>
        <v>1</v>
      </c>
      <c r="U5" s="34">
        <v>44</v>
      </c>
      <c r="V5" s="33"/>
      <c r="W5" s="33"/>
      <c r="X5" s="33">
        <f>IF(INT(U5)&gt;='3월 등급 정보'!$G$3,1,IF(INT(U5)&gt;='3월 등급 정보'!$G$4,2,IF(INT(U5)&gt;='3월 등급 정보'!$G$5,3,IF(INT(U5)&gt;='3월 등급 정보'!$G$6,4,IF(INT(U5)&gt;='3월 등급 정보'!$G$7,5,IF(INT(U5)&gt;='3월 등급 정보'!$G$8,6,IF(INT(U5)&gt;='3월 등급 정보'!$G$9,7,IF(INT(U5)&gt;='3월 등급 정보'!$G$10,8,IF(INT(U5)&gt;='3월 등급 정보'!$G$11,9)))))))))</f>
        <v>1</v>
      </c>
      <c r="Y5" s="34">
        <v>47</v>
      </c>
      <c r="Z5" s="33"/>
      <c r="AA5" s="33"/>
      <c r="AB5" s="33">
        <f>IF(INT(Y5)&gt;='3월 등급 정보'!$H$3,1,IF(INT(Y5)&gt;='3월 등급 정보'!$H$4,2,IF(INT(Y5)&gt;='3월 등급 정보'!$H$5,3,IF(INT(Y5)&gt;='3월 등급 정보'!$H$6,4,IF(INT(Y5)&gt;='3월 등급 정보'!$H$7,5,IF(INT(Y5)&gt;='3월 등급 정보'!$H$8,6,IF(INT(Y5)&gt;='3월 등급 정보'!$H$9,7,IF(INT(Y5)&gt;='3월 등급 정보'!$H$10,8,IF(INT(Y5)&gt;='3월 등급 정보'!$H$11,9)))))))))</f>
        <v>1</v>
      </c>
      <c r="AC5" s="33">
        <f>E5+I5+M5+Q5+U5</f>
        <v>367.5</v>
      </c>
      <c r="AD5" s="33">
        <f>RANK(AC5,$AC$3:$AC$273)</f>
        <v>3</v>
      </c>
    </row>
    <row r="6" spans="1:30" ht="17.25" customHeight="1">
      <c r="A6" s="33" t="s">
        <v>26</v>
      </c>
      <c r="B6" s="34">
        <v>9</v>
      </c>
      <c r="C6" s="34">
        <v>7</v>
      </c>
      <c r="D6" s="34" t="s">
        <v>188</v>
      </c>
      <c r="E6" s="34">
        <v>81</v>
      </c>
      <c r="F6" s="33"/>
      <c r="G6" s="33"/>
      <c r="H6" s="33">
        <f>IF(INT(E6)&gt;='3월 등급 정보'!$C$3,1,IF(INT(E6)&gt;='3월 등급 정보'!$C$4,2,IF(INT(E6)&gt;='3월 등급 정보'!$C$5,3,IF(INT(E6)&gt;='3월 등급 정보'!$C$6,4,IF(INT(E6)&gt;='3월 등급 정보'!$C$7,5,IF(INT(E6)&gt;='3월 등급 정보'!$C$8,6,IF(INT(E6)&gt;='3월 등급 정보'!$C$9,7,IF(INT(E6)&gt;='3월 등급 정보'!$C$10,8,IF(INT(E6)&gt;='3월 등급 정보'!$C$11,9)))))))))</f>
        <v>2</v>
      </c>
      <c r="I6" s="34">
        <v>88</v>
      </c>
      <c r="J6" s="33"/>
      <c r="K6" s="33"/>
      <c r="L6" s="33">
        <f>IF(INT(I6)&gt;='3월 등급 정보'!$D$3,1,IF(INT(I6)&gt;='3월 등급 정보'!$D$4,2,IF(INT(I6)&gt;='3월 등급 정보'!$D$5,3,IF(INT(I6)&gt;='3월 등급 정보'!$D$6,4,IF(INT(I6)&gt;='3월 등급 정보'!$D$7,5,IF(INT(I6)&gt;='3월 등급 정보'!$D$8,6,IF(INT(I6)&gt;='3월 등급 정보'!$D$9,7,IF(INT(I6)&gt;='3월 등급 정보'!$D$10,8,IF(INT(I6)&gt;='3월 등급 정보'!$D$11,9)))))))))</f>
        <v>1</v>
      </c>
      <c r="M6" s="34">
        <v>95</v>
      </c>
      <c r="N6" s="33"/>
      <c r="O6" s="33"/>
      <c r="P6" s="33">
        <f>IF(INT(M6)&gt;='3월 등급 정보'!$E$3,1,IF(INT(M6)&gt;='3월 등급 정보'!$E$4,2,IF(INT(M6)&gt;='3월 등급 정보'!$E$5,3,IF(INT(M6)&gt;='3월 등급 정보'!$E$6,4,IF(INT(M6)&gt;='3월 등급 정보'!$E$7,5,IF(INT(M6)&gt;='3월 등급 정보'!$E$8,6,IF(INT(M6)&gt;='3월 등급 정보'!$E$9,7,IF(INT(M6)&gt;='3월 등급 정보'!$E$10,8,IF(INT(M6)&gt;='3월 등급 정보'!$E$11,9)))))))))</f>
        <v>1</v>
      </c>
      <c r="Q6" s="34">
        <v>45.5</v>
      </c>
      <c r="R6" s="33"/>
      <c r="S6" s="33"/>
      <c r="T6" s="33">
        <f>IF(INT(Q6)&gt;='3월 등급 정보'!$F$3,1,IF(INT(Q6)&gt;='3월 등급 정보'!$F$4,2,IF(INT(Q6)&gt;='3월 등급 정보'!$F$5,3,IF(INT(Q6)&gt;='3월 등급 정보'!$F$6,4,IF(INT(Q6)&gt;='3월 등급 정보'!$F$7,5,IF(INT(Q6)&gt;='3월 등급 정보'!$F$8,6,IF(INT(Q6)&gt;='3월 등급 정보'!$F$9,7,IF(INT(Q6)&gt;='3월 등급 정보'!$F$10,8,IF(INT(Q6)&gt;='3월 등급 정보'!$F$11,9)))))))))</f>
        <v>2</v>
      </c>
      <c r="U6" s="34">
        <v>47.5</v>
      </c>
      <c r="V6" s="33"/>
      <c r="W6" s="33"/>
      <c r="X6" s="33">
        <f>IF(INT(U6)&gt;='3월 등급 정보'!$G$3,1,IF(INT(U6)&gt;='3월 등급 정보'!$G$4,2,IF(INT(U6)&gt;='3월 등급 정보'!$G$5,3,IF(INT(U6)&gt;='3월 등급 정보'!$G$6,4,IF(INT(U6)&gt;='3월 등급 정보'!$G$7,5,IF(INT(U6)&gt;='3월 등급 정보'!$G$8,6,IF(INT(U6)&gt;='3월 등급 정보'!$G$9,7,IF(INT(U6)&gt;='3월 등급 정보'!$G$10,8,IF(INT(U6)&gt;='3월 등급 정보'!$G$11,9)))))))))</f>
        <v>1</v>
      </c>
      <c r="Y6" s="34">
        <v>47</v>
      </c>
      <c r="Z6" s="33"/>
      <c r="AA6" s="33"/>
      <c r="AB6" s="33">
        <f>IF(INT(Y6)&gt;='3월 등급 정보'!$H$3,1,IF(INT(Y6)&gt;='3월 등급 정보'!$H$4,2,IF(INT(Y6)&gt;='3월 등급 정보'!$H$5,3,IF(INT(Y6)&gt;='3월 등급 정보'!$H$6,4,IF(INT(Y6)&gt;='3월 등급 정보'!$H$7,5,IF(INT(Y6)&gt;='3월 등급 정보'!$H$8,6,IF(INT(Y6)&gt;='3월 등급 정보'!$H$9,7,IF(INT(Y6)&gt;='3월 등급 정보'!$H$10,8,IF(INT(Y6)&gt;='3월 등급 정보'!$H$11,9)))))))))</f>
        <v>1</v>
      </c>
      <c r="AC6" s="33">
        <f>E6+I6+M6+Q6+U6</f>
        <v>357</v>
      </c>
      <c r="AD6" s="33">
        <f>RANK(AC6,$AC$3:$AC$273)</f>
        <v>4</v>
      </c>
    </row>
    <row r="7" spans="1:30" ht="17.25" customHeight="1">
      <c r="A7" s="33" t="s">
        <v>26</v>
      </c>
      <c r="B7" s="34">
        <v>8</v>
      </c>
      <c r="C7" s="34">
        <v>25</v>
      </c>
      <c r="D7" s="34" t="s">
        <v>236</v>
      </c>
      <c r="E7" s="34">
        <v>91</v>
      </c>
      <c r="F7" s="33"/>
      <c r="G7" s="33"/>
      <c r="H7" s="33">
        <f>IF(INT(E7)&gt;='3월 등급 정보'!$C$3,1,IF(INT(E7)&gt;='3월 등급 정보'!$C$4,2,IF(INT(E7)&gt;='3월 등급 정보'!$C$5,3,IF(INT(E7)&gt;='3월 등급 정보'!$C$6,4,IF(INT(E7)&gt;='3월 등급 정보'!$C$7,5,IF(INT(E7)&gt;='3월 등급 정보'!$C$8,6,IF(INT(E7)&gt;='3월 등급 정보'!$C$9,7,IF(INT(E7)&gt;='3월 등급 정보'!$C$10,8,IF(INT(E7)&gt;='3월 등급 정보'!$C$11,9)))))))))</f>
        <v>1</v>
      </c>
      <c r="I7" s="34">
        <v>89</v>
      </c>
      <c r="J7" s="33"/>
      <c r="K7" s="33"/>
      <c r="L7" s="33">
        <f>IF(INT(I7)&gt;='3월 등급 정보'!$D$3,1,IF(INT(I7)&gt;='3월 등급 정보'!$D$4,2,IF(INT(I7)&gt;='3월 등급 정보'!$D$5,3,IF(INT(I7)&gt;='3월 등급 정보'!$D$6,4,IF(INT(I7)&gt;='3월 등급 정보'!$D$7,5,IF(INT(I7)&gt;='3월 등급 정보'!$D$8,6,IF(INT(I7)&gt;='3월 등급 정보'!$D$9,7,IF(INT(I7)&gt;='3월 등급 정보'!$D$10,8,IF(INT(I7)&gt;='3월 등급 정보'!$D$11,9)))))))))</f>
        <v>1</v>
      </c>
      <c r="M7" s="34">
        <v>90</v>
      </c>
      <c r="N7" s="33"/>
      <c r="O7" s="33"/>
      <c r="P7" s="33">
        <f>IF(INT(M7)&gt;='3월 등급 정보'!$E$3,1,IF(INT(M7)&gt;='3월 등급 정보'!$E$4,2,IF(INT(M7)&gt;='3월 등급 정보'!$E$5,3,IF(INT(M7)&gt;='3월 등급 정보'!$E$6,4,IF(INT(M7)&gt;='3월 등급 정보'!$E$7,5,IF(INT(M7)&gt;='3월 등급 정보'!$E$8,6,IF(INT(M7)&gt;='3월 등급 정보'!$E$9,7,IF(INT(M7)&gt;='3월 등급 정보'!$E$10,8,IF(INT(M7)&gt;='3월 등급 정보'!$E$11,9)))))))))</f>
        <v>1</v>
      </c>
      <c r="Q7" s="34">
        <v>42</v>
      </c>
      <c r="R7" s="33"/>
      <c r="S7" s="33"/>
      <c r="T7" s="33">
        <f>IF(INT(Q7)&gt;='3월 등급 정보'!$F$3,1,IF(INT(Q7)&gt;='3월 등급 정보'!$F$4,2,IF(INT(Q7)&gt;='3월 등급 정보'!$F$5,3,IF(INT(Q7)&gt;='3월 등급 정보'!$F$6,4,IF(INT(Q7)&gt;='3월 등급 정보'!$F$7,5,IF(INT(Q7)&gt;='3월 등급 정보'!$F$8,6,IF(INT(Q7)&gt;='3월 등급 정보'!$F$9,7,IF(INT(Q7)&gt;='3월 등급 정보'!$F$10,8,IF(INT(Q7)&gt;='3월 등급 정보'!$F$11,9)))))))))</f>
        <v>3</v>
      </c>
      <c r="U7" s="34">
        <v>44</v>
      </c>
      <c r="V7" s="33"/>
      <c r="W7" s="33"/>
      <c r="X7" s="33">
        <f>IF(INT(U7)&gt;='3월 등급 정보'!$G$3,1,IF(INT(U7)&gt;='3월 등급 정보'!$G$4,2,IF(INT(U7)&gt;='3월 등급 정보'!$G$5,3,IF(INT(U7)&gt;='3월 등급 정보'!$G$6,4,IF(INT(U7)&gt;='3월 등급 정보'!$G$7,5,IF(INT(U7)&gt;='3월 등급 정보'!$G$8,6,IF(INT(U7)&gt;='3월 등급 정보'!$G$9,7,IF(INT(U7)&gt;='3월 등급 정보'!$G$10,8,IF(INT(U7)&gt;='3월 등급 정보'!$G$11,9)))))))))</f>
        <v>1</v>
      </c>
      <c r="Y7" s="34">
        <v>47</v>
      </c>
      <c r="Z7" s="33"/>
      <c r="AA7" s="33"/>
      <c r="AB7" s="33">
        <f>IF(INT(Y7)&gt;='3월 등급 정보'!$H$3,1,IF(INT(Y7)&gt;='3월 등급 정보'!$H$4,2,IF(INT(Y7)&gt;='3월 등급 정보'!$H$5,3,IF(INT(Y7)&gt;='3월 등급 정보'!$H$6,4,IF(INT(Y7)&gt;='3월 등급 정보'!$H$7,5,IF(INT(Y7)&gt;='3월 등급 정보'!$H$8,6,IF(INT(Y7)&gt;='3월 등급 정보'!$H$9,7,IF(INT(Y7)&gt;='3월 등급 정보'!$H$10,8,IF(INT(Y7)&gt;='3월 등급 정보'!$H$11,9)))))))))</f>
        <v>1</v>
      </c>
      <c r="AC7" s="33">
        <f>E7+I7+M7+Q7+U7</f>
        <v>356</v>
      </c>
      <c r="AD7" s="33">
        <f>RANK(AC7,$AC$3:$AC$273)</f>
        <v>5</v>
      </c>
    </row>
    <row r="8" spans="1:30" ht="17.25" customHeight="1">
      <c r="A8" s="33" t="s">
        <v>26</v>
      </c>
      <c r="B8" s="34">
        <v>1</v>
      </c>
      <c r="C8" s="34">
        <v>3</v>
      </c>
      <c r="D8" s="34" t="s">
        <v>30</v>
      </c>
      <c r="E8" s="34">
        <v>79</v>
      </c>
      <c r="F8" s="33"/>
      <c r="G8" s="33"/>
      <c r="H8" s="33">
        <f>IF(INT(E8)&gt;='3월 등급 정보'!$C$3,1,IF(INT(E8)&gt;='3월 등급 정보'!$C$4,2,IF(INT(E8)&gt;='3월 등급 정보'!$C$5,3,IF(INT(E8)&gt;='3월 등급 정보'!$C$6,4,IF(INT(E8)&gt;='3월 등급 정보'!$C$7,5,IF(INT(E8)&gt;='3월 등급 정보'!$C$8,6,IF(INT(E8)&gt;='3월 등급 정보'!$C$9,7,IF(INT(E8)&gt;='3월 등급 정보'!$C$10,8,IF(INT(E8)&gt;='3월 등급 정보'!$C$11,9)))))))))</f>
        <v>2</v>
      </c>
      <c r="I8" s="34">
        <v>88</v>
      </c>
      <c r="J8" s="33"/>
      <c r="K8" s="33"/>
      <c r="L8" s="33">
        <f>IF(INT(I8)&gt;='3월 등급 정보'!$D$3,1,IF(INT(I8)&gt;='3월 등급 정보'!$D$4,2,IF(INT(I8)&gt;='3월 등급 정보'!$D$5,3,IF(INT(I8)&gt;='3월 등급 정보'!$D$6,4,IF(INT(I8)&gt;='3월 등급 정보'!$D$7,5,IF(INT(I8)&gt;='3월 등급 정보'!$D$8,6,IF(INT(I8)&gt;='3월 등급 정보'!$D$9,7,IF(INT(I8)&gt;='3월 등급 정보'!$D$10,8,IF(INT(I8)&gt;='3월 등급 정보'!$D$11,9)))))))))</f>
        <v>1</v>
      </c>
      <c r="M8" s="34">
        <v>90</v>
      </c>
      <c r="N8" s="33"/>
      <c r="O8" s="33"/>
      <c r="P8" s="33">
        <f>IF(INT(M8)&gt;='3월 등급 정보'!$E$3,1,IF(INT(M8)&gt;='3월 등급 정보'!$E$4,2,IF(INT(M8)&gt;='3월 등급 정보'!$E$5,3,IF(INT(M8)&gt;='3월 등급 정보'!$E$6,4,IF(INT(M8)&gt;='3월 등급 정보'!$E$7,5,IF(INT(M8)&gt;='3월 등급 정보'!$E$8,6,IF(INT(M8)&gt;='3월 등급 정보'!$E$9,7,IF(INT(M8)&gt;='3월 등급 정보'!$E$10,8,IF(INT(M8)&gt;='3월 등급 정보'!$E$11,9)))))))))</f>
        <v>1</v>
      </c>
      <c r="Q8" s="34">
        <v>46</v>
      </c>
      <c r="R8" s="33"/>
      <c r="S8" s="33"/>
      <c r="T8" s="33">
        <f>IF(INT(Q8)&gt;='3월 등급 정보'!$F$3,1,IF(INT(Q8)&gt;='3월 등급 정보'!$F$4,2,IF(INT(Q8)&gt;='3월 등급 정보'!$F$5,3,IF(INT(Q8)&gt;='3월 등급 정보'!$F$6,4,IF(INT(Q8)&gt;='3월 등급 정보'!$F$7,5,IF(INT(Q8)&gt;='3월 등급 정보'!$F$8,6,IF(INT(Q8)&gt;='3월 등급 정보'!$F$9,7,IF(INT(Q8)&gt;='3월 등급 정보'!$F$10,8,IF(INT(Q8)&gt;='3월 등급 정보'!$F$11,9)))))))))</f>
        <v>2</v>
      </c>
      <c r="U8" s="34">
        <v>48</v>
      </c>
      <c r="V8" s="33"/>
      <c r="W8" s="33"/>
      <c r="X8" s="33">
        <f>IF(INT(U8)&gt;='3월 등급 정보'!$G$3,1,IF(INT(U8)&gt;='3월 등급 정보'!$G$4,2,IF(INT(U8)&gt;='3월 등급 정보'!$G$5,3,IF(INT(U8)&gt;='3월 등급 정보'!$G$6,4,IF(INT(U8)&gt;='3월 등급 정보'!$G$7,5,IF(INT(U8)&gt;='3월 등급 정보'!$G$8,6,IF(INT(U8)&gt;='3월 등급 정보'!$G$9,7,IF(INT(U8)&gt;='3월 등급 정보'!$G$10,8,IF(INT(U8)&gt;='3월 등급 정보'!$G$11,9)))))))))</f>
        <v>1</v>
      </c>
      <c r="Y8" s="34">
        <v>44</v>
      </c>
      <c r="Z8" s="33"/>
      <c r="AA8" s="33"/>
      <c r="AB8" s="33">
        <f>IF(INT(Y8)&gt;='3월 등급 정보'!$H$3,1,IF(INT(Y8)&gt;='3월 등급 정보'!$H$4,2,IF(INT(Y8)&gt;='3월 등급 정보'!$H$5,3,IF(INT(Y8)&gt;='3월 등급 정보'!$H$6,4,IF(INT(Y8)&gt;='3월 등급 정보'!$H$7,5,IF(INT(Y8)&gt;='3월 등급 정보'!$H$8,6,IF(INT(Y8)&gt;='3월 등급 정보'!$H$9,7,IF(INT(Y8)&gt;='3월 등급 정보'!$H$10,8,IF(INT(Y8)&gt;='3월 등급 정보'!$H$11,9)))))))))</f>
        <v>1</v>
      </c>
      <c r="AC8" s="33">
        <f>E8+I8+M8+Q8+U8</f>
        <v>351</v>
      </c>
      <c r="AD8" s="33">
        <f>RANK(AC8,$AC$3:$AC$273)</f>
        <v>6</v>
      </c>
    </row>
    <row r="9" spans="1:30" ht="17.25" customHeight="1">
      <c r="A9" s="33" t="s">
        <v>26</v>
      </c>
      <c r="B9" s="34">
        <v>7</v>
      </c>
      <c r="C9" s="34">
        <v>9</v>
      </c>
      <c r="D9" s="34" t="s">
        <v>195</v>
      </c>
      <c r="E9" s="34">
        <v>85</v>
      </c>
      <c r="F9" s="33"/>
      <c r="G9" s="33"/>
      <c r="H9" s="33">
        <f>IF(INT(E9)&gt;='3월 등급 정보'!$C$3,1,IF(INT(E9)&gt;='3월 등급 정보'!$C$4,2,IF(INT(E9)&gt;='3월 등급 정보'!$C$5,3,IF(INT(E9)&gt;='3월 등급 정보'!$C$6,4,IF(INT(E9)&gt;='3월 등급 정보'!$C$7,5,IF(INT(E9)&gt;='3월 등급 정보'!$C$8,6,IF(INT(E9)&gt;='3월 등급 정보'!$C$9,7,IF(INT(E9)&gt;='3월 등급 정보'!$C$10,8,IF(INT(E9)&gt;='3월 등급 정보'!$C$11,9)))))))))</f>
        <v>2</v>
      </c>
      <c r="I9" s="34">
        <v>80</v>
      </c>
      <c r="J9" s="33"/>
      <c r="K9" s="33"/>
      <c r="L9" s="33">
        <f>IF(INT(I9)&gt;='3월 등급 정보'!$D$3,1,IF(INT(I9)&gt;='3월 등급 정보'!$D$4,2,IF(INT(I9)&gt;='3월 등급 정보'!$D$5,3,IF(INT(I9)&gt;='3월 등급 정보'!$D$6,4,IF(INT(I9)&gt;='3월 등급 정보'!$D$7,5,IF(INT(I9)&gt;='3월 등급 정보'!$D$8,6,IF(INT(I9)&gt;='3월 등급 정보'!$D$9,7,IF(INT(I9)&gt;='3월 등급 정보'!$D$10,8,IF(INT(I9)&gt;='3월 등급 정보'!$D$11,9)))))))))</f>
        <v>2</v>
      </c>
      <c r="M9" s="34">
        <v>92</v>
      </c>
      <c r="N9" s="33"/>
      <c r="O9" s="33"/>
      <c r="P9" s="33">
        <f>IF(INT(M9)&gt;='3월 등급 정보'!$E$3,1,IF(INT(M9)&gt;='3월 등급 정보'!$E$4,2,IF(INT(M9)&gt;='3월 등급 정보'!$E$5,3,IF(INT(M9)&gt;='3월 등급 정보'!$E$6,4,IF(INT(M9)&gt;='3월 등급 정보'!$E$7,5,IF(INT(M9)&gt;='3월 등급 정보'!$E$8,6,IF(INT(M9)&gt;='3월 등급 정보'!$E$9,7,IF(INT(M9)&gt;='3월 등급 정보'!$E$10,8,IF(INT(M9)&gt;='3월 등급 정보'!$E$11,9)))))))))</f>
        <v>1</v>
      </c>
      <c r="Q9" s="34">
        <v>50</v>
      </c>
      <c r="R9" s="33"/>
      <c r="S9" s="33"/>
      <c r="T9" s="33">
        <f>IF(INT(Q9)&gt;='3월 등급 정보'!$F$3,1,IF(INT(Q9)&gt;='3월 등급 정보'!$F$4,2,IF(INT(Q9)&gt;='3월 등급 정보'!$F$5,3,IF(INT(Q9)&gt;='3월 등급 정보'!$F$6,4,IF(INT(Q9)&gt;='3월 등급 정보'!$F$7,5,IF(INT(Q9)&gt;='3월 등급 정보'!$F$8,6,IF(INT(Q9)&gt;='3월 등급 정보'!$F$9,7,IF(INT(Q9)&gt;='3월 등급 정보'!$F$10,8,IF(INT(Q9)&gt;='3월 등급 정보'!$F$11,9)))))))))</f>
        <v>1</v>
      </c>
      <c r="U9" s="34">
        <v>41.5</v>
      </c>
      <c r="V9" s="33"/>
      <c r="W9" s="33"/>
      <c r="X9" s="33">
        <f>IF(INT(U9)&gt;='3월 등급 정보'!$G$3,1,IF(INT(U9)&gt;='3월 등급 정보'!$G$4,2,IF(INT(U9)&gt;='3월 등급 정보'!$G$5,3,IF(INT(U9)&gt;='3월 등급 정보'!$G$6,4,IF(INT(U9)&gt;='3월 등급 정보'!$G$7,5,IF(INT(U9)&gt;='3월 등급 정보'!$G$8,6,IF(INT(U9)&gt;='3월 등급 정보'!$G$9,7,IF(INT(U9)&gt;='3월 등급 정보'!$G$10,8,IF(INT(U9)&gt;='3월 등급 정보'!$G$11,9)))))))))</f>
        <v>2</v>
      </c>
      <c r="Y9" s="34">
        <v>44</v>
      </c>
      <c r="Z9" s="33"/>
      <c r="AA9" s="33"/>
      <c r="AB9" s="33">
        <f>IF(INT(Y9)&gt;='3월 등급 정보'!$H$3,1,IF(INT(Y9)&gt;='3월 등급 정보'!$H$4,2,IF(INT(Y9)&gt;='3월 등급 정보'!$H$5,3,IF(INT(Y9)&gt;='3월 등급 정보'!$H$6,4,IF(INT(Y9)&gt;='3월 등급 정보'!$H$7,5,IF(INT(Y9)&gt;='3월 등급 정보'!$H$8,6,IF(INT(Y9)&gt;='3월 등급 정보'!$H$9,7,IF(INT(Y9)&gt;='3월 등급 정보'!$H$10,8,IF(INT(Y9)&gt;='3월 등급 정보'!$H$11,9)))))))))</f>
        <v>1</v>
      </c>
      <c r="AC9" s="33">
        <f>E9+I9+M9+Q9+U9</f>
        <v>348.5</v>
      </c>
      <c r="AD9" s="33">
        <f>RANK(AC9,$AC$3:$AC$273)</f>
        <v>7</v>
      </c>
    </row>
    <row r="10" spans="1:30" ht="17.25" customHeight="1">
      <c r="A10" s="33" t="s">
        <v>26</v>
      </c>
      <c r="B10" s="34">
        <v>10</v>
      </c>
      <c r="C10" s="34">
        <v>26</v>
      </c>
      <c r="D10" s="34" t="s">
        <v>288</v>
      </c>
      <c r="E10" s="34">
        <v>95</v>
      </c>
      <c r="F10" s="33"/>
      <c r="G10" s="33"/>
      <c r="H10" s="33">
        <f>IF(INT(E10)&gt;='3월 등급 정보'!$C$3,1,IF(INT(E10)&gt;='3월 등급 정보'!$C$4,2,IF(INT(E10)&gt;='3월 등급 정보'!$C$5,3,IF(INT(E10)&gt;='3월 등급 정보'!$C$6,4,IF(INT(E10)&gt;='3월 등급 정보'!$C$7,5,IF(INT(E10)&gt;='3월 등급 정보'!$C$8,6,IF(INT(E10)&gt;='3월 등급 정보'!$C$9,7,IF(INT(E10)&gt;='3월 등급 정보'!$C$10,8,IF(INT(E10)&gt;='3월 등급 정보'!$C$11,9)))))))))</f>
        <v>1</v>
      </c>
      <c r="I10" s="34">
        <v>77</v>
      </c>
      <c r="J10" s="33"/>
      <c r="K10" s="33"/>
      <c r="L10" s="33">
        <f>IF(INT(I10)&gt;='3월 등급 정보'!$D$3,1,IF(INT(I10)&gt;='3월 등급 정보'!$D$4,2,IF(INT(I10)&gt;='3월 등급 정보'!$D$5,3,IF(INT(I10)&gt;='3월 등급 정보'!$D$6,4,IF(INT(I10)&gt;='3월 등급 정보'!$D$7,5,IF(INT(I10)&gt;='3월 등급 정보'!$D$8,6,IF(INT(I10)&gt;='3월 등급 정보'!$D$9,7,IF(INT(I10)&gt;='3월 등급 정보'!$D$10,8,IF(INT(I10)&gt;='3월 등급 정보'!$D$11,9)))))))))</f>
        <v>2</v>
      </c>
      <c r="M10" s="34">
        <v>86</v>
      </c>
      <c r="N10" s="33"/>
      <c r="O10" s="33"/>
      <c r="P10" s="33">
        <f>IF(INT(M10)&gt;='3월 등급 정보'!$E$3,1,IF(INT(M10)&gt;='3월 등급 정보'!$E$4,2,IF(INT(M10)&gt;='3월 등급 정보'!$E$5,3,IF(INT(M10)&gt;='3월 등급 정보'!$E$6,4,IF(INT(M10)&gt;='3월 등급 정보'!$E$7,5,IF(INT(M10)&gt;='3월 등급 정보'!$E$8,6,IF(INT(M10)&gt;='3월 등급 정보'!$E$9,7,IF(INT(M10)&gt;='3월 등급 정보'!$E$10,8,IF(INT(M10)&gt;='3월 등급 정보'!$E$11,9)))))))))</f>
        <v>2</v>
      </c>
      <c r="Q10" s="34">
        <v>46</v>
      </c>
      <c r="R10" s="33"/>
      <c r="S10" s="33"/>
      <c r="T10" s="33">
        <f>IF(INT(Q10)&gt;='3월 등급 정보'!$F$3,1,IF(INT(Q10)&gt;='3월 등급 정보'!$F$4,2,IF(INT(Q10)&gt;='3월 등급 정보'!$F$5,3,IF(INT(Q10)&gt;='3월 등급 정보'!$F$6,4,IF(INT(Q10)&gt;='3월 등급 정보'!$F$7,5,IF(INT(Q10)&gt;='3월 등급 정보'!$F$8,6,IF(INT(Q10)&gt;='3월 등급 정보'!$F$9,7,IF(INT(Q10)&gt;='3월 등급 정보'!$F$10,8,IF(INT(Q10)&gt;='3월 등급 정보'!$F$11,9)))))))))</f>
        <v>2</v>
      </c>
      <c r="U10" s="34">
        <v>43</v>
      </c>
      <c r="V10" s="33"/>
      <c r="W10" s="33"/>
      <c r="X10" s="33">
        <f>IF(INT(U10)&gt;='3월 등급 정보'!$G$3,1,IF(INT(U10)&gt;='3월 등급 정보'!$G$4,2,IF(INT(U10)&gt;='3월 등급 정보'!$G$5,3,IF(INT(U10)&gt;='3월 등급 정보'!$G$6,4,IF(INT(U10)&gt;='3월 등급 정보'!$G$7,5,IF(INT(U10)&gt;='3월 등급 정보'!$G$8,6,IF(INT(U10)&gt;='3월 등급 정보'!$G$9,7,IF(INT(U10)&gt;='3월 등급 정보'!$G$10,8,IF(INT(U10)&gt;='3월 등급 정보'!$G$11,9)))))))))</f>
        <v>1</v>
      </c>
      <c r="Y10" s="34">
        <v>46</v>
      </c>
      <c r="Z10" s="33"/>
      <c r="AA10" s="33"/>
      <c r="AB10" s="33">
        <f>IF(INT(Y10)&gt;='3월 등급 정보'!$H$3,1,IF(INT(Y10)&gt;='3월 등급 정보'!$H$4,2,IF(INT(Y10)&gt;='3월 등급 정보'!$H$5,3,IF(INT(Y10)&gt;='3월 등급 정보'!$H$6,4,IF(INT(Y10)&gt;='3월 등급 정보'!$H$7,5,IF(INT(Y10)&gt;='3월 등급 정보'!$H$8,6,IF(INT(Y10)&gt;='3월 등급 정보'!$H$9,7,IF(INT(Y10)&gt;='3월 등급 정보'!$H$10,8,IF(INT(Y10)&gt;='3월 등급 정보'!$H$11,9)))))))))</f>
        <v>1</v>
      </c>
      <c r="AC10" s="33">
        <f>E10+I10+M10+Q10+U10</f>
        <v>347</v>
      </c>
      <c r="AD10" s="33">
        <f>RANK(AC10,$AC$3:$AC$273)</f>
        <v>8</v>
      </c>
    </row>
    <row r="11" spans="1:30" ht="17.25" customHeight="1">
      <c r="A11" s="33" t="s">
        <v>26</v>
      </c>
      <c r="B11" s="34">
        <v>6</v>
      </c>
      <c r="C11" s="34">
        <v>23</v>
      </c>
      <c r="D11" s="34" t="s">
        <v>181</v>
      </c>
      <c r="E11" s="34">
        <v>88</v>
      </c>
      <c r="F11" s="33"/>
      <c r="G11" s="33"/>
      <c r="H11" s="33">
        <f>IF(INT(E11)&gt;='3월 등급 정보'!$C$3,1,IF(INT(E11)&gt;='3월 등급 정보'!$C$4,2,IF(INT(E11)&gt;='3월 등급 정보'!$C$5,3,IF(INT(E11)&gt;='3월 등급 정보'!$C$6,4,IF(INT(E11)&gt;='3월 등급 정보'!$C$7,5,IF(INT(E11)&gt;='3월 등급 정보'!$C$8,6,IF(INT(E11)&gt;='3월 등급 정보'!$C$9,7,IF(INT(E11)&gt;='3월 등급 정보'!$C$10,8,IF(INT(E11)&gt;='3월 등급 정보'!$C$11,9)))))))))</f>
        <v>1</v>
      </c>
      <c r="I11" s="34">
        <v>84</v>
      </c>
      <c r="J11" s="33"/>
      <c r="K11" s="33"/>
      <c r="L11" s="33">
        <f>IF(INT(I11)&gt;='3월 등급 정보'!$D$3,1,IF(INT(I11)&gt;='3월 등급 정보'!$D$4,2,IF(INT(I11)&gt;='3월 등급 정보'!$D$5,3,IF(INT(I11)&gt;='3월 등급 정보'!$D$6,4,IF(INT(I11)&gt;='3월 등급 정보'!$D$7,5,IF(INT(I11)&gt;='3월 등급 정보'!$D$8,6,IF(INT(I11)&gt;='3월 등급 정보'!$D$9,7,IF(INT(I11)&gt;='3월 등급 정보'!$D$10,8,IF(INT(I11)&gt;='3월 등급 정보'!$D$11,9)))))))))</f>
        <v>1</v>
      </c>
      <c r="M11" s="34">
        <v>91</v>
      </c>
      <c r="N11" s="33"/>
      <c r="O11" s="33"/>
      <c r="P11" s="33">
        <f>IF(INT(M11)&gt;='3월 등급 정보'!$E$3,1,IF(INT(M11)&gt;='3월 등급 정보'!$E$4,2,IF(INT(M11)&gt;='3월 등급 정보'!$E$5,3,IF(INT(M11)&gt;='3월 등급 정보'!$E$6,4,IF(INT(M11)&gt;='3월 등급 정보'!$E$7,5,IF(INT(M11)&gt;='3월 등급 정보'!$E$8,6,IF(INT(M11)&gt;='3월 등급 정보'!$E$9,7,IF(INT(M11)&gt;='3월 등급 정보'!$E$10,8,IF(INT(M11)&gt;='3월 등급 정보'!$E$11,9)))))))))</f>
        <v>1</v>
      </c>
      <c r="Q11" s="34">
        <v>44</v>
      </c>
      <c r="R11" s="33"/>
      <c r="S11" s="33"/>
      <c r="T11" s="33">
        <f>IF(INT(Q11)&gt;='3월 등급 정보'!$F$3,1,IF(INT(Q11)&gt;='3월 등급 정보'!$F$4,2,IF(INT(Q11)&gt;='3월 등급 정보'!$F$5,3,IF(INT(Q11)&gt;='3월 등급 정보'!$F$6,4,IF(INT(Q11)&gt;='3월 등급 정보'!$F$7,5,IF(INT(Q11)&gt;='3월 등급 정보'!$F$8,6,IF(INT(Q11)&gt;='3월 등급 정보'!$F$9,7,IF(INT(Q11)&gt;='3월 등급 정보'!$F$10,8,IF(INT(Q11)&gt;='3월 등급 정보'!$F$11,9)))))))))</f>
        <v>2</v>
      </c>
      <c r="U11" s="34">
        <v>31.5</v>
      </c>
      <c r="V11" s="33"/>
      <c r="W11" s="33"/>
      <c r="X11" s="33">
        <f>IF(INT(U11)&gt;='3월 등급 정보'!$G$3,1,IF(INT(U11)&gt;='3월 등급 정보'!$G$4,2,IF(INT(U11)&gt;='3월 등급 정보'!$G$5,3,IF(INT(U11)&gt;='3월 등급 정보'!$G$6,4,IF(INT(U11)&gt;='3월 등급 정보'!$G$7,5,IF(INT(U11)&gt;='3월 등급 정보'!$G$8,6,IF(INT(U11)&gt;='3월 등급 정보'!$G$9,7,IF(INT(U11)&gt;='3월 등급 정보'!$G$10,8,IF(INT(U11)&gt;='3월 등급 정보'!$G$11,9)))))))))</f>
        <v>4</v>
      </c>
      <c r="Y11" s="34">
        <v>40</v>
      </c>
      <c r="Z11" s="33"/>
      <c r="AA11" s="33"/>
      <c r="AB11" s="33">
        <f>IF(INT(Y11)&gt;='3월 등급 정보'!$H$3,1,IF(INT(Y11)&gt;='3월 등급 정보'!$H$4,2,IF(INT(Y11)&gt;='3월 등급 정보'!$H$5,3,IF(INT(Y11)&gt;='3월 등급 정보'!$H$6,4,IF(INT(Y11)&gt;='3월 등급 정보'!$H$7,5,IF(INT(Y11)&gt;='3월 등급 정보'!$H$8,6,IF(INT(Y11)&gt;='3월 등급 정보'!$H$9,7,IF(INT(Y11)&gt;='3월 등급 정보'!$H$10,8,IF(INT(Y11)&gt;='3월 등급 정보'!$H$11,9)))))))))</f>
        <v>1</v>
      </c>
      <c r="AC11" s="33">
        <f>E11+I11+M11+Q11+U11</f>
        <v>338.5</v>
      </c>
      <c r="AD11" s="33">
        <f>RANK(AC11,$AC$3:$AC$273)</f>
        <v>9</v>
      </c>
    </row>
    <row r="12" spans="1:30" ht="17.25" customHeight="1">
      <c r="A12" s="33" t="s">
        <v>26</v>
      </c>
      <c r="B12" s="34">
        <v>2</v>
      </c>
      <c r="C12" s="34">
        <v>7</v>
      </c>
      <c r="D12" s="34" t="s">
        <v>60</v>
      </c>
      <c r="E12" s="34">
        <v>83</v>
      </c>
      <c r="F12" s="33"/>
      <c r="G12" s="33"/>
      <c r="H12" s="33">
        <f>IF(INT(E12)&gt;='3월 등급 정보'!$C$3,1,IF(INT(E12)&gt;='3월 등급 정보'!$C$4,2,IF(INT(E12)&gt;='3월 등급 정보'!$C$5,3,IF(INT(E12)&gt;='3월 등급 정보'!$C$6,4,IF(INT(E12)&gt;='3월 등급 정보'!$C$7,5,IF(INT(E12)&gt;='3월 등급 정보'!$C$8,6,IF(INT(E12)&gt;='3월 등급 정보'!$C$9,7,IF(INT(E12)&gt;='3월 등급 정보'!$C$10,8,IF(INT(E12)&gt;='3월 등급 정보'!$C$11,9)))))))))</f>
        <v>2</v>
      </c>
      <c r="I12" s="34">
        <v>69</v>
      </c>
      <c r="J12" s="33"/>
      <c r="K12" s="33"/>
      <c r="L12" s="33">
        <f>IF(INT(I12)&gt;='3월 등급 정보'!$D$3,1,IF(INT(I12)&gt;='3월 등급 정보'!$D$4,2,IF(INT(I12)&gt;='3월 등급 정보'!$D$5,3,IF(INT(I12)&gt;='3월 등급 정보'!$D$6,4,IF(INT(I12)&gt;='3월 등급 정보'!$D$7,5,IF(INT(I12)&gt;='3월 등급 정보'!$D$8,6,IF(INT(I12)&gt;='3월 등급 정보'!$D$9,7,IF(INT(I12)&gt;='3월 등급 정보'!$D$10,8,IF(INT(I12)&gt;='3월 등급 정보'!$D$11,9)))))))))</f>
        <v>3</v>
      </c>
      <c r="M12" s="34">
        <v>92</v>
      </c>
      <c r="N12" s="33"/>
      <c r="O12" s="33"/>
      <c r="P12" s="33">
        <f>IF(INT(M12)&gt;='3월 등급 정보'!$E$3,1,IF(INT(M12)&gt;='3월 등급 정보'!$E$4,2,IF(INT(M12)&gt;='3월 등급 정보'!$E$5,3,IF(INT(M12)&gt;='3월 등급 정보'!$E$6,4,IF(INT(M12)&gt;='3월 등급 정보'!$E$7,5,IF(INT(M12)&gt;='3월 등급 정보'!$E$8,6,IF(INT(M12)&gt;='3월 등급 정보'!$E$9,7,IF(INT(M12)&gt;='3월 등급 정보'!$E$10,8,IF(INT(M12)&gt;='3월 등급 정보'!$E$11,9)))))))))</f>
        <v>1</v>
      </c>
      <c r="Q12" s="34">
        <v>45.5</v>
      </c>
      <c r="R12" s="33"/>
      <c r="S12" s="33"/>
      <c r="T12" s="33">
        <f>IF(INT(Q12)&gt;='3월 등급 정보'!$F$3,1,IF(INT(Q12)&gt;='3월 등급 정보'!$F$4,2,IF(INT(Q12)&gt;='3월 등급 정보'!$F$5,3,IF(INT(Q12)&gt;='3월 등급 정보'!$F$6,4,IF(INT(Q12)&gt;='3월 등급 정보'!$F$7,5,IF(INT(Q12)&gt;='3월 등급 정보'!$F$8,6,IF(INT(Q12)&gt;='3월 등급 정보'!$F$9,7,IF(INT(Q12)&gt;='3월 등급 정보'!$F$10,8,IF(INT(Q12)&gt;='3월 등급 정보'!$F$11,9)))))))))</f>
        <v>2</v>
      </c>
      <c r="U12" s="34">
        <v>47.5</v>
      </c>
      <c r="V12" s="33"/>
      <c r="W12" s="33"/>
      <c r="X12" s="33">
        <f>IF(INT(U12)&gt;='3월 등급 정보'!$G$3,1,IF(INT(U12)&gt;='3월 등급 정보'!$G$4,2,IF(INT(U12)&gt;='3월 등급 정보'!$G$5,3,IF(INT(U12)&gt;='3월 등급 정보'!$G$6,4,IF(INT(U12)&gt;='3월 등급 정보'!$G$7,5,IF(INT(U12)&gt;='3월 등급 정보'!$G$8,6,IF(INT(U12)&gt;='3월 등급 정보'!$G$9,7,IF(INT(U12)&gt;='3월 등급 정보'!$G$10,8,IF(INT(U12)&gt;='3월 등급 정보'!$G$11,9)))))))))</f>
        <v>1</v>
      </c>
      <c r="Y12" s="34">
        <v>47</v>
      </c>
      <c r="Z12" s="33"/>
      <c r="AA12" s="33"/>
      <c r="AB12" s="33">
        <f>IF(INT(Y12)&gt;='3월 등급 정보'!$H$3,1,IF(INT(Y12)&gt;='3월 등급 정보'!$H$4,2,IF(INT(Y12)&gt;='3월 등급 정보'!$H$5,3,IF(INT(Y12)&gt;='3월 등급 정보'!$H$6,4,IF(INT(Y12)&gt;='3월 등급 정보'!$H$7,5,IF(INT(Y12)&gt;='3월 등급 정보'!$H$8,6,IF(INT(Y12)&gt;='3월 등급 정보'!$H$9,7,IF(INT(Y12)&gt;='3월 등급 정보'!$H$10,8,IF(INT(Y12)&gt;='3월 등급 정보'!$H$11,9)))))))))</f>
        <v>1</v>
      </c>
      <c r="AC12" s="33">
        <f>E12+I12+M12+Q12+U12</f>
        <v>337</v>
      </c>
      <c r="AD12" s="33">
        <f>RANK(AC12,$AC$3:$AC$273)</f>
        <v>10</v>
      </c>
    </row>
    <row r="13" spans="1:30" ht="17.25" customHeight="1">
      <c r="A13" s="33" t="s">
        <v>26</v>
      </c>
      <c r="B13" s="34">
        <v>6</v>
      </c>
      <c r="C13" s="34">
        <v>2</v>
      </c>
      <c r="D13" s="34" t="s">
        <v>161</v>
      </c>
      <c r="E13" s="34">
        <v>96</v>
      </c>
      <c r="F13" s="33"/>
      <c r="G13" s="33"/>
      <c r="H13" s="33">
        <f>IF(INT(E13)&gt;='3월 등급 정보'!$C$3,1,IF(INT(E13)&gt;='3월 등급 정보'!$C$4,2,IF(INT(E13)&gt;='3월 등급 정보'!$C$5,3,IF(INT(E13)&gt;='3월 등급 정보'!$C$6,4,IF(INT(E13)&gt;='3월 등급 정보'!$C$7,5,IF(INT(E13)&gt;='3월 등급 정보'!$C$8,6,IF(INT(E13)&gt;='3월 등급 정보'!$C$9,7,IF(INT(E13)&gt;='3월 등급 정보'!$C$10,8,IF(INT(E13)&gt;='3월 등급 정보'!$C$11,9)))))))))</f>
        <v>1</v>
      </c>
      <c r="I13" s="34">
        <v>68</v>
      </c>
      <c r="J13" s="33"/>
      <c r="K13" s="33"/>
      <c r="L13" s="33">
        <f>IF(INT(I13)&gt;='3월 등급 정보'!$D$3,1,IF(INT(I13)&gt;='3월 등급 정보'!$D$4,2,IF(INT(I13)&gt;='3월 등급 정보'!$D$5,3,IF(INT(I13)&gt;='3월 등급 정보'!$D$6,4,IF(INT(I13)&gt;='3월 등급 정보'!$D$7,5,IF(INT(I13)&gt;='3월 등급 정보'!$D$8,6,IF(INT(I13)&gt;='3월 등급 정보'!$D$9,7,IF(INT(I13)&gt;='3월 등급 정보'!$D$10,8,IF(INT(I13)&gt;='3월 등급 정보'!$D$11,9)))))))))</f>
        <v>3</v>
      </c>
      <c r="M13" s="34">
        <v>91</v>
      </c>
      <c r="N13" s="33"/>
      <c r="O13" s="33"/>
      <c r="P13" s="33">
        <f>IF(INT(M13)&gt;='3월 등급 정보'!$E$3,1,IF(INT(M13)&gt;='3월 등급 정보'!$E$4,2,IF(INT(M13)&gt;='3월 등급 정보'!$E$5,3,IF(INT(M13)&gt;='3월 등급 정보'!$E$6,4,IF(INT(M13)&gt;='3월 등급 정보'!$E$7,5,IF(INT(M13)&gt;='3월 등급 정보'!$E$8,6,IF(INT(M13)&gt;='3월 등급 정보'!$E$9,7,IF(INT(M13)&gt;='3월 등급 정보'!$E$10,8,IF(INT(M13)&gt;='3월 등급 정보'!$E$11,9)))))))))</f>
        <v>1</v>
      </c>
      <c r="Q13" s="34">
        <v>39.5</v>
      </c>
      <c r="R13" s="33"/>
      <c r="S13" s="33"/>
      <c r="T13" s="33">
        <f>IF(INT(Q13)&gt;='3월 등급 정보'!$F$3,1,IF(INT(Q13)&gt;='3월 등급 정보'!$F$4,2,IF(INT(Q13)&gt;='3월 등급 정보'!$F$5,3,IF(INT(Q13)&gt;='3월 등급 정보'!$F$6,4,IF(INT(Q13)&gt;='3월 등급 정보'!$F$7,5,IF(INT(Q13)&gt;='3월 등급 정보'!$F$8,6,IF(INT(Q13)&gt;='3월 등급 정보'!$F$9,7,IF(INT(Q13)&gt;='3월 등급 정보'!$F$10,8,IF(INT(Q13)&gt;='3월 등급 정보'!$F$11,9)))))))))</f>
        <v>3</v>
      </c>
      <c r="U13" s="34">
        <v>36</v>
      </c>
      <c r="V13" s="33"/>
      <c r="W13" s="33"/>
      <c r="X13" s="33">
        <f>IF(INT(U13)&gt;='3월 등급 정보'!$G$3,1,IF(INT(U13)&gt;='3월 등급 정보'!$G$4,2,IF(INT(U13)&gt;='3월 등급 정보'!$G$5,3,IF(INT(U13)&gt;='3월 등급 정보'!$G$6,4,IF(INT(U13)&gt;='3월 등급 정보'!$G$7,5,IF(INT(U13)&gt;='3월 등급 정보'!$G$8,6,IF(INT(U13)&gt;='3월 등급 정보'!$G$9,7,IF(INT(U13)&gt;='3월 등급 정보'!$G$10,8,IF(INT(U13)&gt;='3월 등급 정보'!$G$11,9)))))))))</f>
        <v>3</v>
      </c>
      <c r="Y13" s="34">
        <v>32</v>
      </c>
      <c r="Z13" s="33"/>
      <c r="AA13" s="33"/>
      <c r="AB13" s="33">
        <f>IF(INT(Y13)&gt;='3월 등급 정보'!$H$3,1,IF(INT(Y13)&gt;='3월 등급 정보'!$H$4,2,IF(INT(Y13)&gt;='3월 등급 정보'!$H$5,3,IF(INT(Y13)&gt;='3월 등급 정보'!$H$6,4,IF(INT(Y13)&gt;='3월 등급 정보'!$H$7,5,IF(INT(Y13)&gt;='3월 등급 정보'!$H$8,6,IF(INT(Y13)&gt;='3월 등급 정보'!$H$9,7,IF(INT(Y13)&gt;='3월 등급 정보'!$H$10,8,IF(INT(Y13)&gt;='3월 등급 정보'!$H$11,9)))))))))</f>
        <v>3</v>
      </c>
      <c r="AC13" s="33">
        <f>E13+I13+M13+Q13+U13</f>
        <v>330.5</v>
      </c>
      <c r="AD13" s="33">
        <f>RANK(AC13,$AC$3:$AC$273)</f>
        <v>11</v>
      </c>
    </row>
    <row r="14" spans="1:30" ht="17.25" customHeight="1">
      <c r="A14" s="33" t="s">
        <v>26</v>
      </c>
      <c r="B14" s="34">
        <v>8</v>
      </c>
      <c r="C14" s="34">
        <v>12</v>
      </c>
      <c r="D14" s="34" t="s">
        <v>224</v>
      </c>
      <c r="E14" s="34">
        <v>77</v>
      </c>
      <c r="F14" s="33"/>
      <c r="G14" s="33"/>
      <c r="H14" s="33">
        <f>IF(INT(E14)&gt;='3월 등급 정보'!$C$3,1,IF(INT(E14)&gt;='3월 등급 정보'!$C$4,2,IF(INT(E14)&gt;='3월 등급 정보'!$C$5,3,IF(INT(E14)&gt;='3월 등급 정보'!$C$6,4,IF(INT(E14)&gt;='3월 등급 정보'!$C$7,5,IF(INT(E14)&gt;='3월 등급 정보'!$C$8,6,IF(INT(E14)&gt;='3월 등급 정보'!$C$9,7,IF(INT(E14)&gt;='3월 등급 정보'!$C$10,8,IF(INT(E14)&gt;='3월 등급 정보'!$C$11,9)))))))))</f>
        <v>3</v>
      </c>
      <c r="I14" s="34">
        <v>76</v>
      </c>
      <c r="J14" s="33"/>
      <c r="K14" s="33"/>
      <c r="L14" s="33">
        <f>IF(INT(I14)&gt;='3월 등급 정보'!$D$3,1,IF(INT(I14)&gt;='3월 등급 정보'!$D$4,2,IF(INT(I14)&gt;='3월 등급 정보'!$D$5,3,IF(INT(I14)&gt;='3월 등급 정보'!$D$6,4,IF(INT(I14)&gt;='3월 등급 정보'!$D$7,5,IF(INT(I14)&gt;='3월 등급 정보'!$D$8,6,IF(INT(I14)&gt;='3월 등급 정보'!$D$9,7,IF(INT(I14)&gt;='3월 등급 정보'!$D$10,8,IF(INT(I14)&gt;='3월 등급 정보'!$D$11,9)))))))))</f>
        <v>2</v>
      </c>
      <c r="M14" s="34">
        <v>88</v>
      </c>
      <c r="N14" s="33"/>
      <c r="O14" s="33"/>
      <c r="P14" s="33">
        <f>IF(INT(M14)&gt;='3월 등급 정보'!$E$3,1,IF(INT(M14)&gt;='3월 등급 정보'!$E$4,2,IF(INT(M14)&gt;='3월 등급 정보'!$E$5,3,IF(INT(M14)&gt;='3월 등급 정보'!$E$6,4,IF(INT(M14)&gt;='3월 등급 정보'!$E$7,5,IF(INT(M14)&gt;='3월 등급 정보'!$E$8,6,IF(INT(M14)&gt;='3월 등급 정보'!$E$9,7,IF(INT(M14)&gt;='3월 등급 정보'!$E$10,8,IF(INT(M14)&gt;='3월 등급 정보'!$E$11,9)))))))))</f>
        <v>2</v>
      </c>
      <c r="Q14" s="34">
        <v>45.5</v>
      </c>
      <c r="R14" s="33"/>
      <c r="S14" s="33"/>
      <c r="T14" s="33">
        <f>IF(INT(Q14)&gt;='3월 등급 정보'!$F$3,1,IF(INT(Q14)&gt;='3월 등급 정보'!$F$4,2,IF(INT(Q14)&gt;='3월 등급 정보'!$F$5,3,IF(INT(Q14)&gt;='3월 등급 정보'!$F$6,4,IF(INT(Q14)&gt;='3월 등급 정보'!$F$7,5,IF(INT(Q14)&gt;='3월 등급 정보'!$F$8,6,IF(INT(Q14)&gt;='3월 등급 정보'!$F$9,7,IF(INT(Q14)&gt;='3월 등급 정보'!$F$10,8,IF(INT(Q14)&gt;='3월 등급 정보'!$F$11,9)))))))))</f>
        <v>2</v>
      </c>
      <c r="U14" s="34">
        <v>44</v>
      </c>
      <c r="V14" s="33"/>
      <c r="W14" s="33"/>
      <c r="X14" s="33">
        <f>IF(INT(U14)&gt;='3월 등급 정보'!$G$3,1,IF(INT(U14)&gt;='3월 등급 정보'!$G$4,2,IF(INT(U14)&gt;='3월 등급 정보'!$G$5,3,IF(INT(U14)&gt;='3월 등급 정보'!$G$6,4,IF(INT(U14)&gt;='3월 등급 정보'!$G$7,5,IF(INT(U14)&gt;='3월 등급 정보'!$G$8,6,IF(INT(U14)&gt;='3월 등급 정보'!$G$9,7,IF(INT(U14)&gt;='3월 등급 정보'!$G$10,8,IF(INT(U14)&gt;='3월 등급 정보'!$G$11,9)))))))))</f>
        <v>1</v>
      </c>
      <c r="Y14" s="34">
        <v>39</v>
      </c>
      <c r="Z14" s="33"/>
      <c r="AA14" s="33"/>
      <c r="AB14" s="33">
        <f>IF(INT(Y14)&gt;='3월 등급 정보'!$H$3,1,IF(INT(Y14)&gt;='3월 등급 정보'!$H$4,2,IF(INT(Y14)&gt;='3월 등급 정보'!$H$5,3,IF(INT(Y14)&gt;='3월 등급 정보'!$H$6,4,IF(INT(Y14)&gt;='3월 등급 정보'!$H$7,5,IF(INT(Y14)&gt;='3월 등급 정보'!$H$8,6,IF(INT(Y14)&gt;='3월 등급 정보'!$H$9,7,IF(INT(Y14)&gt;='3월 등급 정보'!$H$10,8,IF(INT(Y14)&gt;='3월 등급 정보'!$H$11,9)))))))))</f>
        <v>2</v>
      </c>
      <c r="AC14" s="33">
        <f>E14+I14+M14+Q14+U14</f>
        <v>330.5</v>
      </c>
      <c r="AD14" s="33">
        <f>RANK(AC14,$AC$3:$AC$273)</f>
        <v>11</v>
      </c>
    </row>
    <row r="15" spans="1:30" ht="17.25" customHeight="1">
      <c r="A15" s="33" t="s">
        <v>26</v>
      </c>
      <c r="B15" s="34">
        <v>7</v>
      </c>
      <c r="C15" s="34">
        <v>19</v>
      </c>
      <c r="D15" s="34" t="s">
        <v>205</v>
      </c>
      <c r="E15" s="34">
        <v>90</v>
      </c>
      <c r="F15" s="33"/>
      <c r="G15" s="33"/>
      <c r="H15" s="33">
        <f>IF(INT(E15)&gt;='3월 등급 정보'!$C$3,1,IF(INT(E15)&gt;='3월 등급 정보'!$C$4,2,IF(INT(E15)&gt;='3월 등급 정보'!$C$5,3,IF(INT(E15)&gt;='3월 등급 정보'!$C$6,4,IF(INT(E15)&gt;='3월 등급 정보'!$C$7,5,IF(INT(E15)&gt;='3월 등급 정보'!$C$8,6,IF(INT(E15)&gt;='3월 등급 정보'!$C$9,7,IF(INT(E15)&gt;='3월 등급 정보'!$C$10,8,IF(INT(E15)&gt;='3월 등급 정보'!$C$11,9)))))))))</f>
        <v>1</v>
      </c>
      <c r="I15" s="34">
        <v>57</v>
      </c>
      <c r="J15" s="33"/>
      <c r="K15" s="33"/>
      <c r="L15" s="33">
        <f>IF(INT(I15)&gt;='3월 등급 정보'!$D$3,1,IF(INT(I15)&gt;='3월 등급 정보'!$D$4,2,IF(INT(I15)&gt;='3월 등급 정보'!$D$5,3,IF(INT(I15)&gt;='3월 등급 정보'!$D$6,4,IF(INT(I15)&gt;='3월 등급 정보'!$D$7,5,IF(INT(I15)&gt;='3월 등급 정보'!$D$8,6,IF(INT(I15)&gt;='3월 등급 정보'!$D$9,7,IF(INT(I15)&gt;='3월 등급 정보'!$D$10,8,IF(INT(I15)&gt;='3월 등급 정보'!$D$11,9)))))))))</f>
        <v>4</v>
      </c>
      <c r="M15" s="34">
        <v>95</v>
      </c>
      <c r="N15" s="33"/>
      <c r="O15" s="33"/>
      <c r="P15" s="33">
        <f>IF(INT(M15)&gt;='3월 등급 정보'!$E$3,1,IF(INT(M15)&gt;='3월 등급 정보'!$E$4,2,IF(INT(M15)&gt;='3월 등급 정보'!$E$5,3,IF(INT(M15)&gt;='3월 등급 정보'!$E$6,4,IF(INT(M15)&gt;='3월 등급 정보'!$E$7,5,IF(INT(M15)&gt;='3월 등급 정보'!$E$8,6,IF(INT(M15)&gt;='3월 등급 정보'!$E$9,7,IF(INT(M15)&gt;='3월 등급 정보'!$E$10,8,IF(INT(M15)&gt;='3월 등급 정보'!$E$11,9)))))))))</f>
        <v>1</v>
      </c>
      <c r="Q15" s="34">
        <v>43.5</v>
      </c>
      <c r="R15" s="33"/>
      <c r="S15" s="33"/>
      <c r="T15" s="33">
        <f>IF(INT(Q15)&gt;='3월 등급 정보'!$F$3,1,IF(INT(Q15)&gt;='3월 등급 정보'!$F$4,2,IF(INT(Q15)&gt;='3월 등급 정보'!$F$5,3,IF(INT(Q15)&gt;='3월 등급 정보'!$F$6,4,IF(INT(Q15)&gt;='3월 등급 정보'!$F$7,5,IF(INT(Q15)&gt;='3월 등급 정보'!$F$8,6,IF(INT(Q15)&gt;='3월 등급 정보'!$F$9,7,IF(INT(Q15)&gt;='3월 등급 정보'!$F$10,8,IF(INT(Q15)&gt;='3월 등급 정보'!$F$11,9)))))))))</f>
        <v>2</v>
      </c>
      <c r="U15" s="34">
        <v>44.5</v>
      </c>
      <c r="V15" s="33"/>
      <c r="W15" s="33"/>
      <c r="X15" s="33">
        <f>IF(INT(U15)&gt;='3월 등급 정보'!$G$3,1,IF(INT(U15)&gt;='3월 등급 정보'!$G$4,2,IF(INT(U15)&gt;='3월 등급 정보'!$G$5,3,IF(INT(U15)&gt;='3월 등급 정보'!$G$6,4,IF(INT(U15)&gt;='3월 등급 정보'!$G$7,5,IF(INT(U15)&gt;='3월 등급 정보'!$G$8,6,IF(INT(U15)&gt;='3월 등급 정보'!$G$9,7,IF(INT(U15)&gt;='3월 등급 정보'!$G$10,8,IF(INT(U15)&gt;='3월 등급 정보'!$G$11,9)))))))))</f>
        <v>1</v>
      </c>
      <c r="Y15" s="34">
        <v>42</v>
      </c>
      <c r="Z15" s="33"/>
      <c r="AA15" s="33"/>
      <c r="AB15" s="33">
        <f>IF(INT(Y15)&gt;='3월 등급 정보'!$H$3,1,IF(INT(Y15)&gt;='3월 등급 정보'!$H$4,2,IF(INT(Y15)&gt;='3월 등급 정보'!$H$5,3,IF(INT(Y15)&gt;='3월 등급 정보'!$H$6,4,IF(INT(Y15)&gt;='3월 등급 정보'!$H$7,5,IF(INT(Y15)&gt;='3월 등급 정보'!$H$8,6,IF(INT(Y15)&gt;='3월 등급 정보'!$H$9,7,IF(INT(Y15)&gt;='3월 등급 정보'!$H$10,8,IF(INT(Y15)&gt;='3월 등급 정보'!$H$11,9)))))))))</f>
        <v>1</v>
      </c>
      <c r="AC15" s="33">
        <f>E15+I15+M15+Q15+U15</f>
        <v>330</v>
      </c>
      <c r="AD15" s="33">
        <f>RANK(AC15,$AC$3:$AC$273)</f>
        <v>13</v>
      </c>
    </row>
    <row r="16" spans="1:30" ht="17.25" customHeight="1">
      <c r="A16" s="33" t="s">
        <v>26</v>
      </c>
      <c r="B16" s="34">
        <v>2</v>
      </c>
      <c r="C16" s="34">
        <v>17</v>
      </c>
      <c r="D16" s="34" t="s">
        <v>69</v>
      </c>
      <c r="E16" s="34">
        <v>87</v>
      </c>
      <c r="F16" s="33"/>
      <c r="G16" s="33"/>
      <c r="H16" s="33">
        <f>IF(INT(E16)&gt;='3월 등급 정보'!$C$3,1,IF(INT(E16)&gt;='3월 등급 정보'!$C$4,2,IF(INT(E16)&gt;='3월 등급 정보'!$C$5,3,IF(INT(E16)&gt;='3월 등급 정보'!$C$6,4,IF(INT(E16)&gt;='3월 등급 정보'!$C$7,5,IF(INT(E16)&gt;='3월 등급 정보'!$C$8,6,IF(INT(E16)&gt;='3월 등급 정보'!$C$9,7,IF(INT(E16)&gt;='3월 등급 정보'!$C$10,8,IF(INT(E16)&gt;='3월 등급 정보'!$C$11,9)))))))))</f>
        <v>1</v>
      </c>
      <c r="I16" s="34">
        <v>78</v>
      </c>
      <c r="J16" s="33"/>
      <c r="K16" s="33"/>
      <c r="L16" s="33">
        <f>IF(INT(I16)&gt;='3월 등급 정보'!$D$3,1,IF(INT(I16)&gt;='3월 등급 정보'!$D$4,2,IF(INT(I16)&gt;='3월 등급 정보'!$D$5,3,IF(INT(I16)&gt;='3월 등급 정보'!$D$6,4,IF(INT(I16)&gt;='3월 등급 정보'!$D$7,5,IF(INT(I16)&gt;='3월 등급 정보'!$D$8,6,IF(INT(I16)&gt;='3월 등급 정보'!$D$9,7,IF(INT(I16)&gt;='3월 등급 정보'!$D$10,8,IF(INT(I16)&gt;='3월 등급 정보'!$D$11,9)))))))))</f>
        <v>2</v>
      </c>
      <c r="M16" s="34">
        <v>91</v>
      </c>
      <c r="N16" s="33"/>
      <c r="O16" s="33"/>
      <c r="P16" s="33">
        <f>IF(INT(M16)&gt;='3월 등급 정보'!$E$3,1,IF(INT(M16)&gt;='3월 등급 정보'!$E$4,2,IF(INT(M16)&gt;='3월 등급 정보'!$E$5,3,IF(INT(M16)&gt;='3월 등급 정보'!$E$6,4,IF(INT(M16)&gt;='3월 등급 정보'!$E$7,5,IF(INT(M16)&gt;='3월 등급 정보'!$E$8,6,IF(INT(M16)&gt;='3월 등급 정보'!$E$9,7,IF(INT(M16)&gt;='3월 등급 정보'!$E$10,8,IF(INT(M16)&gt;='3월 등급 정보'!$E$11,9)))))))))</f>
        <v>1</v>
      </c>
      <c r="Q16" s="34">
        <v>39</v>
      </c>
      <c r="R16" s="33"/>
      <c r="S16" s="33"/>
      <c r="T16" s="33">
        <f>IF(INT(Q16)&gt;='3월 등급 정보'!$F$3,1,IF(INT(Q16)&gt;='3월 등급 정보'!$F$4,2,IF(INT(Q16)&gt;='3월 등급 정보'!$F$5,3,IF(INT(Q16)&gt;='3월 등급 정보'!$F$6,4,IF(INT(Q16)&gt;='3월 등급 정보'!$F$7,5,IF(INT(Q16)&gt;='3월 등급 정보'!$F$8,6,IF(INT(Q16)&gt;='3월 등급 정보'!$F$9,7,IF(INT(Q16)&gt;='3월 등급 정보'!$F$10,8,IF(INT(Q16)&gt;='3월 등급 정보'!$F$11,9)))))))))</f>
        <v>3</v>
      </c>
      <c r="U16" s="34">
        <v>32</v>
      </c>
      <c r="V16" s="33"/>
      <c r="W16" s="33"/>
      <c r="X16" s="33">
        <f>IF(INT(U16)&gt;='3월 등급 정보'!$G$3,1,IF(INT(U16)&gt;='3월 등급 정보'!$G$4,2,IF(INT(U16)&gt;='3월 등급 정보'!$G$5,3,IF(INT(U16)&gt;='3월 등급 정보'!$G$6,4,IF(INT(U16)&gt;='3월 등급 정보'!$G$7,5,IF(INT(U16)&gt;='3월 등급 정보'!$G$8,6,IF(INT(U16)&gt;='3월 등급 정보'!$G$9,7,IF(INT(U16)&gt;='3월 등급 정보'!$G$10,8,IF(INT(U16)&gt;='3월 등급 정보'!$G$11,9)))))))))</f>
        <v>3</v>
      </c>
      <c r="Y16" s="34">
        <v>37</v>
      </c>
      <c r="Z16" s="33"/>
      <c r="AA16" s="33"/>
      <c r="AB16" s="33">
        <f>IF(INT(Y16)&gt;='3월 등급 정보'!$H$3,1,IF(INT(Y16)&gt;='3월 등급 정보'!$H$4,2,IF(INT(Y16)&gt;='3월 등급 정보'!$H$5,3,IF(INT(Y16)&gt;='3월 등급 정보'!$H$6,4,IF(INT(Y16)&gt;='3월 등급 정보'!$H$7,5,IF(INT(Y16)&gt;='3월 등급 정보'!$H$8,6,IF(INT(Y16)&gt;='3월 등급 정보'!$H$9,7,IF(INT(Y16)&gt;='3월 등급 정보'!$H$10,8,IF(INT(Y16)&gt;='3월 등급 정보'!$H$11,9)))))))))</f>
        <v>2</v>
      </c>
      <c r="AC16" s="33">
        <f>E16+I16+M16+Q16+U16</f>
        <v>327</v>
      </c>
      <c r="AD16" s="33">
        <f>RANK(AC16,$AC$3:$AC$273)</f>
        <v>14</v>
      </c>
    </row>
    <row r="17" spans="1:30" ht="17.25" customHeight="1">
      <c r="A17" s="33" t="s">
        <v>26</v>
      </c>
      <c r="B17" s="34">
        <v>2</v>
      </c>
      <c r="C17" s="34">
        <v>5</v>
      </c>
      <c r="D17" s="34" t="s">
        <v>58</v>
      </c>
      <c r="E17" s="34">
        <v>85</v>
      </c>
      <c r="F17" s="33"/>
      <c r="G17" s="33"/>
      <c r="H17" s="33">
        <f>IF(INT(E17)&gt;='3월 등급 정보'!$C$3,1,IF(INT(E17)&gt;='3월 등급 정보'!$C$4,2,IF(INT(E17)&gt;='3월 등급 정보'!$C$5,3,IF(INT(E17)&gt;='3월 등급 정보'!$C$6,4,IF(INT(E17)&gt;='3월 등급 정보'!$C$7,5,IF(INT(E17)&gt;='3월 등급 정보'!$C$8,6,IF(INT(E17)&gt;='3월 등급 정보'!$C$9,7,IF(INT(E17)&gt;='3월 등급 정보'!$C$10,8,IF(INT(E17)&gt;='3월 등급 정보'!$C$11,9)))))))))</f>
        <v>2</v>
      </c>
      <c r="I17" s="34">
        <v>73</v>
      </c>
      <c r="J17" s="33"/>
      <c r="K17" s="33"/>
      <c r="L17" s="33">
        <f>IF(INT(I17)&gt;='3월 등급 정보'!$D$3,1,IF(INT(I17)&gt;='3월 등급 정보'!$D$4,2,IF(INT(I17)&gt;='3월 등급 정보'!$D$5,3,IF(INT(I17)&gt;='3월 등급 정보'!$D$6,4,IF(INT(I17)&gt;='3월 등급 정보'!$D$7,5,IF(INT(I17)&gt;='3월 등급 정보'!$D$8,6,IF(INT(I17)&gt;='3월 등급 정보'!$D$9,7,IF(INT(I17)&gt;='3월 등급 정보'!$D$10,8,IF(INT(I17)&gt;='3월 등급 정보'!$D$11,9)))))))))</f>
        <v>2</v>
      </c>
      <c r="M17" s="34">
        <v>89</v>
      </c>
      <c r="N17" s="33"/>
      <c r="O17" s="33"/>
      <c r="P17" s="33">
        <f>IF(INT(M17)&gt;='3월 등급 정보'!$E$3,1,IF(INT(M17)&gt;='3월 등급 정보'!$E$4,2,IF(INT(M17)&gt;='3월 등급 정보'!$E$5,3,IF(INT(M17)&gt;='3월 등급 정보'!$E$6,4,IF(INT(M17)&gt;='3월 등급 정보'!$E$7,5,IF(INT(M17)&gt;='3월 등급 정보'!$E$8,6,IF(INT(M17)&gt;='3월 등급 정보'!$E$9,7,IF(INT(M17)&gt;='3월 등급 정보'!$E$10,8,IF(INT(M17)&gt;='3월 등급 정보'!$E$11,9)))))))))</f>
        <v>2</v>
      </c>
      <c r="Q17" s="34">
        <v>41.5</v>
      </c>
      <c r="R17" s="33"/>
      <c r="S17" s="33"/>
      <c r="T17" s="33">
        <f>IF(INT(Q17)&gt;='3월 등급 정보'!$F$3,1,IF(INT(Q17)&gt;='3월 등급 정보'!$F$4,2,IF(INT(Q17)&gt;='3월 등급 정보'!$F$5,3,IF(INT(Q17)&gt;='3월 등급 정보'!$F$6,4,IF(INT(Q17)&gt;='3월 등급 정보'!$F$7,5,IF(INT(Q17)&gt;='3월 등급 정보'!$F$8,6,IF(INT(Q17)&gt;='3월 등급 정보'!$F$9,7,IF(INT(Q17)&gt;='3월 등급 정보'!$F$10,8,IF(INT(Q17)&gt;='3월 등급 정보'!$F$11,9)))))))))</f>
        <v>3</v>
      </c>
      <c r="U17" s="34">
        <v>38</v>
      </c>
      <c r="V17" s="33"/>
      <c r="W17" s="33"/>
      <c r="X17" s="33">
        <f>IF(INT(U17)&gt;='3월 등급 정보'!$G$3,1,IF(INT(U17)&gt;='3월 등급 정보'!$G$4,2,IF(INT(U17)&gt;='3월 등급 정보'!$G$5,3,IF(INT(U17)&gt;='3월 등급 정보'!$G$6,4,IF(INT(U17)&gt;='3월 등급 정보'!$G$7,5,IF(INT(U17)&gt;='3월 등급 정보'!$G$8,6,IF(INT(U17)&gt;='3월 등급 정보'!$G$9,7,IF(INT(U17)&gt;='3월 등급 정보'!$G$10,8,IF(INT(U17)&gt;='3월 등급 정보'!$G$11,9)))))))))</f>
        <v>2</v>
      </c>
      <c r="Y17" s="34">
        <v>39</v>
      </c>
      <c r="Z17" s="33"/>
      <c r="AA17" s="33"/>
      <c r="AB17" s="33">
        <f>IF(INT(Y17)&gt;='3월 등급 정보'!$H$3,1,IF(INT(Y17)&gt;='3월 등급 정보'!$H$4,2,IF(INT(Y17)&gt;='3월 등급 정보'!$H$5,3,IF(INT(Y17)&gt;='3월 등급 정보'!$H$6,4,IF(INT(Y17)&gt;='3월 등급 정보'!$H$7,5,IF(INT(Y17)&gt;='3월 등급 정보'!$H$8,6,IF(INT(Y17)&gt;='3월 등급 정보'!$H$9,7,IF(INT(Y17)&gt;='3월 등급 정보'!$H$10,8,IF(INT(Y17)&gt;='3월 등급 정보'!$H$11,9)))))))))</f>
        <v>2</v>
      </c>
      <c r="AC17" s="33">
        <f>E17+I17+M17+Q17+U17</f>
        <v>326.5</v>
      </c>
      <c r="AD17" s="33">
        <f>RANK(AC17,$AC$3:$AC$273)</f>
        <v>15</v>
      </c>
    </row>
    <row r="18" spans="1:30" ht="17.25" customHeight="1">
      <c r="A18" s="33" t="s">
        <v>26</v>
      </c>
      <c r="B18" s="34">
        <v>3</v>
      </c>
      <c r="C18" s="34">
        <v>1</v>
      </c>
      <c r="D18" s="34" t="s">
        <v>80</v>
      </c>
      <c r="E18" s="34">
        <v>73</v>
      </c>
      <c r="F18" s="33"/>
      <c r="G18" s="33"/>
      <c r="H18" s="33">
        <f>IF(INT(E18)&gt;='3월 등급 정보'!$C$3,1,IF(INT(E18)&gt;='3월 등급 정보'!$C$4,2,IF(INT(E18)&gt;='3월 등급 정보'!$C$5,3,IF(INT(E18)&gt;='3월 등급 정보'!$C$6,4,IF(INT(E18)&gt;='3월 등급 정보'!$C$7,5,IF(INT(E18)&gt;='3월 등급 정보'!$C$8,6,IF(INT(E18)&gt;='3월 등급 정보'!$C$9,7,IF(INT(E18)&gt;='3월 등급 정보'!$C$10,8,IF(INT(E18)&gt;='3월 등급 정보'!$C$11,9)))))))))</f>
        <v>3</v>
      </c>
      <c r="I18" s="34">
        <v>77</v>
      </c>
      <c r="J18" s="33"/>
      <c r="K18" s="33"/>
      <c r="L18" s="33">
        <f>IF(INT(I18)&gt;='3월 등급 정보'!$D$3,1,IF(INT(I18)&gt;='3월 등급 정보'!$D$4,2,IF(INT(I18)&gt;='3월 등급 정보'!$D$5,3,IF(INT(I18)&gt;='3월 등급 정보'!$D$6,4,IF(INT(I18)&gt;='3월 등급 정보'!$D$7,5,IF(INT(I18)&gt;='3월 등급 정보'!$D$8,6,IF(INT(I18)&gt;='3월 등급 정보'!$D$9,7,IF(INT(I18)&gt;='3월 등급 정보'!$D$10,8,IF(INT(I18)&gt;='3월 등급 정보'!$D$11,9)))))))))</f>
        <v>2</v>
      </c>
      <c r="M18" s="34">
        <v>87</v>
      </c>
      <c r="N18" s="33"/>
      <c r="O18" s="33"/>
      <c r="P18" s="33">
        <f>IF(INT(M18)&gt;='3월 등급 정보'!$E$3,1,IF(INT(M18)&gt;='3월 등급 정보'!$E$4,2,IF(INT(M18)&gt;='3월 등급 정보'!$E$5,3,IF(INT(M18)&gt;='3월 등급 정보'!$E$6,4,IF(INT(M18)&gt;='3월 등급 정보'!$E$7,5,IF(INT(M18)&gt;='3월 등급 정보'!$E$8,6,IF(INT(M18)&gt;='3월 등급 정보'!$E$9,7,IF(INT(M18)&gt;='3월 등급 정보'!$E$10,8,IF(INT(M18)&gt;='3월 등급 정보'!$E$11,9)))))))))</f>
        <v>2</v>
      </c>
      <c r="Q18" s="34">
        <v>47.5</v>
      </c>
      <c r="R18" s="33"/>
      <c r="S18" s="33"/>
      <c r="T18" s="33">
        <f>IF(INT(Q18)&gt;='3월 등급 정보'!$F$3,1,IF(INT(Q18)&gt;='3월 등급 정보'!$F$4,2,IF(INT(Q18)&gt;='3월 등급 정보'!$F$5,3,IF(INT(Q18)&gt;='3월 등급 정보'!$F$6,4,IF(INT(Q18)&gt;='3월 등급 정보'!$F$7,5,IF(INT(Q18)&gt;='3월 등급 정보'!$F$8,6,IF(INT(Q18)&gt;='3월 등급 정보'!$F$9,7,IF(INT(Q18)&gt;='3월 등급 정보'!$F$10,8,IF(INT(Q18)&gt;='3월 등급 정보'!$F$11,9)))))))))</f>
        <v>1</v>
      </c>
      <c r="U18" s="34">
        <v>41</v>
      </c>
      <c r="V18" s="33"/>
      <c r="W18" s="33"/>
      <c r="X18" s="33">
        <f>IF(INT(U18)&gt;='3월 등급 정보'!$G$3,1,IF(INT(U18)&gt;='3월 등급 정보'!$G$4,2,IF(INT(U18)&gt;='3월 등급 정보'!$G$5,3,IF(INT(U18)&gt;='3월 등급 정보'!$G$6,4,IF(INT(U18)&gt;='3월 등급 정보'!$G$7,5,IF(INT(U18)&gt;='3월 등급 정보'!$G$8,6,IF(INT(U18)&gt;='3월 등급 정보'!$G$9,7,IF(INT(U18)&gt;='3월 등급 정보'!$G$10,8,IF(INT(U18)&gt;='3월 등급 정보'!$G$11,9)))))))))</f>
        <v>2</v>
      </c>
      <c r="Y18" s="34">
        <v>40</v>
      </c>
      <c r="Z18" s="33"/>
      <c r="AA18" s="33"/>
      <c r="AB18" s="33">
        <f>IF(INT(Y18)&gt;='3월 등급 정보'!$H$3,1,IF(INT(Y18)&gt;='3월 등급 정보'!$H$4,2,IF(INT(Y18)&gt;='3월 등급 정보'!$H$5,3,IF(INT(Y18)&gt;='3월 등급 정보'!$H$6,4,IF(INT(Y18)&gt;='3월 등급 정보'!$H$7,5,IF(INT(Y18)&gt;='3월 등급 정보'!$H$8,6,IF(INT(Y18)&gt;='3월 등급 정보'!$H$9,7,IF(INT(Y18)&gt;='3월 등급 정보'!$H$10,8,IF(INT(Y18)&gt;='3월 등급 정보'!$H$11,9)))))))))</f>
        <v>1</v>
      </c>
      <c r="AC18" s="33">
        <f>E18+I18+M18+Q18+U18</f>
        <v>325.5</v>
      </c>
      <c r="AD18" s="33">
        <f>RANK(AC18,$AC$3:$AC$273)</f>
        <v>16</v>
      </c>
    </row>
    <row r="19" spans="1:30" ht="17.25" customHeight="1">
      <c r="A19" s="33" t="s">
        <v>26</v>
      </c>
      <c r="B19" s="34">
        <v>3</v>
      </c>
      <c r="C19" s="34">
        <v>12</v>
      </c>
      <c r="D19" s="34" t="s">
        <v>90</v>
      </c>
      <c r="E19" s="34">
        <v>89</v>
      </c>
      <c r="F19" s="33"/>
      <c r="G19" s="33"/>
      <c r="H19" s="33">
        <f>IF(INT(E19)&gt;='3월 등급 정보'!$C$3,1,IF(INT(E19)&gt;='3월 등급 정보'!$C$4,2,IF(INT(E19)&gt;='3월 등급 정보'!$C$5,3,IF(INT(E19)&gt;='3월 등급 정보'!$C$6,4,IF(INT(E19)&gt;='3월 등급 정보'!$C$7,5,IF(INT(E19)&gt;='3월 등급 정보'!$C$8,6,IF(INT(E19)&gt;='3월 등급 정보'!$C$9,7,IF(INT(E19)&gt;='3월 등급 정보'!$C$10,8,IF(INT(E19)&gt;='3월 등급 정보'!$C$11,9)))))))))</f>
        <v>1</v>
      </c>
      <c r="I19" s="34">
        <v>76</v>
      </c>
      <c r="J19" s="33"/>
      <c r="K19" s="33"/>
      <c r="L19" s="33">
        <f>IF(INT(I19)&gt;='3월 등급 정보'!$D$3,1,IF(INT(I19)&gt;='3월 등급 정보'!$D$4,2,IF(INT(I19)&gt;='3월 등급 정보'!$D$5,3,IF(INT(I19)&gt;='3월 등급 정보'!$D$6,4,IF(INT(I19)&gt;='3월 등급 정보'!$D$7,5,IF(INT(I19)&gt;='3월 등급 정보'!$D$8,6,IF(INT(I19)&gt;='3월 등급 정보'!$D$9,7,IF(INT(I19)&gt;='3월 등급 정보'!$D$10,8,IF(INT(I19)&gt;='3월 등급 정보'!$D$11,9)))))))))</f>
        <v>2</v>
      </c>
      <c r="M19" s="34">
        <v>78</v>
      </c>
      <c r="N19" s="33"/>
      <c r="O19" s="33"/>
      <c r="P19" s="33">
        <f>IF(INT(M19)&gt;='3월 등급 정보'!$E$3,1,IF(INT(M19)&gt;='3월 등급 정보'!$E$4,2,IF(INT(M19)&gt;='3월 등급 정보'!$E$5,3,IF(INT(M19)&gt;='3월 등급 정보'!$E$6,4,IF(INT(M19)&gt;='3월 등급 정보'!$E$7,5,IF(INT(M19)&gt;='3월 등급 정보'!$E$8,6,IF(INT(M19)&gt;='3월 등급 정보'!$E$9,7,IF(INT(M19)&gt;='3월 등급 정보'!$E$10,8,IF(INT(M19)&gt;='3월 등급 정보'!$E$11,9)))))))))</f>
        <v>3</v>
      </c>
      <c r="Q19" s="34">
        <v>41.5</v>
      </c>
      <c r="R19" s="33"/>
      <c r="S19" s="33"/>
      <c r="T19" s="33">
        <f>IF(INT(Q19)&gt;='3월 등급 정보'!$F$3,1,IF(INT(Q19)&gt;='3월 등급 정보'!$F$4,2,IF(INT(Q19)&gt;='3월 등급 정보'!$F$5,3,IF(INT(Q19)&gt;='3월 등급 정보'!$F$6,4,IF(INT(Q19)&gt;='3월 등급 정보'!$F$7,5,IF(INT(Q19)&gt;='3월 등급 정보'!$F$8,6,IF(INT(Q19)&gt;='3월 등급 정보'!$F$9,7,IF(INT(Q19)&gt;='3월 등급 정보'!$F$10,8,IF(INT(Q19)&gt;='3월 등급 정보'!$F$11,9)))))))))</f>
        <v>3</v>
      </c>
      <c r="U19" s="34">
        <v>39.5</v>
      </c>
      <c r="V19" s="33"/>
      <c r="W19" s="33"/>
      <c r="X19" s="33">
        <f>IF(INT(U19)&gt;='3월 등급 정보'!$G$3,1,IF(INT(U19)&gt;='3월 등급 정보'!$G$4,2,IF(INT(U19)&gt;='3월 등급 정보'!$G$5,3,IF(INT(U19)&gt;='3월 등급 정보'!$G$6,4,IF(INT(U19)&gt;='3월 등급 정보'!$G$7,5,IF(INT(U19)&gt;='3월 등급 정보'!$G$8,6,IF(INT(U19)&gt;='3월 등급 정보'!$G$9,7,IF(INT(U19)&gt;='3월 등급 정보'!$G$10,8,IF(INT(U19)&gt;='3월 등급 정보'!$G$11,9)))))))))</f>
        <v>2</v>
      </c>
      <c r="Y19" s="34">
        <v>34</v>
      </c>
      <c r="Z19" s="33"/>
      <c r="AA19" s="33"/>
      <c r="AB19" s="33">
        <f>IF(INT(Y19)&gt;='3월 등급 정보'!$H$3,1,IF(INT(Y19)&gt;='3월 등급 정보'!$H$4,2,IF(INT(Y19)&gt;='3월 등급 정보'!$H$5,3,IF(INT(Y19)&gt;='3월 등급 정보'!$H$6,4,IF(INT(Y19)&gt;='3월 등급 정보'!$H$7,5,IF(INT(Y19)&gt;='3월 등급 정보'!$H$8,6,IF(INT(Y19)&gt;='3월 등급 정보'!$H$9,7,IF(INT(Y19)&gt;='3월 등급 정보'!$H$10,8,IF(INT(Y19)&gt;='3월 등급 정보'!$H$11,9)))))))))</f>
        <v>3</v>
      </c>
      <c r="AC19" s="33">
        <f>E19+I19+M19+Q19+U19</f>
        <v>324</v>
      </c>
      <c r="AD19" s="33">
        <f>RANK(AC19,$AC$3:$AC$273)</f>
        <v>17</v>
      </c>
    </row>
    <row r="20" spans="1:30" ht="17.25" customHeight="1">
      <c r="A20" s="33" t="s">
        <v>26</v>
      </c>
      <c r="B20" s="34">
        <v>3</v>
      </c>
      <c r="C20" s="34">
        <v>27</v>
      </c>
      <c r="D20" s="34" t="s">
        <v>104</v>
      </c>
      <c r="E20" s="34">
        <v>83</v>
      </c>
      <c r="F20" s="33"/>
      <c r="G20" s="33"/>
      <c r="H20" s="33">
        <f>IF(INT(E20)&gt;='3월 등급 정보'!$C$3,1,IF(INT(E20)&gt;='3월 등급 정보'!$C$4,2,IF(INT(E20)&gt;='3월 등급 정보'!$C$5,3,IF(INT(E20)&gt;='3월 등급 정보'!$C$6,4,IF(INT(E20)&gt;='3월 등급 정보'!$C$7,5,IF(INT(E20)&gt;='3월 등급 정보'!$C$8,6,IF(INT(E20)&gt;='3월 등급 정보'!$C$9,7,IF(INT(E20)&gt;='3월 등급 정보'!$C$10,8,IF(INT(E20)&gt;='3월 등급 정보'!$C$11,9)))))))))</f>
        <v>2</v>
      </c>
      <c r="I20" s="34">
        <v>77</v>
      </c>
      <c r="J20" s="33"/>
      <c r="K20" s="33"/>
      <c r="L20" s="33">
        <f>IF(INT(I20)&gt;='3월 등급 정보'!$D$3,1,IF(INT(I20)&gt;='3월 등급 정보'!$D$4,2,IF(INT(I20)&gt;='3월 등급 정보'!$D$5,3,IF(INT(I20)&gt;='3월 등급 정보'!$D$6,4,IF(INT(I20)&gt;='3월 등급 정보'!$D$7,5,IF(INT(I20)&gt;='3월 등급 정보'!$D$8,6,IF(INT(I20)&gt;='3월 등급 정보'!$D$9,7,IF(INT(I20)&gt;='3월 등급 정보'!$D$10,8,IF(INT(I20)&gt;='3월 등급 정보'!$D$11,9)))))))))</f>
        <v>2</v>
      </c>
      <c r="M20" s="34">
        <v>76</v>
      </c>
      <c r="N20" s="33"/>
      <c r="O20" s="33"/>
      <c r="P20" s="33">
        <f>IF(INT(M20)&gt;='3월 등급 정보'!$E$3,1,IF(INT(M20)&gt;='3월 등급 정보'!$E$4,2,IF(INT(M20)&gt;='3월 등급 정보'!$E$5,3,IF(INT(M20)&gt;='3월 등급 정보'!$E$6,4,IF(INT(M20)&gt;='3월 등급 정보'!$E$7,5,IF(INT(M20)&gt;='3월 등급 정보'!$E$8,6,IF(INT(M20)&gt;='3월 등급 정보'!$E$9,7,IF(INT(M20)&gt;='3월 등급 정보'!$E$10,8,IF(INT(M20)&gt;='3월 등급 정보'!$E$11,9)))))))))</f>
        <v>3</v>
      </c>
      <c r="Q20" s="34">
        <v>46</v>
      </c>
      <c r="R20" s="33"/>
      <c r="S20" s="33"/>
      <c r="T20" s="33">
        <f>IF(INT(Q20)&gt;='3월 등급 정보'!$F$3,1,IF(INT(Q20)&gt;='3월 등급 정보'!$F$4,2,IF(INT(Q20)&gt;='3월 등급 정보'!$F$5,3,IF(INT(Q20)&gt;='3월 등급 정보'!$F$6,4,IF(INT(Q20)&gt;='3월 등급 정보'!$F$7,5,IF(INT(Q20)&gt;='3월 등급 정보'!$F$8,6,IF(INT(Q20)&gt;='3월 등급 정보'!$F$9,7,IF(INT(Q20)&gt;='3월 등급 정보'!$F$10,8,IF(INT(Q20)&gt;='3월 등급 정보'!$F$11,9)))))))))</f>
        <v>2</v>
      </c>
      <c r="U20" s="34">
        <v>42</v>
      </c>
      <c r="V20" s="33"/>
      <c r="W20" s="33"/>
      <c r="X20" s="33">
        <f>IF(INT(U20)&gt;='3월 등급 정보'!$G$3,1,IF(INT(U20)&gt;='3월 등급 정보'!$G$4,2,IF(INT(U20)&gt;='3월 등급 정보'!$G$5,3,IF(INT(U20)&gt;='3월 등급 정보'!$G$6,4,IF(INT(U20)&gt;='3월 등급 정보'!$G$7,5,IF(INT(U20)&gt;='3월 등급 정보'!$G$8,6,IF(INT(U20)&gt;='3월 등급 정보'!$G$9,7,IF(INT(U20)&gt;='3월 등급 정보'!$G$10,8,IF(INT(U20)&gt;='3월 등급 정보'!$G$11,9)))))))))</f>
        <v>2</v>
      </c>
      <c r="Y20" s="34">
        <v>47</v>
      </c>
      <c r="Z20" s="33"/>
      <c r="AA20" s="33"/>
      <c r="AB20" s="33">
        <f>IF(INT(Y20)&gt;='3월 등급 정보'!$H$3,1,IF(INT(Y20)&gt;='3월 등급 정보'!$H$4,2,IF(INT(Y20)&gt;='3월 등급 정보'!$H$5,3,IF(INT(Y20)&gt;='3월 등급 정보'!$H$6,4,IF(INT(Y20)&gt;='3월 등급 정보'!$H$7,5,IF(INT(Y20)&gt;='3월 등급 정보'!$H$8,6,IF(INT(Y20)&gt;='3월 등급 정보'!$H$9,7,IF(INT(Y20)&gt;='3월 등급 정보'!$H$10,8,IF(INT(Y20)&gt;='3월 등급 정보'!$H$11,9)))))))))</f>
        <v>1</v>
      </c>
      <c r="AC20" s="33">
        <f>E20+I20+M20+Q20+U20</f>
        <v>324</v>
      </c>
      <c r="AD20" s="33">
        <f>RANK(AC20,$AC$3:$AC$273)</f>
        <v>17</v>
      </c>
    </row>
    <row r="21" spans="1:30" ht="17.25" customHeight="1">
      <c r="A21" s="33" t="s">
        <v>26</v>
      </c>
      <c r="B21" s="34">
        <v>1</v>
      </c>
      <c r="C21" s="34">
        <v>28</v>
      </c>
      <c r="D21" s="34" t="s">
        <v>54</v>
      </c>
      <c r="E21" s="34">
        <v>71</v>
      </c>
      <c r="F21" s="33"/>
      <c r="G21" s="33"/>
      <c r="H21" s="33">
        <f>IF(INT(E21)&gt;='3월 등급 정보'!$C$3,1,IF(INT(E21)&gt;='3월 등급 정보'!$C$4,2,IF(INT(E21)&gt;='3월 등급 정보'!$C$5,3,IF(INT(E21)&gt;='3월 등급 정보'!$C$6,4,IF(INT(E21)&gt;='3월 등급 정보'!$C$7,5,IF(INT(E21)&gt;='3월 등급 정보'!$C$8,6,IF(INT(E21)&gt;='3월 등급 정보'!$C$9,7,IF(INT(E21)&gt;='3월 등급 정보'!$C$10,8,IF(INT(E21)&gt;='3월 등급 정보'!$C$11,9)))))))))</f>
        <v>3</v>
      </c>
      <c r="I21" s="34">
        <v>88</v>
      </c>
      <c r="J21" s="33"/>
      <c r="K21" s="33"/>
      <c r="L21" s="33">
        <f>IF(INT(I21)&gt;='3월 등급 정보'!$D$3,1,IF(INT(I21)&gt;='3월 등급 정보'!$D$4,2,IF(INT(I21)&gt;='3월 등급 정보'!$D$5,3,IF(INT(I21)&gt;='3월 등급 정보'!$D$6,4,IF(INT(I21)&gt;='3월 등급 정보'!$D$7,5,IF(INT(I21)&gt;='3월 등급 정보'!$D$8,6,IF(INT(I21)&gt;='3월 등급 정보'!$D$9,7,IF(INT(I21)&gt;='3월 등급 정보'!$D$10,8,IF(INT(I21)&gt;='3월 등급 정보'!$D$11,9)))))))))</f>
        <v>1</v>
      </c>
      <c r="M21" s="34">
        <v>79</v>
      </c>
      <c r="N21" s="33"/>
      <c r="O21" s="33"/>
      <c r="P21" s="33">
        <f>IF(INT(M21)&gt;='3월 등급 정보'!$E$3,1,IF(INT(M21)&gt;='3월 등급 정보'!$E$4,2,IF(INT(M21)&gt;='3월 등급 정보'!$E$5,3,IF(INT(M21)&gt;='3월 등급 정보'!$E$6,4,IF(INT(M21)&gt;='3월 등급 정보'!$E$7,5,IF(INT(M21)&gt;='3월 등급 정보'!$E$8,6,IF(INT(M21)&gt;='3월 등급 정보'!$E$9,7,IF(INT(M21)&gt;='3월 등급 정보'!$E$10,8,IF(INT(M21)&gt;='3월 등급 정보'!$E$11,9)))))))))</f>
        <v>3</v>
      </c>
      <c r="Q21" s="34">
        <v>41.5</v>
      </c>
      <c r="R21" s="33"/>
      <c r="S21" s="33"/>
      <c r="T21" s="33">
        <f>IF(INT(Q21)&gt;='3월 등급 정보'!$F$3,1,IF(INT(Q21)&gt;='3월 등급 정보'!$F$4,2,IF(INT(Q21)&gt;='3월 등급 정보'!$F$5,3,IF(INT(Q21)&gt;='3월 등급 정보'!$F$6,4,IF(INT(Q21)&gt;='3월 등급 정보'!$F$7,5,IF(INT(Q21)&gt;='3월 등급 정보'!$F$8,6,IF(INT(Q21)&gt;='3월 등급 정보'!$F$9,7,IF(INT(Q21)&gt;='3월 등급 정보'!$F$10,8,IF(INT(Q21)&gt;='3월 등급 정보'!$F$11,9)))))))))</f>
        <v>3</v>
      </c>
      <c r="U21" s="34">
        <v>43</v>
      </c>
      <c r="V21" s="33"/>
      <c r="W21" s="33"/>
      <c r="X21" s="33">
        <f>IF(INT(U21)&gt;='3월 등급 정보'!$G$3,1,IF(INT(U21)&gt;='3월 등급 정보'!$G$4,2,IF(INT(U21)&gt;='3월 등급 정보'!$G$5,3,IF(INT(U21)&gt;='3월 등급 정보'!$G$6,4,IF(INT(U21)&gt;='3월 등급 정보'!$G$7,5,IF(INT(U21)&gt;='3월 등급 정보'!$G$8,6,IF(INT(U21)&gt;='3월 등급 정보'!$G$9,7,IF(INT(U21)&gt;='3월 등급 정보'!$G$10,8,IF(INT(U21)&gt;='3월 등급 정보'!$G$11,9)))))))))</f>
        <v>1</v>
      </c>
      <c r="Y21" s="34">
        <v>44</v>
      </c>
      <c r="Z21" s="33"/>
      <c r="AA21" s="33"/>
      <c r="AB21" s="33">
        <f>IF(INT(Y21)&gt;='3월 등급 정보'!$H$3,1,IF(INT(Y21)&gt;='3월 등급 정보'!$H$4,2,IF(INT(Y21)&gt;='3월 등급 정보'!$H$5,3,IF(INT(Y21)&gt;='3월 등급 정보'!$H$6,4,IF(INT(Y21)&gt;='3월 등급 정보'!$H$7,5,IF(INT(Y21)&gt;='3월 등급 정보'!$H$8,6,IF(INT(Y21)&gt;='3월 등급 정보'!$H$9,7,IF(INT(Y21)&gt;='3월 등급 정보'!$H$10,8,IF(INT(Y21)&gt;='3월 등급 정보'!$H$11,9)))))))))</f>
        <v>1</v>
      </c>
      <c r="AC21" s="33">
        <f>E21+I21+M21+Q21+U21</f>
        <v>322.5</v>
      </c>
      <c r="AD21" s="33">
        <f>RANK(AC21,$AC$3:$AC$273)</f>
        <v>19</v>
      </c>
    </row>
    <row r="22" spans="1:30" ht="17.25" customHeight="1">
      <c r="A22" s="33" t="s">
        <v>26</v>
      </c>
      <c r="B22" s="34">
        <v>1</v>
      </c>
      <c r="C22" s="34">
        <v>18</v>
      </c>
      <c r="D22" s="34" t="s">
        <v>45</v>
      </c>
      <c r="E22" s="34">
        <v>76</v>
      </c>
      <c r="F22" s="33"/>
      <c r="G22" s="33"/>
      <c r="H22" s="33">
        <f>IF(INT(E22)&gt;='3월 등급 정보'!$C$3,1,IF(INT(E22)&gt;='3월 등급 정보'!$C$4,2,IF(INT(E22)&gt;='3월 등급 정보'!$C$5,3,IF(INT(E22)&gt;='3월 등급 정보'!$C$6,4,IF(INT(E22)&gt;='3월 등급 정보'!$C$7,5,IF(INT(E22)&gt;='3월 등급 정보'!$C$8,6,IF(INT(E22)&gt;='3월 등급 정보'!$C$9,7,IF(INT(E22)&gt;='3월 등급 정보'!$C$10,8,IF(INT(E22)&gt;='3월 등급 정보'!$C$11,9)))))))))</f>
        <v>3</v>
      </c>
      <c r="I22" s="34">
        <v>76</v>
      </c>
      <c r="J22" s="33"/>
      <c r="K22" s="33"/>
      <c r="L22" s="33">
        <f>IF(INT(I22)&gt;='3월 등급 정보'!$D$3,1,IF(INT(I22)&gt;='3월 등급 정보'!$D$4,2,IF(INT(I22)&gt;='3월 등급 정보'!$D$5,3,IF(INT(I22)&gt;='3월 등급 정보'!$D$6,4,IF(INT(I22)&gt;='3월 등급 정보'!$D$7,5,IF(INT(I22)&gt;='3월 등급 정보'!$D$8,6,IF(INT(I22)&gt;='3월 등급 정보'!$D$9,7,IF(INT(I22)&gt;='3월 등급 정보'!$D$10,8,IF(INT(I22)&gt;='3월 등급 정보'!$D$11,9)))))))))</f>
        <v>2</v>
      </c>
      <c r="M22" s="34">
        <v>80</v>
      </c>
      <c r="N22" s="33"/>
      <c r="O22" s="33"/>
      <c r="P22" s="33">
        <f>IF(INT(M22)&gt;='3월 등급 정보'!$E$3,1,IF(INT(M22)&gt;='3월 등급 정보'!$E$4,2,IF(INT(M22)&gt;='3월 등급 정보'!$E$5,3,IF(INT(M22)&gt;='3월 등급 정보'!$E$6,4,IF(INT(M22)&gt;='3월 등급 정보'!$E$7,5,IF(INT(M22)&gt;='3월 등급 정보'!$E$8,6,IF(INT(M22)&gt;='3월 등급 정보'!$E$9,7,IF(INT(M22)&gt;='3월 등급 정보'!$E$10,8,IF(INT(M22)&gt;='3월 등급 정보'!$E$11,9)))))))))</f>
        <v>2</v>
      </c>
      <c r="Q22" s="34">
        <v>40</v>
      </c>
      <c r="R22" s="33"/>
      <c r="S22" s="33"/>
      <c r="T22" s="33">
        <f>IF(INT(Q22)&gt;='3월 등급 정보'!$F$3,1,IF(INT(Q22)&gt;='3월 등급 정보'!$F$4,2,IF(INT(Q22)&gt;='3월 등급 정보'!$F$5,3,IF(INT(Q22)&gt;='3월 등급 정보'!$F$6,4,IF(INT(Q22)&gt;='3월 등급 정보'!$F$7,5,IF(INT(Q22)&gt;='3월 등급 정보'!$F$8,6,IF(INT(Q22)&gt;='3월 등급 정보'!$F$9,7,IF(INT(Q22)&gt;='3월 등급 정보'!$F$10,8,IF(INT(Q22)&gt;='3월 등급 정보'!$F$11,9)))))))))</f>
        <v>3</v>
      </c>
      <c r="U22" s="34">
        <v>43</v>
      </c>
      <c r="V22" s="33"/>
      <c r="W22" s="33"/>
      <c r="X22" s="33">
        <f>IF(INT(U22)&gt;='3월 등급 정보'!$G$3,1,IF(INT(U22)&gt;='3월 등급 정보'!$G$4,2,IF(INT(U22)&gt;='3월 등급 정보'!$G$5,3,IF(INT(U22)&gt;='3월 등급 정보'!$G$6,4,IF(INT(U22)&gt;='3월 등급 정보'!$G$7,5,IF(INT(U22)&gt;='3월 등급 정보'!$G$8,6,IF(INT(U22)&gt;='3월 등급 정보'!$G$9,7,IF(INT(U22)&gt;='3월 등급 정보'!$G$10,8,IF(INT(U22)&gt;='3월 등급 정보'!$G$11,9)))))))))</f>
        <v>1</v>
      </c>
      <c r="Y22" s="34">
        <v>48</v>
      </c>
      <c r="Z22" s="33"/>
      <c r="AA22" s="33"/>
      <c r="AB22" s="33">
        <f>IF(INT(Y22)&gt;='3월 등급 정보'!$H$3,1,IF(INT(Y22)&gt;='3월 등급 정보'!$H$4,2,IF(INT(Y22)&gt;='3월 등급 정보'!$H$5,3,IF(INT(Y22)&gt;='3월 등급 정보'!$H$6,4,IF(INT(Y22)&gt;='3월 등급 정보'!$H$7,5,IF(INT(Y22)&gt;='3월 등급 정보'!$H$8,6,IF(INT(Y22)&gt;='3월 등급 정보'!$H$9,7,IF(INT(Y22)&gt;='3월 등급 정보'!$H$10,8,IF(INT(Y22)&gt;='3월 등급 정보'!$H$11,9)))))))))</f>
        <v>1</v>
      </c>
      <c r="AC22" s="33">
        <f>E22+I22+M22+Q22+U22</f>
        <v>315</v>
      </c>
      <c r="AD22" s="33">
        <f>RANK(AC22,$AC$3:$AC$273)</f>
        <v>20</v>
      </c>
    </row>
    <row r="23" spans="1:30" ht="17.25" customHeight="1">
      <c r="A23" s="33" t="s">
        <v>26</v>
      </c>
      <c r="B23" s="34">
        <v>2</v>
      </c>
      <c r="C23" s="34">
        <v>12</v>
      </c>
      <c r="D23" s="34" t="s">
        <v>64</v>
      </c>
      <c r="E23" s="34">
        <v>69</v>
      </c>
      <c r="F23" s="33"/>
      <c r="G23" s="33"/>
      <c r="H23" s="33">
        <f>IF(INT(E23)&gt;='3월 등급 정보'!$C$3,1,IF(INT(E23)&gt;='3월 등급 정보'!$C$4,2,IF(INT(E23)&gt;='3월 등급 정보'!$C$5,3,IF(INT(E23)&gt;='3월 등급 정보'!$C$6,4,IF(INT(E23)&gt;='3월 등급 정보'!$C$7,5,IF(INT(E23)&gt;='3월 등급 정보'!$C$8,6,IF(INT(E23)&gt;='3월 등급 정보'!$C$9,7,IF(INT(E23)&gt;='3월 등급 정보'!$C$10,8,IF(INT(E23)&gt;='3월 등급 정보'!$C$11,9)))))))))</f>
        <v>4</v>
      </c>
      <c r="I23" s="34">
        <v>76</v>
      </c>
      <c r="J23" s="33"/>
      <c r="K23" s="33"/>
      <c r="L23" s="33">
        <f>IF(INT(I23)&gt;='3월 등급 정보'!$D$3,1,IF(INT(I23)&gt;='3월 등급 정보'!$D$4,2,IF(INT(I23)&gt;='3월 등급 정보'!$D$5,3,IF(INT(I23)&gt;='3월 등급 정보'!$D$6,4,IF(INT(I23)&gt;='3월 등급 정보'!$D$7,5,IF(INT(I23)&gt;='3월 등급 정보'!$D$8,6,IF(INT(I23)&gt;='3월 등급 정보'!$D$9,7,IF(INT(I23)&gt;='3월 등급 정보'!$D$10,8,IF(INT(I23)&gt;='3월 등급 정보'!$D$11,9)))))))))</f>
        <v>2</v>
      </c>
      <c r="M23" s="34">
        <v>78</v>
      </c>
      <c r="N23" s="33"/>
      <c r="O23" s="33"/>
      <c r="P23" s="33">
        <f>IF(INT(M23)&gt;='3월 등급 정보'!$E$3,1,IF(INT(M23)&gt;='3월 등급 정보'!$E$4,2,IF(INT(M23)&gt;='3월 등급 정보'!$E$5,3,IF(INT(M23)&gt;='3월 등급 정보'!$E$6,4,IF(INT(M23)&gt;='3월 등급 정보'!$E$7,5,IF(INT(M23)&gt;='3월 등급 정보'!$E$8,6,IF(INT(M23)&gt;='3월 등급 정보'!$E$9,7,IF(INT(M23)&gt;='3월 등급 정보'!$E$10,8,IF(INT(M23)&gt;='3월 등급 정보'!$E$11,9)))))))))</f>
        <v>3</v>
      </c>
      <c r="Q23" s="34">
        <v>45</v>
      </c>
      <c r="R23" s="33"/>
      <c r="S23" s="33"/>
      <c r="T23" s="33">
        <f>IF(INT(Q23)&gt;='3월 등급 정보'!$F$3,1,IF(INT(Q23)&gt;='3월 등급 정보'!$F$4,2,IF(INT(Q23)&gt;='3월 등급 정보'!$F$5,3,IF(INT(Q23)&gt;='3월 등급 정보'!$F$6,4,IF(INT(Q23)&gt;='3월 등급 정보'!$F$7,5,IF(INT(Q23)&gt;='3월 등급 정보'!$F$8,6,IF(INT(Q23)&gt;='3월 등급 정보'!$F$9,7,IF(INT(Q23)&gt;='3월 등급 정보'!$F$10,8,IF(INT(Q23)&gt;='3월 등급 정보'!$F$11,9)))))))))</f>
        <v>2</v>
      </c>
      <c r="U23" s="34">
        <v>43.5</v>
      </c>
      <c r="V23" s="33"/>
      <c r="W23" s="33"/>
      <c r="X23" s="33">
        <f>IF(INT(U23)&gt;='3월 등급 정보'!$G$3,1,IF(INT(U23)&gt;='3월 등급 정보'!$G$4,2,IF(INT(U23)&gt;='3월 등급 정보'!$G$5,3,IF(INT(U23)&gt;='3월 등급 정보'!$G$6,4,IF(INT(U23)&gt;='3월 등급 정보'!$G$7,5,IF(INT(U23)&gt;='3월 등급 정보'!$G$8,6,IF(INT(U23)&gt;='3월 등급 정보'!$G$9,7,IF(INT(U23)&gt;='3월 등급 정보'!$G$10,8,IF(INT(U23)&gt;='3월 등급 정보'!$G$11,9)))))))))</f>
        <v>1</v>
      </c>
      <c r="Y23" s="34">
        <v>43</v>
      </c>
      <c r="Z23" s="33"/>
      <c r="AA23" s="33"/>
      <c r="AB23" s="33">
        <f>IF(INT(Y23)&gt;='3월 등급 정보'!$H$3,1,IF(INT(Y23)&gt;='3월 등급 정보'!$H$4,2,IF(INT(Y23)&gt;='3월 등급 정보'!$H$5,3,IF(INT(Y23)&gt;='3월 등급 정보'!$H$6,4,IF(INT(Y23)&gt;='3월 등급 정보'!$H$7,5,IF(INT(Y23)&gt;='3월 등급 정보'!$H$8,6,IF(INT(Y23)&gt;='3월 등급 정보'!$H$9,7,IF(INT(Y23)&gt;='3월 등급 정보'!$H$10,8,IF(INT(Y23)&gt;='3월 등급 정보'!$H$11,9)))))))))</f>
        <v>1</v>
      </c>
      <c r="AC23" s="33">
        <f>E23+I23+M23+Q23+U23</f>
        <v>311.5</v>
      </c>
      <c r="AD23" s="33">
        <f>RANK(AC23,$AC$3:$AC$273)</f>
        <v>21</v>
      </c>
    </row>
    <row r="24" spans="1:30" ht="17.25" customHeight="1">
      <c r="A24" s="33" t="s">
        <v>26</v>
      </c>
      <c r="B24" s="34">
        <v>3</v>
      </c>
      <c r="C24" s="34">
        <v>17</v>
      </c>
      <c r="D24" s="34" t="s">
        <v>95</v>
      </c>
      <c r="E24" s="34">
        <v>84</v>
      </c>
      <c r="F24" s="33"/>
      <c r="G24" s="33"/>
      <c r="H24" s="33">
        <f>IF(INT(E24)&gt;='3월 등급 정보'!$C$3,1,IF(INT(E24)&gt;='3월 등급 정보'!$C$4,2,IF(INT(E24)&gt;='3월 등급 정보'!$C$5,3,IF(INT(E24)&gt;='3월 등급 정보'!$C$6,4,IF(INT(E24)&gt;='3월 등급 정보'!$C$7,5,IF(INT(E24)&gt;='3월 등급 정보'!$C$8,6,IF(INT(E24)&gt;='3월 등급 정보'!$C$9,7,IF(INT(E24)&gt;='3월 등급 정보'!$C$10,8,IF(INT(E24)&gt;='3월 등급 정보'!$C$11,9)))))))))</f>
        <v>2</v>
      </c>
      <c r="I24" s="34">
        <v>72</v>
      </c>
      <c r="J24" s="33"/>
      <c r="K24" s="33"/>
      <c r="L24" s="33">
        <f>IF(INT(I24)&gt;='3월 등급 정보'!$D$3,1,IF(INT(I24)&gt;='3월 등급 정보'!$D$4,2,IF(INT(I24)&gt;='3월 등급 정보'!$D$5,3,IF(INT(I24)&gt;='3월 등급 정보'!$D$6,4,IF(INT(I24)&gt;='3월 등급 정보'!$D$7,5,IF(INT(I24)&gt;='3월 등급 정보'!$D$8,6,IF(INT(I24)&gt;='3월 등급 정보'!$D$9,7,IF(INT(I24)&gt;='3월 등급 정보'!$D$10,8,IF(INT(I24)&gt;='3월 등급 정보'!$D$11,9)))))))))</f>
        <v>2</v>
      </c>
      <c r="M24" s="34">
        <v>71</v>
      </c>
      <c r="N24" s="33"/>
      <c r="O24" s="33"/>
      <c r="P24" s="33">
        <f>IF(INT(M24)&gt;='3월 등급 정보'!$E$3,1,IF(INT(M24)&gt;='3월 등급 정보'!$E$4,2,IF(INT(M24)&gt;='3월 등급 정보'!$E$5,3,IF(INT(M24)&gt;='3월 등급 정보'!$E$6,4,IF(INT(M24)&gt;='3월 등급 정보'!$E$7,5,IF(INT(M24)&gt;='3월 등급 정보'!$E$8,6,IF(INT(M24)&gt;='3월 등급 정보'!$E$9,7,IF(INT(M24)&gt;='3월 등급 정보'!$E$10,8,IF(INT(M24)&gt;='3월 등급 정보'!$E$11,9)))))))))</f>
        <v>3</v>
      </c>
      <c r="Q24" s="34">
        <v>42</v>
      </c>
      <c r="R24" s="33"/>
      <c r="S24" s="33"/>
      <c r="T24" s="33">
        <f>IF(INT(Q24)&gt;='3월 등급 정보'!$F$3,1,IF(INT(Q24)&gt;='3월 등급 정보'!$F$4,2,IF(INT(Q24)&gt;='3월 등급 정보'!$F$5,3,IF(INT(Q24)&gt;='3월 등급 정보'!$F$6,4,IF(INT(Q24)&gt;='3월 등급 정보'!$F$7,5,IF(INT(Q24)&gt;='3월 등급 정보'!$F$8,6,IF(INT(Q24)&gt;='3월 등급 정보'!$F$9,7,IF(INT(Q24)&gt;='3월 등급 정보'!$F$10,8,IF(INT(Q24)&gt;='3월 등급 정보'!$F$11,9)))))))))</f>
        <v>3</v>
      </c>
      <c r="U24" s="34">
        <v>42</v>
      </c>
      <c r="V24" s="33"/>
      <c r="W24" s="33"/>
      <c r="X24" s="33">
        <f>IF(INT(U24)&gt;='3월 등급 정보'!$G$3,1,IF(INT(U24)&gt;='3월 등급 정보'!$G$4,2,IF(INT(U24)&gt;='3월 등급 정보'!$G$5,3,IF(INT(U24)&gt;='3월 등급 정보'!$G$6,4,IF(INT(U24)&gt;='3월 등급 정보'!$G$7,5,IF(INT(U24)&gt;='3월 등급 정보'!$G$8,6,IF(INT(U24)&gt;='3월 등급 정보'!$G$9,7,IF(INT(U24)&gt;='3월 등급 정보'!$G$10,8,IF(INT(U24)&gt;='3월 등급 정보'!$G$11,9)))))))))</f>
        <v>2</v>
      </c>
      <c r="Y24" s="34">
        <v>36</v>
      </c>
      <c r="Z24" s="33"/>
      <c r="AA24" s="33"/>
      <c r="AB24" s="33">
        <f>IF(INT(Y24)&gt;='3월 등급 정보'!$H$3,1,IF(INT(Y24)&gt;='3월 등급 정보'!$H$4,2,IF(INT(Y24)&gt;='3월 등급 정보'!$H$5,3,IF(INT(Y24)&gt;='3월 등급 정보'!$H$6,4,IF(INT(Y24)&gt;='3월 등급 정보'!$H$7,5,IF(INT(Y24)&gt;='3월 등급 정보'!$H$8,6,IF(INT(Y24)&gt;='3월 등급 정보'!$H$9,7,IF(INT(Y24)&gt;='3월 등급 정보'!$H$10,8,IF(INT(Y24)&gt;='3월 등급 정보'!$H$11,9)))))))))</f>
        <v>2</v>
      </c>
      <c r="AC24" s="33">
        <f>E24+I24+M24+Q24+U24</f>
        <v>311</v>
      </c>
      <c r="AD24" s="33">
        <f>RANK(AC24,$AC$3:$AC$273)</f>
        <v>22</v>
      </c>
    </row>
    <row r="25" spans="1:30" ht="17.25" customHeight="1">
      <c r="A25" s="33" t="s">
        <v>26</v>
      </c>
      <c r="B25" s="34">
        <v>1</v>
      </c>
      <c r="C25" s="34">
        <v>24</v>
      </c>
      <c r="D25" s="34" t="s">
        <v>50</v>
      </c>
      <c r="E25" s="34">
        <v>78</v>
      </c>
      <c r="F25" s="33"/>
      <c r="G25" s="33"/>
      <c r="H25" s="33">
        <f>IF(INT(E25)&gt;='3월 등급 정보'!$C$3,1,IF(INT(E25)&gt;='3월 등급 정보'!$C$4,2,IF(INT(E25)&gt;='3월 등급 정보'!$C$5,3,IF(INT(E25)&gt;='3월 등급 정보'!$C$6,4,IF(INT(E25)&gt;='3월 등급 정보'!$C$7,5,IF(INT(E25)&gt;='3월 등급 정보'!$C$8,6,IF(INT(E25)&gt;='3월 등급 정보'!$C$9,7,IF(INT(E25)&gt;='3월 등급 정보'!$C$10,8,IF(INT(E25)&gt;='3월 등급 정보'!$C$11,9)))))))))</f>
        <v>3</v>
      </c>
      <c r="I25" s="34">
        <v>76</v>
      </c>
      <c r="J25" s="33"/>
      <c r="K25" s="33"/>
      <c r="L25" s="33">
        <f>IF(INT(I25)&gt;='3월 등급 정보'!$D$3,1,IF(INT(I25)&gt;='3월 등급 정보'!$D$4,2,IF(INT(I25)&gt;='3월 등급 정보'!$D$5,3,IF(INT(I25)&gt;='3월 등급 정보'!$D$6,4,IF(INT(I25)&gt;='3월 등급 정보'!$D$7,5,IF(INT(I25)&gt;='3월 등급 정보'!$D$8,6,IF(INT(I25)&gt;='3월 등급 정보'!$D$9,7,IF(INT(I25)&gt;='3월 등급 정보'!$D$10,8,IF(INT(I25)&gt;='3월 등급 정보'!$D$11,9)))))))))</f>
        <v>2</v>
      </c>
      <c r="M25" s="34">
        <v>65</v>
      </c>
      <c r="N25" s="33"/>
      <c r="O25" s="33"/>
      <c r="P25" s="33">
        <f>IF(INT(M25)&gt;='3월 등급 정보'!$E$3,1,IF(INT(M25)&gt;='3월 등급 정보'!$E$4,2,IF(INT(M25)&gt;='3월 등급 정보'!$E$5,3,IF(INT(M25)&gt;='3월 등급 정보'!$E$6,4,IF(INT(M25)&gt;='3월 등급 정보'!$E$7,5,IF(INT(M25)&gt;='3월 등급 정보'!$E$8,6,IF(INT(M25)&gt;='3월 등급 정보'!$E$9,7,IF(INT(M25)&gt;='3월 등급 정보'!$E$10,8,IF(INT(M25)&gt;='3월 등급 정보'!$E$11,9)))))))))</f>
        <v>4</v>
      </c>
      <c r="Q25" s="34">
        <v>45.5</v>
      </c>
      <c r="R25" s="33"/>
      <c r="S25" s="33"/>
      <c r="T25" s="33">
        <f>IF(INT(Q25)&gt;='3월 등급 정보'!$F$3,1,IF(INT(Q25)&gt;='3월 등급 정보'!$F$4,2,IF(INT(Q25)&gt;='3월 등급 정보'!$F$5,3,IF(INT(Q25)&gt;='3월 등급 정보'!$F$6,4,IF(INT(Q25)&gt;='3월 등급 정보'!$F$7,5,IF(INT(Q25)&gt;='3월 등급 정보'!$F$8,6,IF(INT(Q25)&gt;='3월 등급 정보'!$F$9,7,IF(INT(Q25)&gt;='3월 등급 정보'!$F$10,8,IF(INT(Q25)&gt;='3월 등급 정보'!$F$11,9)))))))))</f>
        <v>2</v>
      </c>
      <c r="U25" s="34">
        <v>45.5</v>
      </c>
      <c r="V25" s="33"/>
      <c r="W25" s="33"/>
      <c r="X25" s="33">
        <f>IF(INT(U25)&gt;='3월 등급 정보'!$G$3,1,IF(INT(U25)&gt;='3월 등급 정보'!$G$4,2,IF(INT(U25)&gt;='3월 등급 정보'!$G$5,3,IF(INT(U25)&gt;='3월 등급 정보'!$G$6,4,IF(INT(U25)&gt;='3월 등급 정보'!$G$7,5,IF(INT(U25)&gt;='3월 등급 정보'!$G$8,6,IF(INT(U25)&gt;='3월 등급 정보'!$G$9,7,IF(INT(U25)&gt;='3월 등급 정보'!$G$10,8,IF(INT(U25)&gt;='3월 등급 정보'!$G$11,9)))))))))</f>
        <v>1</v>
      </c>
      <c r="Y25" s="34">
        <v>34</v>
      </c>
      <c r="Z25" s="33"/>
      <c r="AA25" s="33"/>
      <c r="AB25" s="33">
        <f>IF(INT(Y25)&gt;='3월 등급 정보'!$H$3,1,IF(INT(Y25)&gt;='3월 등급 정보'!$H$4,2,IF(INT(Y25)&gt;='3월 등급 정보'!$H$5,3,IF(INT(Y25)&gt;='3월 등급 정보'!$H$6,4,IF(INT(Y25)&gt;='3월 등급 정보'!$H$7,5,IF(INT(Y25)&gt;='3월 등급 정보'!$H$8,6,IF(INT(Y25)&gt;='3월 등급 정보'!$H$9,7,IF(INT(Y25)&gt;='3월 등급 정보'!$H$10,8,IF(INT(Y25)&gt;='3월 등급 정보'!$H$11,9)))))))))</f>
        <v>3</v>
      </c>
      <c r="AC25" s="33">
        <f>E25+I25+M25+Q25+U25</f>
        <v>310</v>
      </c>
      <c r="AD25" s="33">
        <f>RANK(AC25,$AC$3:$AC$273)</f>
        <v>23</v>
      </c>
    </row>
    <row r="26" spans="1:30" ht="17.25" customHeight="1">
      <c r="A26" s="33" t="s">
        <v>26</v>
      </c>
      <c r="B26" s="34">
        <v>10</v>
      </c>
      <c r="C26" s="34">
        <v>19</v>
      </c>
      <c r="D26" s="34" t="s">
        <v>282</v>
      </c>
      <c r="E26" s="34">
        <v>90</v>
      </c>
      <c r="F26" s="33"/>
      <c r="G26" s="33"/>
      <c r="H26" s="33">
        <f>IF(INT(E26)&gt;='3월 등급 정보'!$C$3,1,IF(INT(E26)&gt;='3월 등급 정보'!$C$4,2,IF(INT(E26)&gt;='3월 등급 정보'!$C$5,3,IF(INT(E26)&gt;='3월 등급 정보'!$C$6,4,IF(INT(E26)&gt;='3월 등급 정보'!$C$7,5,IF(INT(E26)&gt;='3월 등급 정보'!$C$8,6,IF(INT(E26)&gt;='3월 등급 정보'!$C$9,7,IF(INT(E26)&gt;='3월 등급 정보'!$C$10,8,IF(INT(E26)&gt;='3월 등급 정보'!$C$11,9)))))))))</f>
        <v>1</v>
      </c>
      <c r="I26" s="34">
        <v>56</v>
      </c>
      <c r="J26" s="33"/>
      <c r="K26" s="33"/>
      <c r="L26" s="33">
        <f>IF(INT(I26)&gt;='3월 등급 정보'!$D$3,1,IF(INT(I26)&gt;='3월 등급 정보'!$D$4,2,IF(INT(I26)&gt;='3월 등급 정보'!$D$5,3,IF(INT(I26)&gt;='3월 등급 정보'!$D$6,4,IF(INT(I26)&gt;='3월 등급 정보'!$D$7,5,IF(INT(I26)&gt;='3월 등급 정보'!$D$8,6,IF(INT(I26)&gt;='3월 등급 정보'!$D$9,7,IF(INT(I26)&gt;='3월 등급 정보'!$D$10,8,IF(INT(I26)&gt;='3월 등급 정보'!$D$11,9)))))))))</f>
        <v>4</v>
      </c>
      <c r="M26" s="34">
        <v>89</v>
      </c>
      <c r="N26" s="33"/>
      <c r="O26" s="33"/>
      <c r="P26" s="33">
        <f>IF(INT(M26)&gt;='3월 등급 정보'!$E$3,1,IF(INT(M26)&gt;='3월 등급 정보'!$E$4,2,IF(INT(M26)&gt;='3월 등급 정보'!$E$5,3,IF(INT(M26)&gt;='3월 등급 정보'!$E$6,4,IF(INT(M26)&gt;='3월 등급 정보'!$E$7,5,IF(INT(M26)&gt;='3월 등급 정보'!$E$8,6,IF(INT(M26)&gt;='3월 등급 정보'!$E$9,7,IF(INT(M26)&gt;='3월 등급 정보'!$E$10,8,IF(INT(M26)&gt;='3월 등급 정보'!$E$11,9)))))))))</f>
        <v>2</v>
      </c>
      <c r="Q26" s="34">
        <v>44</v>
      </c>
      <c r="R26" s="33"/>
      <c r="S26" s="33"/>
      <c r="T26" s="33">
        <f>IF(INT(Q26)&gt;='3월 등급 정보'!$F$3,1,IF(INT(Q26)&gt;='3월 등급 정보'!$F$4,2,IF(INT(Q26)&gt;='3월 등급 정보'!$F$5,3,IF(INT(Q26)&gt;='3월 등급 정보'!$F$6,4,IF(INT(Q26)&gt;='3월 등급 정보'!$F$7,5,IF(INT(Q26)&gt;='3월 등급 정보'!$F$8,6,IF(INT(Q26)&gt;='3월 등급 정보'!$F$9,7,IF(INT(Q26)&gt;='3월 등급 정보'!$F$10,8,IF(INT(Q26)&gt;='3월 등급 정보'!$F$11,9)))))))))</f>
        <v>2</v>
      </c>
      <c r="U26" s="34">
        <v>31</v>
      </c>
      <c r="V26" s="33"/>
      <c r="W26" s="33"/>
      <c r="X26" s="33">
        <f>IF(INT(U26)&gt;='3월 등급 정보'!$G$3,1,IF(INT(U26)&gt;='3월 등급 정보'!$G$4,2,IF(INT(U26)&gt;='3월 등급 정보'!$G$5,3,IF(INT(U26)&gt;='3월 등급 정보'!$G$6,4,IF(INT(U26)&gt;='3월 등급 정보'!$G$7,5,IF(INT(U26)&gt;='3월 등급 정보'!$G$8,6,IF(INT(U26)&gt;='3월 등급 정보'!$G$9,7,IF(INT(U26)&gt;='3월 등급 정보'!$G$10,8,IF(INT(U26)&gt;='3월 등급 정보'!$G$11,9)))))))))</f>
        <v>4</v>
      </c>
      <c r="Y26" s="34">
        <v>41</v>
      </c>
      <c r="Z26" s="33"/>
      <c r="AA26" s="33"/>
      <c r="AB26" s="33">
        <f>IF(INT(Y26)&gt;='3월 등급 정보'!$H$3,1,IF(INT(Y26)&gt;='3월 등급 정보'!$H$4,2,IF(INT(Y26)&gt;='3월 등급 정보'!$H$5,3,IF(INT(Y26)&gt;='3월 등급 정보'!$H$6,4,IF(INT(Y26)&gt;='3월 등급 정보'!$H$7,5,IF(INT(Y26)&gt;='3월 등급 정보'!$H$8,6,IF(INT(Y26)&gt;='3월 등급 정보'!$H$9,7,IF(INT(Y26)&gt;='3월 등급 정보'!$H$10,8,IF(INT(Y26)&gt;='3월 등급 정보'!$H$11,9)))))))))</f>
        <v>1</v>
      </c>
      <c r="AC26" s="33">
        <f>E26+I26+M26+Q26+U26</f>
        <v>310</v>
      </c>
      <c r="AD26" s="33">
        <f>RANK(AC26,$AC$3:$AC$273)</f>
        <v>23</v>
      </c>
    </row>
    <row r="27" spans="1:30" ht="17.25" customHeight="1">
      <c r="A27" s="33" t="s">
        <v>26</v>
      </c>
      <c r="B27" s="34">
        <v>4</v>
      </c>
      <c r="C27" s="34">
        <v>3</v>
      </c>
      <c r="D27" s="34" t="s">
        <v>108</v>
      </c>
      <c r="E27" s="34">
        <v>78</v>
      </c>
      <c r="F27" s="33"/>
      <c r="G27" s="33"/>
      <c r="H27" s="33">
        <f>IF(INT(E27)&gt;='3월 등급 정보'!$C$3,1,IF(INT(E27)&gt;='3월 등급 정보'!$C$4,2,IF(INT(E27)&gt;='3월 등급 정보'!$C$5,3,IF(INT(E27)&gt;='3월 등급 정보'!$C$6,4,IF(INT(E27)&gt;='3월 등급 정보'!$C$7,5,IF(INT(E27)&gt;='3월 등급 정보'!$C$8,6,IF(INT(E27)&gt;='3월 등급 정보'!$C$9,7,IF(INT(E27)&gt;='3월 등급 정보'!$C$10,8,IF(INT(E27)&gt;='3월 등급 정보'!$C$11,9)))))))))</f>
        <v>3</v>
      </c>
      <c r="I27" s="34">
        <v>65</v>
      </c>
      <c r="J27" s="33"/>
      <c r="K27" s="33"/>
      <c r="L27" s="33">
        <f>IF(INT(I27)&gt;='3월 등급 정보'!$D$3,1,IF(INT(I27)&gt;='3월 등급 정보'!$D$4,2,IF(INT(I27)&gt;='3월 등급 정보'!$D$5,3,IF(INT(I27)&gt;='3월 등급 정보'!$D$6,4,IF(INT(I27)&gt;='3월 등급 정보'!$D$7,5,IF(INT(I27)&gt;='3월 등급 정보'!$D$8,6,IF(INT(I27)&gt;='3월 등급 정보'!$D$9,7,IF(INT(I27)&gt;='3월 등급 정보'!$D$10,8,IF(INT(I27)&gt;='3월 등급 정보'!$D$11,9)))))))))</f>
        <v>3</v>
      </c>
      <c r="M27" s="34">
        <v>79</v>
      </c>
      <c r="N27" s="33"/>
      <c r="O27" s="33"/>
      <c r="P27" s="33">
        <f>IF(INT(M27)&gt;='3월 등급 정보'!$E$3,1,IF(INT(M27)&gt;='3월 등급 정보'!$E$4,2,IF(INT(M27)&gt;='3월 등급 정보'!$E$5,3,IF(INT(M27)&gt;='3월 등급 정보'!$E$6,4,IF(INT(M27)&gt;='3월 등급 정보'!$E$7,5,IF(INT(M27)&gt;='3월 등급 정보'!$E$8,6,IF(INT(M27)&gt;='3월 등급 정보'!$E$9,7,IF(INT(M27)&gt;='3월 등급 정보'!$E$10,8,IF(INT(M27)&gt;='3월 등급 정보'!$E$11,9)))))))))</f>
        <v>3</v>
      </c>
      <c r="Q27" s="34">
        <v>46</v>
      </c>
      <c r="R27" s="33"/>
      <c r="S27" s="33"/>
      <c r="T27" s="33">
        <f>IF(INT(Q27)&gt;='3월 등급 정보'!$F$3,1,IF(INT(Q27)&gt;='3월 등급 정보'!$F$4,2,IF(INT(Q27)&gt;='3월 등급 정보'!$F$5,3,IF(INT(Q27)&gt;='3월 등급 정보'!$F$6,4,IF(INT(Q27)&gt;='3월 등급 정보'!$F$7,5,IF(INT(Q27)&gt;='3월 등급 정보'!$F$8,6,IF(INT(Q27)&gt;='3월 등급 정보'!$F$9,7,IF(INT(Q27)&gt;='3월 등급 정보'!$F$10,8,IF(INT(Q27)&gt;='3월 등급 정보'!$F$11,9)))))))))</f>
        <v>2</v>
      </c>
      <c r="U27" s="34">
        <v>40</v>
      </c>
      <c r="V27" s="33"/>
      <c r="W27" s="33"/>
      <c r="X27" s="33">
        <f>IF(INT(U27)&gt;='3월 등급 정보'!$G$3,1,IF(INT(U27)&gt;='3월 등급 정보'!$G$4,2,IF(INT(U27)&gt;='3월 등급 정보'!$G$5,3,IF(INT(U27)&gt;='3월 등급 정보'!$G$6,4,IF(INT(U27)&gt;='3월 등급 정보'!$G$7,5,IF(INT(U27)&gt;='3월 등급 정보'!$G$8,6,IF(INT(U27)&gt;='3월 등급 정보'!$G$9,7,IF(INT(U27)&gt;='3월 등급 정보'!$G$10,8,IF(INT(U27)&gt;='3월 등급 정보'!$G$11,9)))))))))</f>
        <v>2</v>
      </c>
      <c r="Y27" s="34">
        <v>45</v>
      </c>
      <c r="Z27" s="33"/>
      <c r="AA27" s="33"/>
      <c r="AB27" s="33">
        <f>IF(INT(Y27)&gt;='3월 등급 정보'!$H$3,1,IF(INT(Y27)&gt;='3월 등급 정보'!$H$4,2,IF(INT(Y27)&gt;='3월 등급 정보'!$H$5,3,IF(INT(Y27)&gt;='3월 등급 정보'!$H$6,4,IF(INT(Y27)&gt;='3월 등급 정보'!$H$7,5,IF(INT(Y27)&gt;='3월 등급 정보'!$H$8,6,IF(INT(Y27)&gt;='3월 등급 정보'!$H$9,7,IF(INT(Y27)&gt;='3월 등급 정보'!$H$10,8,IF(INT(Y27)&gt;='3월 등급 정보'!$H$11,9)))))))))</f>
        <v>1</v>
      </c>
      <c r="AC27" s="33">
        <f>E27+I27+M27+Q27+U27</f>
        <v>308</v>
      </c>
      <c r="AD27" s="33">
        <f>RANK(AC27,$AC$3:$AC$273)</f>
        <v>25</v>
      </c>
    </row>
    <row r="28" spans="1:30" ht="17.25" customHeight="1">
      <c r="A28" s="33" t="s">
        <v>26</v>
      </c>
      <c r="B28" s="34">
        <v>2</v>
      </c>
      <c r="C28" s="34">
        <v>8</v>
      </c>
      <c r="D28" s="34" t="s">
        <v>61</v>
      </c>
      <c r="E28" s="34">
        <v>65</v>
      </c>
      <c r="F28" s="33"/>
      <c r="G28" s="33"/>
      <c r="H28" s="33">
        <f>IF(INT(E28)&gt;='3월 등급 정보'!$C$3,1,IF(INT(E28)&gt;='3월 등급 정보'!$C$4,2,IF(INT(E28)&gt;='3월 등급 정보'!$C$5,3,IF(INT(E28)&gt;='3월 등급 정보'!$C$6,4,IF(INT(E28)&gt;='3월 등급 정보'!$C$7,5,IF(INT(E28)&gt;='3월 등급 정보'!$C$8,6,IF(INT(E28)&gt;='3월 등급 정보'!$C$9,7,IF(INT(E28)&gt;='3월 등급 정보'!$C$10,8,IF(INT(E28)&gt;='3월 등급 정보'!$C$11,9)))))))))</f>
        <v>4</v>
      </c>
      <c r="I28" s="34">
        <v>76</v>
      </c>
      <c r="J28" s="33"/>
      <c r="K28" s="33"/>
      <c r="L28" s="33">
        <f>IF(INT(I28)&gt;='3월 등급 정보'!$D$3,1,IF(INT(I28)&gt;='3월 등급 정보'!$D$4,2,IF(INT(I28)&gt;='3월 등급 정보'!$D$5,3,IF(INT(I28)&gt;='3월 등급 정보'!$D$6,4,IF(INT(I28)&gt;='3월 등급 정보'!$D$7,5,IF(INT(I28)&gt;='3월 등급 정보'!$D$8,6,IF(INT(I28)&gt;='3월 등급 정보'!$D$9,7,IF(INT(I28)&gt;='3월 등급 정보'!$D$10,8,IF(INT(I28)&gt;='3월 등급 정보'!$D$11,9)))))))))</f>
        <v>2</v>
      </c>
      <c r="M28" s="34">
        <v>79</v>
      </c>
      <c r="N28" s="33"/>
      <c r="O28" s="33"/>
      <c r="P28" s="33">
        <f>IF(INT(M28)&gt;='3월 등급 정보'!$E$3,1,IF(INT(M28)&gt;='3월 등급 정보'!$E$4,2,IF(INT(M28)&gt;='3월 등급 정보'!$E$5,3,IF(INT(M28)&gt;='3월 등급 정보'!$E$6,4,IF(INT(M28)&gt;='3월 등급 정보'!$E$7,5,IF(INT(M28)&gt;='3월 등급 정보'!$E$8,6,IF(INT(M28)&gt;='3월 등급 정보'!$E$9,7,IF(INT(M28)&gt;='3월 등급 정보'!$E$10,8,IF(INT(M28)&gt;='3월 등급 정보'!$E$11,9)))))))))</f>
        <v>3</v>
      </c>
      <c r="Q28" s="34">
        <v>45.5</v>
      </c>
      <c r="R28" s="33"/>
      <c r="S28" s="33"/>
      <c r="T28" s="33">
        <f>IF(INT(Q28)&gt;='3월 등급 정보'!$F$3,1,IF(INT(Q28)&gt;='3월 등급 정보'!$F$4,2,IF(INT(Q28)&gt;='3월 등급 정보'!$F$5,3,IF(INT(Q28)&gt;='3월 등급 정보'!$F$6,4,IF(INT(Q28)&gt;='3월 등급 정보'!$F$7,5,IF(INT(Q28)&gt;='3월 등급 정보'!$F$8,6,IF(INT(Q28)&gt;='3월 등급 정보'!$F$9,7,IF(INT(Q28)&gt;='3월 등급 정보'!$F$10,8,IF(INT(Q28)&gt;='3월 등급 정보'!$F$11,9)))))))))</f>
        <v>2</v>
      </c>
      <c r="U28" s="34">
        <v>40</v>
      </c>
      <c r="V28" s="33"/>
      <c r="W28" s="33"/>
      <c r="X28" s="33">
        <f>IF(INT(U28)&gt;='3월 등급 정보'!$G$3,1,IF(INT(U28)&gt;='3월 등급 정보'!$G$4,2,IF(INT(U28)&gt;='3월 등급 정보'!$G$5,3,IF(INT(U28)&gt;='3월 등급 정보'!$G$6,4,IF(INT(U28)&gt;='3월 등급 정보'!$G$7,5,IF(INT(U28)&gt;='3월 등급 정보'!$G$8,6,IF(INT(U28)&gt;='3월 등급 정보'!$G$9,7,IF(INT(U28)&gt;='3월 등급 정보'!$G$10,8,IF(INT(U28)&gt;='3월 등급 정보'!$G$11,9)))))))))</f>
        <v>2</v>
      </c>
      <c r="Y28" s="34">
        <v>33</v>
      </c>
      <c r="Z28" s="33"/>
      <c r="AA28" s="33"/>
      <c r="AB28" s="33">
        <f>IF(INT(Y28)&gt;='3월 등급 정보'!$H$3,1,IF(INT(Y28)&gt;='3월 등급 정보'!$H$4,2,IF(INT(Y28)&gt;='3월 등급 정보'!$H$5,3,IF(INT(Y28)&gt;='3월 등급 정보'!$H$6,4,IF(INT(Y28)&gt;='3월 등급 정보'!$H$7,5,IF(INT(Y28)&gt;='3월 등급 정보'!$H$8,6,IF(INT(Y28)&gt;='3월 등급 정보'!$H$9,7,IF(INT(Y28)&gt;='3월 등급 정보'!$H$10,8,IF(INT(Y28)&gt;='3월 등급 정보'!$H$11,9)))))))))</f>
        <v>3</v>
      </c>
      <c r="AC28" s="33">
        <f>E28+I28+M28+Q28+U28</f>
        <v>305.5</v>
      </c>
      <c r="AD28" s="33">
        <f>RANK(AC28,$AC$3:$AC$273)</f>
        <v>26</v>
      </c>
    </row>
    <row r="29" spans="1:30" ht="17.25" customHeight="1">
      <c r="A29" s="33" t="s">
        <v>26</v>
      </c>
      <c r="B29" s="34">
        <v>6</v>
      </c>
      <c r="C29" s="34">
        <v>12</v>
      </c>
      <c r="D29" s="34" t="s">
        <v>170</v>
      </c>
      <c r="E29" s="34">
        <v>89</v>
      </c>
      <c r="F29" s="33"/>
      <c r="G29" s="33"/>
      <c r="H29" s="33">
        <f>IF(INT(E29)&gt;='3월 등급 정보'!$C$3,1,IF(INT(E29)&gt;='3월 등급 정보'!$C$4,2,IF(INT(E29)&gt;='3월 등급 정보'!$C$5,3,IF(INT(E29)&gt;='3월 등급 정보'!$C$6,4,IF(INT(E29)&gt;='3월 등급 정보'!$C$7,5,IF(INT(E29)&gt;='3월 등급 정보'!$C$8,6,IF(INT(E29)&gt;='3월 등급 정보'!$C$9,7,IF(INT(E29)&gt;='3월 등급 정보'!$C$10,8,IF(INT(E29)&gt;='3월 등급 정보'!$C$11,9)))))))))</f>
        <v>1</v>
      </c>
      <c r="I29" s="34">
        <v>68</v>
      </c>
      <c r="J29" s="33"/>
      <c r="K29" s="33"/>
      <c r="L29" s="33">
        <f>IF(INT(I29)&gt;='3월 등급 정보'!$D$3,1,IF(INT(I29)&gt;='3월 등급 정보'!$D$4,2,IF(INT(I29)&gt;='3월 등급 정보'!$D$5,3,IF(INT(I29)&gt;='3월 등급 정보'!$D$6,4,IF(INT(I29)&gt;='3월 등급 정보'!$D$7,5,IF(INT(I29)&gt;='3월 등급 정보'!$D$8,6,IF(INT(I29)&gt;='3월 등급 정보'!$D$9,7,IF(INT(I29)&gt;='3월 등급 정보'!$D$10,8,IF(INT(I29)&gt;='3월 등급 정보'!$D$11,9)))))))))</f>
        <v>3</v>
      </c>
      <c r="M29" s="34">
        <v>91</v>
      </c>
      <c r="N29" s="33"/>
      <c r="O29" s="33"/>
      <c r="P29" s="33">
        <f>IF(INT(M29)&gt;='3월 등급 정보'!$E$3,1,IF(INT(M29)&gt;='3월 등급 정보'!$E$4,2,IF(INT(M29)&gt;='3월 등급 정보'!$E$5,3,IF(INT(M29)&gt;='3월 등급 정보'!$E$6,4,IF(INT(M29)&gt;='3월 등급 정보'!$E$7,5,IF(INT(M29)&gt;='3월 등급 정보'!$E$8,6,IF(INT(M29)&gt;='3월 등급 정보'!$E$9,7,IF(INT(M29)&gt;='3월 등급 정보'!$E$10,8,IF(INT(M29)&gt;='3월 등급 정보'!$E$11,9)))))))))</f>
        <v>1</v>
      </c>
      <c r="Q29" s="34">
        <v>39</v>
      </c>
      <c r="R29" s="33"/>
      <c r="S29" s="33"/>
      <c r="T29" s="33">
        <f>IF(INT(Q29)&gt;='3월 등급 정보'!$F$3,1,IF(INT(Q29)&gt;='3월 등급 정보'!$F$4,2,IF(INT(Q29)&gt;='3월 등급 정보'!$F$5,3,IF(INT(Q29)&gt;='3월 등급 정보'!$F$6,4,IF(INT(Q29)&gt;='3월 등급 정보'!$F$7,5,IF(INT(Q29)&gt;='3월 등급 정보'!$F$8,6,IF(INT(Q29)&gt;='3월 등급 정보'!$F$9,7,IF(INT(Q29)&gt;='3월 등급 정보'!$F$10,8,IF(INT(Q29)&gt;='3월 등급 정보'!$F$11,9)))))))))</f>
        <v>3</v>
      </c>
      <c r="U29" s="34">
        <v>18.5</v>
      </c>
      <c r="V29" s="33"/>
      <c r="W29" s="33"/>
      <c r="X29" s="33">
        <f>IF(INT(U29)&gt;='3월 등급 정보'!$G$3,1,IF(INT(U29)&gt;='3월 등급 정보'!$G$4,2,IF(INT(U29)&gt;='3월 등급 정보'!$G$5,3,IF(INT(U29)&gt;='3월 등급 정보'!$G$6,4,IF(INT(U29)&gt;='3월 등급 정보'!$G$7,5,IF(INT(U29)&gt;='3월 등급 정보'!$G$8,6,IF(INT(U29)&gt;='3월 등급 정보'!$G$9,7,IF(INT(U29)&gt;='3월 등급 정보'!$G$10,8,IF(INT(U29)&gt;='3월 등급 정보'!$G$11,9)))))))))</f>
        <v>6</v>
      </c>
      <c r="Y29" s="34">
        <v>42</v>
      </c>
      <c r="Z29" s="33"/>
      <c r="AA29" s="33"/>
      <c r="AB29" s="33">
        <f>IF(INT(Y29)&gt;='3월 등급 정보'!$H$3,1,IF(INT(Y29)&gt;='3월 등급 정보'!$H$4,2,IF(INT(Y29)&gt;='3월 등급 정보'!$H$5,3,IF(INT(Y29)&gt;='3월 등급 정보'!$H$6,4,IF(INT(Y29)&gt;='3월 등급 정보'!$H$7,5,IF(INT(Y29)&gt;='3월 등급 정보'!$H$8,6,IF(INT(Y29)&gt;='3월 등급 정보'!$H$9,7,IF(INT(Y29)&gt;='3월 등급 정보'!$H$10,8,IF(INT(Y29)&gt;='3월 등급 정보'!$H$11,9)))))))))</f>
        <v>1</v>
      </c>
      <c r="AC29" s="33">
        <f>E29+I29+M29+Q29+U29</f>
        <v>305.5</v>
      </c>
      <c r="AD29" s="33">
        <f>RANK(AC29,$AC$3:$AC$273)</f>
        <v>26</v>
      </c>
    </row>
    <row r="30" spans="1:30" ht="17.25" customHeight="1">
      <c r="A30" s="33" t="s">
        <v>26</v>
      </c>
      <c r="B30" s="34">
        <v>5</v>
      </c>
      <c r="C30" s="34">
        <v>9</v>
      </c>
      <c r="D30" s="34" t="s">
        <v>140</v>
      </c>
      <c r="E30" s="34">
        <v>77</v>
      </c>
      <c r="F30" s="33"/>
      <c r="G30" s="33"/>
      <c r="H30" s="33">
        <f>IF(INT(E30)&gt;='3월 등급 정보'!$C$3,1,IF(INT(E30)&gt;='3월 등급 정보'!$C$4,2,IF(INT(E30)&gt;='3월 등급 정보'!$C$5,3,IF(INT(E30)&gt;='3월 등급 정보'!$C$6,4,IF(INT(E30)&gt;='3월 등급 정보'!$C$7,5,IF(INT(E30)&gt;='3월 등급 정보'!$C$8,6,IF(INT(E30)&gt;='3월 등급 정보'!$C$9,7,IF(INT(E30)&gt;='3월 등급 정보'!$C$10,8,IF(INT(E30)&gt;='3월 등급 정보'!$C$11,9)))))))))</f>
        <v>3</v>
      </c>
      <c r="I30" s="34">
        <v>76</v>
      </c>
      <c r="J30" s="33"/>
      <c r="K30" s="33"/>
      <c r="L30" s="33">
        <f>IF(INT(I30)&gt;='3월 등급 정보'!$D$3,1,IF(INT(I30)&gt;='3월 등급 정보'!$D$4,2,IF(INT(I30)&gt;='3월 등급 정보'!$D$5,3,IF(INT(I30)&gt;='3월 등급 정보'!$D$6,4,IF(INT(I30)&gt;='3월 등급 정보'!$D$7,5,IF(INT(I30)&gt;='3월 등급 정보'!$D$8,6,IF(INT(I30)&gt;='3월 등급 정보'!$D$9,7,IF(INT(I30)&gt;='3월 등급 정보'!$D$10,8,IF(INT(I30)&gt;='3월 등급 정보'!$D$11,9)))))))))</f>
        <v>2</v>
      </c>
      <c r="M30" s="34">
        <v>69</v>
      </c>
      <c r="N30" s="33"/>
      <c r="O30" s="33"/>
      <c r="P30" s="33">
        <f>IF(INT(M30)&gt;='3월 등급 정보'!$E$3,1,IF(INT(M30)&gt;='3월 등급 정보'!$E$4,2,IF(INT(M30)&gt;='3월 등급 정보'!$E$5,3,IF(INT(M30)&gt;='3월 등급 정보'!$E$6,4,IF(INT(M30)&gt;='3월 등급 정보'!$E$7,5,IF(INT(M30)&gt;='3월 등급 정보'!$E$8,6,IF(INT(M30)&gt;='3월 등급 정보'!$E$9,7,IF(INT(M30)&gt;='3월 등급 정보'!$E$10,8,IF(INT(M30)&gt;='3월 등급 정보'!$E$11,9)))))))))</f>
        <v>4</v>
      </c>
      <c r="Q30" s="34">
        <v>43</v>
      </c>
      <c r="R30" s="33"/>
      <c r="S30" s="33"/>
      <c r="T30" s="33">
        <f>IF(INT(Q30)&gt;='3월 등급 정보'!$F$3,1,IF(INT(Q30)&gt;='3월 등급 정보'!$F$4,2,IF(INT(Q30)&gt;='3월 등급 정보'!$F$5,3,IF(INT(Q30)&gt;='3월 등급 정보'!$F$6,4,IF(INT(Q30)&gt;='3월 등급 정보'!$F$7,5,IF(INT(Q30)&gt;='3월 등급 정보'!$F$8,6,IF(INT(Q30)&gt;='3월 등급 정보'!$F$9,7,IF(INT(Q30)&gt;='3월 등급 정보'!$F$10,8,IF(INT(Q30)&gt;='3월 등급 정보'!$F$11,9)))))))))</f>
        <v>2</v>
      </c>
      <c r="U30" s="34">
        <v>39.5</v>
      </c>
      <c r="V30" s="33"/>
      <c r="W30" s="33"/>
      <c r="X30" s="33">
        <f>IF(INT(U30)&gt;='3월 등급 정보'!$G$3,1,IF(INT(U30)&gt;='3월 등급 정보'!$G$4,2,IF(INT(U30)&gt;='3월 등급 정보'!$G$5,3,IF(INT(U30)&gt;='3월 등급 정보'!$G$6,4,IF(INT(U30)&gt;='3월 등급 정보'!$G$7,5,IF(INT(U30)&gt;='3월 등급 정보'!$G$8,6,IF(INT(U30)&gt;='3월 등급 정보'!$G$9,7,IF(INT(U30)&gt;='3월 등급 정보'!$G$10,8,IF(INT(U30)&gt;='3월 등급 정보'!$G$11,9)))))))))</f>
        <v>2</v>
      </c>
      <c r="Y30" s="34">
        <v>47</v>
      </c>
      <c r="Z30" s="33"/>
      <c r="AA30" s="33"/>
      <c r="AB30" s="33">
        <f>IF(INT(Y30)&gt;='3월 등급 정보'!$H$3,1,IF(INT(Y30)&gt;='3월 등급 정보'!$H$4,2,IF(INT(Y30)&gt;='3월 등급 정보'!$H$5,3,IF(INT(Y30)&gt;='3월 등급 정보'!$H$6,4,IF(INT(Y30)&gt;='3월 등급 정보'!$H$7,5,IF(INT(Y30)&gt;='3월 등급 정보'!$H$8,6,IF(INT(Y30)&gt;='3월 등급 정보'!$H$9,7,IF(INT(Y30)&gt;='3월 등급 정보'!$H$10,8,IF(INT(Y30)&gt;='3월 등급 정보'!$H$11,9)))))))))</f>
        <v>1</v>
      </c>
      <c r="AC30" s="33">
        <f>E30+I30+M30+Q30+U30</f>
        <v>304.5</v>
      </c>
      <c r="AD30" s="33">
        <f>RANK(AC30,$AC$3:$AC$273)</f>
        <v>28</v>
      </c>
    </row>
    <row r="31" spans="1:30" ht="17.25" customHeight="1">
      <c r="A31" s="33" t="s">
        <v>26</v>
      </c>
      <c r="B31" s="34">
        <v>10</v>
      </c>
      <c r="C31" s="34">
        <v>6</v>
      </c>
      <c r="D31" s="34" t="s">
        <v>270</v>
      </c>
      <c r="E31" s="34">
        <v>79</v>
      </c>
      <c r="F31" s="33"/>
      <c r="G31" s="33"/>
      <c r="H31" s="33">
        <f>IF(INT(E31)&gt;='3월 등급 정보'!$C$3,1,IF(INT(E31)&gt;='3월 등급 정보'!$C$4,2,IF(INT(E31)&gt;='3월 등급 정보'!$C$5,3,IF(INT(E31)&gt;='3월 등급 정보'!$C$6,4,IF(INT(E31)&gt;='3월 등급 정보'!$C$7,5,IF(INT(E31)&gt;='3월 등급 정보'!$C$8,6,IF(INT(E31)&gt;='3월 등급 정보'!$C$9,7,IF(INT(E31)&gt;='3월 등급 정보'!$C$10,8,IF(INT(E31)&gt;='3월 등급 정보'!$C$11,9)))))))))</f>
        <v>2</v>
      </c>
      <c r="I31" s="34">
        <v>65</v>
      </c>
      <c r="J31" s="33"/>
      <c r="K31" s="33"/>
      <c r="L31" s="33">
        <f>IF(INT(I31)&gt;='3월 등급 정보'!$D$3,1,IF(INT(I31)&gt;='3월 등급 정보'!$D$4,2,IF(INT(I31)&gt;='3월 등급 정보'!$D$5,3,IF(INT(I31)&gt;='3월 등급 정보'!$D$6,4,IF(INT(I31)&gt;='3월 등급 정보'!$D$7,5,IF(INT(I31)&gt;='3월 등급 정보'!$D$8,6,IF(INT(I31)&gt;='3월 등급 정보'!$D$9,7,IF(INT(I31)&gt;='3월 등급 정보'!$D$10,8,IF(INT(I31)&gt;='3월 등급 정보'!$D$11,9)))))))))</f>
        <v>3</v>
      </c>
      <c r="M31" s="34">
        <v>86</v>
      </c>
      <c r="N31" s="33"/>
      <c r="O31" s="33"/>
      <c r="P31" s="33">
        <f>IF(INT(M31)&gt;='3월 등급 정보'!$E$3,1,IF(INT(M31)&gt;='3월 등급 정보'!$E$4,2,IF(INT(M31)&gt;='3월 등급 정보'!$E$5,3,IF(INT(M31)&gt;='3월 등급 정보'!$E$6,4,IF(INT(M31)&gt;='3월 등급 정보'!$E$7,5,IF(INT(M31)&gt;='3월 등급 정보'!$E$8,6,IF(INT(M31)&gt;='3월 등급 정보'!$E$9,7,IF(INT(M31)&gt;='3월 등급 정보'!$E$10,8,IF(INT(M31)&gt;='3월 등급 정보'!$E$11,9)))))))))</f>
        <v>2</v>
      </c>
      <c r="Q31" s="34">
        <v>35.5</v>
      </c>
      <c r="R31" s="33"/>
      <c r="S31" s="33"/>
      <c r="T31" s="33">
        <f>IF(INT(Q31)&gt;='3월 등급 정보'!$F$3,1,IF(INT(Q31)&gt;='3월 등급 정보'!$F$4,2,IF(INT(Q31)&gt;='3월 등급 정보'!$F$5,3,IF(INT(Q31)&gt;='3월 등급 정보'!$F$6,4,IF(INT(Q31)&gt;='3월 등급 정보'!$F$7,5,IF(INT(Q31)&gt;='3월 등급 정보'!$F$8,6,IF(INT(Q31)&gt;='3월 등급 정보'!$F$9,7,IF(INT(Q31)&gt;='3월 등급 정보'!$F$10,8,IF(INT(Q31)&gt;='3월 등급 정보'!$F$11,9)))))))))</f>
        <v>4</v>
      </c>
      <c r="U31" s="34">
        <v>39</v>
      </c>
      <c r="V31" s="33"/>
      <c r="W31" s="33"/>
      <c r="X31" s="33">
        <f>IF(INT(U31)&gt;='3월 등급 정보'!$G$3,1,IF(INT(U31)&gt;='3월 등급 정보'!$G$4,2,IF(INT(U31)&gt;='3월 등급 정보'!$G$5,3,IF(INT(U31)&gt;='3월 등급 정보'!$G$6,4,IF(INT(U31)&gt;='3월 등급 정보'!$G$7,5,IF(INT(U31)&gt;='3월 등급 정보'!$G$8,6,IF(INT(U31)&gt;='3월 등급 정보'!$G$9,7,IF(INT(U31)&gt;='3월 등급 정보'!$G$10,8,IF(INT(U31)&gt;='3월 등급 정보'!$G$11,9)))))))))</f>
        <v>2</v>
      </c>
      <c r="Y31" s="34">
        <v>39</v>
      </c>
      <c r="Z31" s="33"/>
      <c r="AA31" s="33"/>
      <c r="AB31" s="33">
        <f>IF(INT(Y31)&gt;='3월 등급 정보'!$H$3,1,IF(INT(Y31)&gt;='3월 등급 정보'!$H$4,2,IF(INT(Y31)&gt;='3월 등급 정보'!$H$5,3,IF(INT(Y31)&gt;='3월 등급 정보'!$H$6,4,IF(INT(Y31)&gt;='3월 등급 정보'!$H$7,5,IF(INT(Y31)&gt;='3월 등급 정보'!$H$8,6,IF(INT(Y31)&gt;='3월 등급 정보'!$H$9,7,IF(INT(Y31)&gt;='3월 등급 정보'!$H$10,8,IF(INT(Y31)&gt;='3월 등급 정보'!$H$11,9)))))))))</f>
        <v>2</v>
      </c>
      <c r="AC31" s="33">
        <f>E31+I31+M31+Q31+U31</f>
        <v>304.5</v>
      </c>
      <c r="AD31" s="33">
        <f>RANK(AC31,$AC$3:$AC$273)</f>
        <v>28</v>
      </c>
    </row>
    <row r="32" spans="1:30" ht="17.25" customHeight="1">
      <c r="A32" s="33" t="s">
        <v>26</v>
      </c>
      <c r="B32" s="34">
        <v>5</v>
      </c>
      <c r="C32" s="34">
        <v>18</v>
      </c>
      <c r="D32" s="34" t="s">
        <v>148</v>
      </c>
      <c r="E32" s="34">
        <v>83</v>
      </c>
      <c r="F32" s="33"/>
      <c r="G32" s="33"/>
      <c r="H32" s="33">
        <f>IF(INT(E32)&gt;='3월 등급 정보'!$C$3,1,IF(INT(E32)&gt;='3월 등급 정보'!$C$4,2,IF(INT(E32)&gt;='3월 등급 정보'!$C$5,3,IF(INT(E32)&gt;='3월 등급 정보'!$C$6,4,IF(INT(E32)&gt;='3월 등급 정보'!$C$7,5,IF(INT(E32)&gt;='3월 등급 정보'!$C$8,6,IF(INT(E32)&gt;='3월 등급 정보'!$C$9,7,IF(INT(E32)&gt;='3월 등급 정보'!$C$10,8,IF(INT(E32)&gt;='3월 등급 정보'!$C$11,9)))))))))</f>
        <v>2</v>
      </c>
      <c r="I32" s="34">
        <v>80</v>
      </c>
      <c r="J32" s="33"/>
      <c r="K32" s="33"/>
      <c r="L32" s="33">
        <f>IF(INT(I32)&gt;='3월 등급 정보'!$D$3,1,IF(INT(I32)&gt;='3월 등급 정보'!$D$4,2,IF(INT(I32)&gt;='3월 등급 정보'!$D$5,3,IF(INT(I32)&gt;='3월 등급 정보'!$D$6,4,IF(INT(I32)&gt;='3월 등급 정보'!$D$7,5,IF(INT(I32)&gt;='3월 등급 정보'!$D$8,6,IF(INT(I32)&gt;='3월 등급 정보'!$D$9,7,IF(INT(I32)&gt;='3월 등급 정보'!$D$10,8,IF(INT(I32)&gt;='3월 등급 정보'!$D$11,9)))))))))</f>
        <v>2</v>
      </c>
      <c r="M32" s="34">
        <v>61</v>
      </c>
      <c r="N32" s="33"/>
      <c r="O32" s="33"/>
      <c r="P32" s="33">
        <f>IF(INT(M32)&gt;='3월 등급 정보'!$E$3,1,IF(INT(M32)&gt;='3월 등급 정보'!$E$4,2,IF(INT(M32)&gt;='3월 등급 정보'!$E$5,3,IF(INT(M32)&gt;='3월 등급 정보'!$E$6,4,IF(INT(M32)&gt;='3월 등급 정보'!$E$7,5,IF(INT(M32)&gt;='3월 등급 정보'!$E$8,6,IF(INT(M32)&gt;='3월 등급 정보'!$E$9,7,IF(INT(M32)&gt;='3월 등급 정보'!$E$10,8,IF(INT(M32)&gt;='3월 등급 정보'!$E$11,9)))))))))</f>
        <v>4</v>
      </c>
      <c r="Q32" s="34">
        <v>41</v>
      </c>
      <c r="R32" s="33"/>
      <c r="S32" s="33"/>
      <c r="T32" s="33">
        <f>IF(INT(Q32)&gt;='3월 등급 정보'!$F$3,1,IF(INT(Q32)&gt;='3월 등급 정보'!$F$4,2,IF(INT(Q32)&gt;='3월 등급 정보'!$F$5,3,IF(INT(Q32)&gt;='3월 등급 정보'!$F$6,4,IF(INT(Q32)&gt;='3월 등급 정보'!$F$7,5,IF(INT(Q32)&gt;='3월 등급 정보'!$F$8,6,IF(INT(Q32)&gt;='3월 등급 정보'!$F$9,7,IF(INT(Q32)&gt;='3월 등급 정보'!$F$10,8,IF(INT(Q32)&gt;='3월 등급 정보'!$F$11,9)))))))))</f>
        <v>3</v>
      </c>
      <c r="U32" s="34">
        <v>39</v>
      </c>
      <c r="V32" s="33"/>
      <c r="W32" s="33"/>
      <c r="X32" s="33">
        <f>IF(INT(U32)&gt;='3월 등급 정보'!$G$3,1,IF(INT(U32)&gt;='3월 등급 정보'!$G$4,2,IF(INT(U32)&gt;='3월 등급 정보'!$G$5,3,IF(INT(U32)&gt;='3월 등급 정보'!$G$6,4,IF(INT(U32)&gt;='3월 등급 정보'!$G$7,5,IF(INT(U32)&gt;='3월 등급 정보'!$G$8,6,IF(INT(U32)&gt;='3월 등급 정보'!$G$9,7,IF(INT(U32)&gt;='3월 등급 정보'!$G$10,8,IF(INT(U32)&gt;='3월 등급 정보'!$G$11,9)))))))))</f>
        <v>2</v>
      </c>
      <c r="Y32" s="34">
        <v>45</v>
      </c>
      <c r="Z32" s="33"/>
      <c r="AA32" s="33"/>
      <c r="AB32" s="33">
        <f>IF(INT(Y32)&gt;='3월 등급 정보'!$H$3,1,IF(INT(Y32)&gt;='3월 등급 정보'!$H$4,2,IF(INT(Y32)&gt;='3월 등급 정보'!$H$5,3,IF(INT(Y32)&gt;='3월 등급 정보'!$H$6,4,IF(INT(Y32)&gt;='3월 등급 정보'!$H$7,5,IF(INT(Y32)&gt;='3월 등급 정보'!$H$8,6,IF(INT(Y32)&gt;='3월 등급 정보'!$H$9,7,IF(INT(Y32)&gt;='3월 등급 정보'!$H$10,8,IF(INT(Y32)&gt;='3월 등급 정보'!$H$11,9)))))))))</f>
        <v>1</v>
      </c>
      <c r="AC32" s="33">
        <f>E32+I32+M32+Q32+U32</f>
        <v>304</v>
      </c>
      <c r="AD32" s="33">
        <f>RANK(AC32,$AC$3:$AC$273)</f>
        <v>30</v>
      </c>
    </row>
    <row r="33" spans="1:30" ht="17.25" customHeight="1">
      <c r="A33" s="33" t="s">
        <v>26</v>
      </c>
      <c r="B33" s="34">
        <v>10</v>
      </c>
      <c r="C33" s="34">
        <v>25</v>
      </c>
      <c r="D33" s="34" t="s">
        <v>287</v>
      </c>
      <c r="E33" s="34">
        <v>86</v>
      </c>
      <c r="F33" s="33"/>
      <c r="G33" s="33"/>
      <c r="H33" s="33">
        <f>IF(INT(E33)&gt;='3월 등급 정보'!$C$3,1,IF(INT(E33)&gt;='3월 등급 정보'!$C$4,2,IF(INT(E33)&gt;='3월 등급 정보'!$C$5,3,IF(INT(E33)&gt;='3월 등급 정보'!$C$6,4,IF(INT(E33)&gt;='3월 등급 정보'!$C$7,5,IF(INT(E33)&gt;='3월 등급 정보'!$C$8,6,IF(INT(E33)&gt;='3월 등급 정보'!$C$9,7,IF(INT(E33)&gt;='3월 등급 정보'!$C$10,8,IF(INT(E33)&gt;='3월 등급 정보'!$C$11,9)))))))))</f>
        <v>1</v>
      </c>
      <c r="I33" s="34">
        <v>69</v>
      </c>
      <c r="J33" s="33"/>
      <c r="K33" s="33"/>
      <c r="L33" s="33">
        <f>IF(INT(I33)&gt;='3월 등급 정보'!$D$3,1,IF(INT(I33)&gt;='3월 등급 정보'!$D$4,2,IF(INT(I33)&gt;='3월 등급 정보'!$D$5,3,IF(INT(I33)&gt;='3월 등급 정보'!$D$6,4,IF(INT(I33)&gt;='3월 등급 정보'!$D$7,5,IF(INT(I33)&gt;='3월 등급 정보'!$D$8,6,IF(INT(I33)&gt;='3월 등급 정보'!$D$9,7,IF(INT(I33)&gt;='3월 등급 정보'!$D$10,8,IF(INT(I33)&gt;='3월 등급 정보'!$D$11,9)))))))))</f>
        <v>3</v>
      </c>
      <c r="M33" s="34">
        <v>75</v>
      </c>
      <c r="N33" s="33"/>
      <c r="O33" s="33"/>
      <c r="P33" s="33">
        <f>IF(INT(M33)&gt;='3월 등급 정보'!$E$3,1,IF(INT(M33)&gt;='3월 등급 정보'!$E$4,2,IF(INT(M33)&gt;='3월 등급 정보'!$E$5,3,IF(INT(M33)&gt;='3월 등급 정보'!$E$6,4,IF(INT(M33)&gt;='3월 등급 정보'!$E$7,5,IF(INT(M33)&gt;='3월 등급 정보'!$E$8,6,IF(INT(M33)&gt;='3월 등급 정보'!$E$9,7,IF(INT(M33)&gt;='3월 등급 정보'!$E$10,8,IF(INT(M33)&gt;='3월 등급 정보'!$E$11,9)))))))))</f>
        <v>3</v>
      </c>
      <c r="Q33" s="34">
        <v>37.5</v>
      </c>
      <c r="R33" s="33"/>
      <c r="S33" s="33"/>
      <c r="T33" s="33">
        <f>IF(INT(Q33)&gt;='3월 등급 정보'!$F$3,1,IF(INT(Q33)&gt;='3월 등급 정보'!$F$4,2,IF(INT(Q33)&gt;='3월 등급 정보'!$F$5,3,IF(INT(Q33)&gt;='3월 등급 정보'!$F$6,4,IF(INT(Q33)&gt;='3월 등급 정보'!$F$7,5,IF(INT(Q33)&gt;='3월 등급 정보'!$F$8,6,IF(INT(Q33)&gt;='3월 등급 정보'!$F$9,7,IF(INT(Q33)&gt;='3월 등급 정보'!$F$10,8,IF(INT(Q33)&gt;='3월 등급 정보'!$F$11,9)))))))))</f>
        <v>4</v>
      </c>
      <c r="U33" s="34">
        <v>35</v>
      </c>
      <c r="V33" s="33"/>
      <c r="W33" s="33"/>
      <c r="X33" s="33">
        <f>IF(INT(U33)&gt;='3월 등급 정보'!$G$3,1,IF(INT(U33)&gt;='3월 등급 정보'!$G$4,2,IF(INT(U33)&gt;='3월 등급 정보'!$G$5,3,IF(INT(U33)&gt;='3월 등급 정보'!$G$6,4,IF(INT(U33)&gt;='3월 등급 정보'!$G$7,5,IF(INT(U33)&gt;='3월 등급 정보'!$G$8,6,IF(INT(U33)&gt;='3월 등급 정보'!$G$9,7,IF(INT(U33)&gt;='3월 등급 정보'!$G$10,8,IF(INT(U33)&gt;='3월 등급 정보'!$G$11,9)))))))))</f>
        <v>3</v>
      </c>
      <c r="Y33" s="34">
        <v>37</v>
      </c>
      <c r="Z33" s="33"/>
      <c r="AA33" s="33"/>
      <c r="AB33" s="33">
        <f>IF(INT(Y33)&gt;='3월 등급 정보'!$H$3,1,IF(INT(Y33)&gt;='3월 등급 정보'!$H$4,2,IF(INT(Y33)&gt;='3월 등급 정보'!$H$5,3,IF(INT(Y33)&gt;='3월 등급 정보'!$H$6,4,IF(INT(Y33)&gt;='3월 등급 정보'!$H$7,5,IF(INT(Y33)&gt;='3월 등급 정보'!$H$8,6,IF(INT(Y33)&gt;='3월 등급 정보'!$H$9,7,IF(INT(Y33)&gt;='3월 등급 정보'!$H$10,8,IF(INT(Y33)&gt;='3월 등급 정보'!$H$11,9)))))))))</f>
        <v>2</v>
      </c>
      <c r="AC33" s="33">
        <f>E33+I33+M33+Q33+U33</f>
        <v>302.5</v>
      </c>
      <c r="AD33" s="33">
        <f>RANK(AC33,$AC$3:$AC$273)</f>
        <v>31</v>
      </c>
    </row>
    <row r="34" spans="1:30" ht="17.25" customHeight="1">
      <c r="A34" s="33" t="s">
        <v>26</v>
      </c>
      <c r="B34" s="34">
        <v>4</v>
      </c>
      <c r="C34" s="34">
        <v>4</v>
      </c>
      <c r="D34" s="34" t="s">
        <v>109</v>
      </c>
      <c r="E34" s="34">
        <v>82</v>
      </c>
      <c r="F34" s="33"/>
      <c r="G34" s="33"/>
      <c r="H34" s="33">
        <f>IF(INT(E34)&gt;='3월 등급 정보'!$C$3,1,IF(INT(E34)&gt;='3월 등급 정보'!$C$4,2,IF(INT(E34)&gt;='3월 등급 정보'!$C$5,3,IF(INT(E34)&gt;='3월 등급 정보'!$C$6,4,IF(INT(E34)&gt;='3월 등급 정보'!$C$7,5,IF(INT(E34)&gt;='3월 등급 정보'!$C$8,6,IF(INT(E34)&gt;='3월 등급 정보'!$C$9,7,IF(INT(E34)&gt;='3월 등급 정보'!$C$10,8,IF(INT(E34)&gt;='3월 등급 정보'!$C$11,9)))))))))</f>
        <v>2</v>
      </c>
      <c r="I34" s="34">
        <v>50</v>
      </c>
      <c r="J34" s="33"/>
      <c r="K34" s="33"/>
      <c r="L34" s="33">
        <f>IF(INT(I34)&gt;='3월 등급 정보'!$D$3,1,IF(INT(I34)&gt;='3월 등급 정보'!$D$4,2,IF(INT(I34)&gt;='3월 등급 정보'!$D$5,3,IF(INT(I34)&gt;='3월 등급 정보'!$D$6,4,IF(INT(I34)&gt;='3월 등급 정보'!$D$7,5,IF(INT(I34)&gt;='3월 등급 정보'!$D$8,6,IF(INT(I34)&gt;='3월 등급 정보'!$D$9,7,IF(INT(I34)&gt;='3월 등급 정보'!$D$10,8,IF(INT(I34)&gt;='3월 등급 정보'!$D$11,9)))))))))</f>
        <v>4</v>
      </c>
      <c r="M34" s="34">
        <v>74</v>
      </c>
      <c r="N34" s="33"/>
      <c r="O34" s="33"/>
      <c r="P34" s="33">
        <f>IF(INT(M34)&gt;='3월 등급 정보'!$E$3,1,IF(INT(M34)&gt;='3월 등급 정보'!$E$4,2,IF(INT(M34)&gt;='3월 등급 정보'!$E$5,3,IF(INT(M34)&gt;='3월 등급 정보'!$E$6,4,IF(INT(M34)&gt;='3월 등급 정보'!$E$7,5,IF(INT(M34)&gt;='3월 등급 정보'!$E$8,6,IF(INT(M34)&gt;='3월 등급 정보'!$E$9,7,IF(INT(M34)&gt;='3월 등급 정보'!$E$10,8,IF(INT(M34)&gt;='3월 등급 정보'!$E$11,9)))))))))</f>
        <v>3</v>
      </c>
      <c r="Q34" s="34">
        <v>50</v>
      </c>
      <c r="R34" s="33"/>
      <c r="S34" s="33"/>
      <c r="T34" s="33">
        <f>IF(INT(Q34)&gt;='3월 등급 정보'!$F$3,1,IF(INT(Q34)&gt;='3월 등급 정보'!$F$4,2,IF(INT(Q34)&gt;='3월 등급 정보'!$F$5,3,IF(INT(Q34)&gt;='3월 등급 정보'!$F$6,4,IF(INT(Q34)&gt;='3월 등급 정보'!$F$7,5,IF(INT(Q34)&gt;='3월 등급 정보'!$F$8,6,IF(INT(Q34)&gt;='3월 등급 정보'!$F$9,7,IF(INT(Q34)&gt;='3월 등급 정보'!$F$10,8,IF(INT(Q34)&gt;='3월 등급 정보'!$F$11,9)))))))))</f>
        <v>1</v>
      </c>
      <c r="U34" s="34">
        <v>45.5</v>
      </c>
      <c r="V34" s="33"/>
      <c r="W34" s="33"/>
      <c r="X34" s="33">
        <f>IF(INT(U34)&gt;='3월 등급 정보'!$G$3,1,IF(INT(U34)&gt;='3월 등급 정보'!$G$4,2,IF(INT(U34)&gt;='3월 등급 정보'!$G$5,3,IF(INT(U34)&gt;='3월 등급 정보'!$G$6,4,IF(INT(U34)&gt;='3월 등급 정보'!$G$7,5,IF(INT(U34)&gt;='3월 등급 정보'!$G$8,6,IF(INT(U34)&gt;='3월 등급 정보'!$G$9,7,IF(INT(U34)&gt;='3월 등급 정보'!$G$10,8,IF(INT(U34)&gt;='3월 등급 정보'!$G$11,9)))))))))</f>
        <v>1</v>
      </c>
      <c r="Y34" s="34">
        <v>45</v>
      </c>
      <c r="Z34" s="33"/>
      <c r="AA34" s="33"/>
      <c r="AB34" s="33">
        <f>IF(INT(Y34)&gt;='3월 등급 정보'!$H$3,1,IF(INT(Y34)&gt;='3월 등급 정보'!$H$4,2,IF(INT(Y34)&gt;='3월 등급 정보'!$H$5,3,IF(INT(Y34)&gt;='3월 등급 정보'!$H$6,4,IF(INT(Y34)&gt;='3월 등급 정보'!$H$7,5,IF(INT(Y34)&gt;='3월 등급 정보'!$H$8,6,IF(INT(Y34)&gt;='3월 등급 정보'!$H$9,7,IF(INT(Y34)&gt;='3월 등급 정보'!$H$10,8,IF(INT(Y34)&gt;='3월 등급 정보'!$H$11,9)))))))))</f>
        <v>1</v>
      </c>
      <c r="AC34" s="33">
        <f>E34+I34+M34+Q34+U34</f>
        <v>301.5</v>
      </c>
      <c r="AD34" s="33">
        <f>RANK(AC34,$AC$3:$AC$273)</f>
        <v>32</v>
      </c>
    </row>
    <row r="35" spans="1:30" ht="17.25" customHeight="1">
      <c r="A35" s="33" t="s">
        <v>26</v>
      </c>
      <c r="B35" s="34">
        <v>6</v>
      </c>
      <c r="C35" s="34">
        <v>13</v>
      </c>
      <c r="D35" s="34" t="s">
        <v>171</v>
      </c>
      <c r="E35" s="34">
        <v>85</v>
      </c>
      <c r="F35" s="33"/>
      <c r="G35" s="33"/>
      <c r="H35" s="33">
        <f>IF(INT(E35)&gt;='3월 등급 정보'!$C$3,1,IF(INT(E35)&gt;='3월 등급 정보'!$C$4,2,IF(INT(E35)&gt;='3월 등급 정보'!$C$5,3,IF(INT(E35)&gt;='3월 등급 정보'!$C$6,4,IF(INT(E35)&gt;='3월 등급 정보'!$C$7,5,IF(INT(E35)&gt;='3월 등급 정보'!$C$8,6,IF(INT(E35)&gt;='3월 등급 정보'!$C$9,7,IF(INT(E35)&gt;='3월 등급 정보'!$C$10,8,IF(INT(E35)&gt;='3월 등급 정보'!$C$11,9)))))))))</f>
        <v>2</v>
      </c>
      <c r="I35" s="34">
        <v>60</v>
      </c>
      <c r="J35" s="33"/>
      <c r="K35" s="33"/>
      <c r="L35" s="33">
        <f>IF(INT(I35)&gt;='3월 등급 정보'!$D$3,1,IF(INT(I35)&gt;='3월 등급 정보'!$D$4,2,IF(INT(I35)&gt;='3월 등급 정보'!$D$5,3,IF(INT(I35)&gt;='3월 등급 정보'!$D$6,4,IF(INT(I35)&gt;='3월 등급 정보'!$D$7,5,IF(INT(I35)&gt;='3월 등급 정보'!$D$8,6,IF(INT(I35)&gt;='3월 등급 정보'!$D$9,7,IF(INT(I35)&gt;='3월 등급 정보'!$D$10,8,IF(INT(I35)&gt;='3월 등급 정보'!$D$11,9)))))))))</f>
        <v>4</v>
      </c>
      <c r="M35" s="34">
        <v>78</v>
      </c>
      <c r="N35" s="33"/>
      <c r="O35" s="33"/>
      <c r="P35" s="33">
        <f>IF(INT(M35)&gt;='3월 등급 정보'!$E$3,1,IF(INT(M35)&gt;='3월 등급 정보'!$E$4,2,IF(INT(M35)&gt;='3월 등급 정보'!$E$5,3,IF(INT(M35)&gt;='3월 등급 정보'!$E$6,4,IF(INT(M35)&gt;='3월 등급 정보'!$E$7,5,IF(INT(M35)&gt;='3월 등급 정보'!$E$8,6,IF(INT(M35)&gt;='3월 등급 정보'!$E$9,7,IF(INT(M35)&gt;='3월 등급 정보'!$E$10,8,IF(INT(M35)&gt;='3월 등급 정보'!$E$11,9)))))))))</f>
        <v>3</v>
      </c>
      <c r="Q35" s="34">
        <v>40</v>
      </c>
      <c r="R35" s="33"/>
      <c r="S35" s="33"/>
      <c r="T35" s="33">
        <f>IF(INT(Q35)&gt;='3월 등급 정보'!$F$3,1,IF(INT(Q35)&gt;='3월 등급 정보'!$F$4,2,IF(INT(Q35)&gt;='3월 등급 정보'!$F$5,3,IF(INT(Q35)&gt;='3월 등급 정보'!$F$6,4,IF(INT(Q35)&gt;='3월 등급 정보'!$F$7,5,IF(INT(Q35)&gt;='3월 등급 정보'!$F$8,6,IF(INT(Q35)&gt;='3월 등급 정보'!$F$9,7,IF(INT(Q35)&gt;='3월 등급 정보'!$F$10,8,IF(INT(Q35)&gt;='3월 등급 정보'!$F$11,9)))))))))</f>
        <v>3</v>
      </c>
      <c r="U35" s="34">
        <v>37</v>
      </c>
      <c r="V35" s="33"/>
      <c r="W35" s="33"/>
      <c r="X35" s="33">
        <f>IF(INT(U35)&gt;='3월 등급 정보'!$G$3,1,IF(INT(U35)&gt;='3월 등급 정보'!$G$4,2,IF(INT(U35)&gt;='3월 등급 정보'!$G$5,3,IF(INT(U35)&gt;='3월 등급 정보'!$G$6,4,IF(INT(U35)&gt;='3월 등급 정보'!$G$7,5,IF(INT(U35)&gt;='3월 등급 정보'!$G$8,6,IF(INT(U35)&gt;='3월 등급 정보'!$G$9,7,IF(INT(U35)&gt;='3월 등급 정보'!$G$10,8,IF(INT(U35)&gt;='3월 등급 정보'!$G$11,9)))))))))</f>
        <v>3</v>
      </c>
      <c r="Y35" s="34">
        <v>29</v>
      </c>
      <c r="Z35" s="33"/>
      <c r="AA35" s="33"/>
      <c r="AB35" s="33">
        <f>IF(INT(Y35)&gt;='3월 등급 정보'!$H$3,1,IF(INT(Y35)&gt;='3월 등급 정보'!$H$4,2,IF(INT(Y35)&gt;='3월 등급 정보'!$H$5,3,IF(INT(Y35)&gt;='3월 등급 정보'!$H$6,4,IF(INT(Y35)&gt;='3월 등급 정보'!$H$7,5,IF(INT(Y35)&gt;='3월 등급 정보'!$H$8,6,IF(INT(Y35)&gt;='3월 등급 정보'!$H$9,7,IF(INT(Y35)&gt;='3월 등급 정보'!$H$10,8,IF(INT(Y35)&gt;='3월 등급 정보'!$H$11,9)))))))))</f>
        <v>4</v>
      </c>
      <c r="AC35" s="33">
        <f>E35+I35+M35+Q35+U35</f>
        <v>300</v>
      </c>
      <c r="AD35" s="33">
        <f>RANK(AC35,$AC$3:$AC$273)</f>
        <v>33</v>
      </c>
    </row>
    <row r="36" spans="1:30" ht="17.25" customHeight="1">
      <c r="A36" s="33" t="s">
        <v>26</v>
      </c>
      <c r="B36" s="34">
        <v>3</v>
      </c>
      <c r="C36" s="34">
        <v>4</v>
      </c>
      <c r="D36" s="34" t="s">
        <v>83</v>
      </c>
      <c r="E36" s="34">
        <v>74</v>
      </c>
      <c r="F36" s="33"/>
      <c r="G36" s="33"/>
      <c r="H36" s="33">
        <f>IF(INT(E36)&gt;='3월 등급 정보'!$C$3,1,IF(INT(E36)&gt;='3월 등급 정보'!$C$4,2,IF(INT(E36)&gt;='3월 등급 정보'!$C$5,3,IF(INT(E36)&gt;='3월 등급 정보'!$C$6,4,IF(INT(E36)&gt;='3월 등급 정보'!$C$7,5,IF(INT(E36)&gt;='3월 등급 정보'!$C$8,6,IF(INT(E36)&gt;='3월 등급 정보'!$C$9,7,IF(INT(E36)&gt;='3월 등급 정보'!$C$10,8,IF(INT(E36)&gt;='3월 등급 정보'!$C$11,9)))))))))</f>
        <v>3</v>
      </c>
      <c r="I36" s="34">
        <v>68</v>
      </c>
      <c r="J36" s="33"/>
      <c r="K36" s="33"/>
      <c r="L36" s="33">
        <f>IF(INT(I36)&gt;='3월 등급 정보'!$D$3,1,IF(INT(I36)&gt;='3월 등급 정보'!$D$4,2,IF(INT(I36)&gt;='3월 등급 정보'!$D$5,3,IF(INT(I36)&gt;='3월 등급 정보'!$D$6,4,IF(INT(I36)&gt;='3월 등급 정보'!$D$7,5,IF(INT(I36)&gt;='3월 등급 정보'!$D$8,6,IF(INT(I36)&gt;='3월 등급 정보'!$D$9,7,IF(INT(I36)&gt;='3월 등급 정보'!$D$10,8,IF(INT(I36)&gt;='3월 등급 정보'!$D$11,9)))))))))</f>
        <v>3</v>
      </c>
      <c r="M36" s="34">
        <v>73</v>
      </c>
      <c r="N36" s="33"/>
      <c r="O36" s="33"/>
      <c r="P36" s="33">
        <f>IF(INT(M36)&gt;='3월 등급 정보'!$E$3,1,IF(INT(M36)&gt;='3월 등급 정보'!$E$4,2,IF(INT(M36)&gt;='3월 등급 정보'!$E$5,3,IF(INT(M36)&gt;='3월 등급 정보'!$E$6,4,IF(INT(M36)&gt;='3월 등급 정보'!$E$7,5,IF(INT(M36)&gt;='3월 등급 정보'!$E$8,6,IF(INT(M36)&gt;='3월 등급 정보'!$E$9,7,IF(INT(M36)&gt;='3월 등급 정보'!$E$10,8,IF(INT(M36)&gt;='3월 등급 정보'!$E$11,9)))))))))</f>
        <v>3</v>
      </c>
      <c r="Q36" s="34">
        <v>48</v>
      </c>
      <c r="R36" s="33"/>
      <c r="S36" s="33"/>
      <c r="T36" s="33">
        <f>IF(INT(Q36)&gt;='3월 등급 정보'!$F$3,1,IF(INT(Q36)&gt;='3월 등급 정보'!$F$4,2,IF(INT(Q36)&gt;='3월 등급 정보'!$F$5,3,IF(INT(Q36)&gt;='3월 등급 정보'!$F$6,4,IF(INT(Q36)&gt;='3월 등급 정보'!$F$7,5,IF(INT(Q36)&gt;='3월 등급 정보'!$F$8,6,IF(INT(Q36)&gt;='3월 등급 정보'!$F$9,7,IF(INT(Q36)&gt;='3월 등급 정보'!$F$10,8,IF(INT(Q36)&gt;='3월 등급 정보'!$F$11,9)))))))))</f>
        <v>1</v>
      </c>
      <c r="U36" s="34">
        <v>36.5</v>
      </c>
      <c r="V36" s="33"/>
      <c r="W36" s="33"/>
      <c r="X36" s="33">
        <f>IF(INT(U36)&gt;='3월 등급 정보'!$G$3,1,IF(INT(U36)&gt;='3월 등급 정보'!$G$4,2,IF(INT(U36)&gt;='3월 등급 정보'!$G$5,3,IF(INT(U36)&gt;='3월 등급 정보'!$G$6,4,IF(INT(U36)&gt;='3월 등급 정보'!$G$7,5,IF(INT(U36)&gt;='3월 등급 정보'!$G$8,6,IF(INT(U36)&gt;='3월 등급 정보'!$G$9,7,IF(INT(U36)&gt;='3월 등급 정보'!$G$10,8,IF(INT(U36)&gt;='3월 등급 정보'!$G$11,9)))))))))</f>
        <v>3</v>
      </c>
      <c r="Y36" s="34">
        <v>45</v>
      </c>
      <c r="Z36" s="33"/>
      <c r="AA36" s="33"/>
      <c r="AB36" s="33">
        <f>IF(INT(Y36)&gt;='3월 등급 정보'!$H$3,1,IF(INT(Y36)&gt;='3월 등급 정보'!$H$4,2,IF(INT(Y36)&gt;='3월 등급 정보'!$H$5,3,IF(INT(Y36)&gt;='3월 등급 정보'!$H$6,4,IF(INT(Y36)&gt;='3월 등급 정보'!$H$7,5,IF(INT(Y36)&gt;='3월 등급 정보'!$H$8,6,IF(INT(Y36)&gt;='3월 등급 정보'!$H$9,7,IF(INT(Y36)&gt;='3월 등급 정보'!$H$10,8,IF(INT(Y36)&gt;='3월 등급 정보'!$H$11,9)))))))))</f>
        <v>1</v>
      </c>
      <c r="AC36" s="33">
        <f>E36+I36+M36+Q36+U36</f>
        <v>299.5</v>
      </c>
      <c r="AD36" s="33">
        <f>RANK(AC36,$AC$3:$AC$273)</f>
        <v>34</v>
      </c>
    </row>
    <row r="37" spans="1:30" ht="17.25" customHeight="1">
      <c r="A37" s="33" t="s">
        <v>26</v>
      </c>
      <c r="B37" s="34">
        <v>9</v>
      </c>
      <c r="C37" s="34">
        <v>25</v>
      </c>
      <c r="D37" s="34" t="s">
        <v>262</v>
      </c>
      <c r="E37" s="34">
        <v>84</v>
      </c>
      <c r="F37" s="33"/>
      <c r="G37" s="33"/>
      <c r="H37" s="33">
        <f>IF(INT(E37)&gt;='3월 등급 정보'!$C$3,1,IF(INT(E37)&gt;='3월 등급 정보'!$C$4,2,IF(INT(E37)&gt;='3월 등급 정보'!$C$5,3,IF(INT(E37)&gt;='3월 등급 정보'!$C$6,4,IF(INT(E37)&gt;='3월 등급 정보'!$C$7,5,IF(INT(E37)&gt;='3월 등급 정보'!$C$8,6,IF(INT(E37)&gt;='3월 등급 정보'!$C$9,7,IF(INT(E37)&gt;='3월 등급 정보'!$C$10,8,IF(INT(E37)&gt;='3월 등급 정보'!$C$11,9)))))))))</f>
        <v>2</v>
      </c>
      <c r="I37" s="34">
        <v>68</v>
      </c>
      <c r="J37" s="33"/>
      <c r="K37" s="33"/>
      <c r="L37" s="33">
        <f>IF(INT(I37)&gt;='3월 등급 정보'!$D$3,1,IF(INT(I37)&gt;='3월 등급 정보'!$D$4,2,IF(INT(I37)&gt;='3월 등급 정보'!$D$5,3,IF(INT(I37)&gt;='3월 등급 정보'!$D$6,4,IF(INT(I37)&gt;='3월 등급 정보'!$D$7,5,IF(INT(I37)&gt;='3월 등급 정보'!$D$8,6,IF(INT(I37)&gt;='3월 등급 정보'!$D$9,7,IF(INT(I37)&gt;='3월 등급 정보'!$D$10,8,IF(INT(I37)&gt;='3월 등급 정보'!$D$11,9)))))))))</f>
        <v>3</v>
      </c>
      <c r="M37" s="34">
        <v>71</v>
      </c>
      <c r="N37" s="33"/>
      <c r="O37" s="33"/>
      <c r="P37" s="33">
        <f>IF(INT(M37)&gt;='3월 등급 정보'!$E$3,1,IF(INT(M37)&gt;='3월 등급 정보'!$E$4,2,IF(INT(M37)&gt;='3월 등급 정보'!$E$5,3,IF(INT(M37)&gt;='3월 등급 정보'!$E$6,4,IF(INT(M37)&gt;='3월 등급 정보'!$E$7,5,IF(INT(M37)&gt;='3월 등급 정보'!$E$8,6,IF(INT(M37)&gt;='3월 등급 정보'!$E$9,7,IF(INT(M37)&gt;='3월 등급 정보'!$E$10,8,IF(INT(M37)&gt;='3월 등급 정보'!$E$11,9)))))))))</f>
        <v>3</v>
      </c>
      <c r="Q37" s="34">
        <v>35</v>
      </c>
      <c r="R37" s="33"/>
      <c r="S37" s="33"/>
      <c r="T37" s="33">
        <f>IF(INT(Q37)&gt;='3월 등급 정보'!$F$3,1,IF(INT(Q37)&gt;='3월 등급 정보'!$F$4,2,IF(INT(Q37)&gt;='3월 등급 정보'!$F$5,3,IF(INT(Q37)&gt;='3월 등급 정보'!$F$6,4,IF(INT(Q37)&gt;='3월 등급 정보'!$F$7,5,IF(INT(Q37)&gt;='3월 등급 정보'!$F$8,6,IF(INT(Q37)&gt;='3월 등급 정보'!$F$9,7,IF(INT(Q37)&gt;='3월 등급 정보'!$F$10,8,IF(INT(Q37)&gt;='3월 등급 정보'!$F$11,9)))))))))</f>
        <v>4</v>
      </c>
      <c r="U37" s="34">
        <v>40.5</v>
      </c>
      <c r="V37" s="33"/>
      <c r="W37" s="33"/>
      <c r="X37" s="33">
        <f>IF(INT(U37)&gt;='3월 등급 정보'!$G$3,1,IF(INT(U37)&gt;='3월 등급 정보'!$G$4,2,IF(INT(U37)&gt;='3월 등급 정보'!$G$5,3,IF(INT(U37)&gt;='3월 등급 정보'!$G$6,4,IF(INT(U37)&gt;='3월 등급 정보'!$G$7,5,IF(INT(U37)&gt;='3월 등급 정보'!$G$8,6,IF(INT(U37)&gt;='3월 등급 정보'!$G$9,7,IF(INT(U37)&gt;='3월 등급 정보'!$G$10,8,IF(INT(U37)&gt;='3월 등급 정보'!$G$11,9)))))))))</f>
        <v>2</v>
      </c>
      <c r="Y37" s="34">
        <v>43</v>
      </c>
      <c r="Z37" s="33"/>
      <c r="AA37" s="33"/>
      <c r="AB37" s="33">
        <f>IF(INT(Y37)&gt;='3월 등급 정보'!$H$3,1,IF(INT(Y37)&gt;='3월 등급 정보'!$H$4,2,IF(INT(Y37)&gt;='3월 등급 정보'!$H$5,3,IF(INT(Y37)&gt;='3월 등급 정보'!$H$6,4,IF(INT(Y37)&gt;='3월 등급 정보'!$H$7,5,IF(INT(Y37)&gt;='3월 등급 정보'!$H$8,6,IF(INT(Y37)&gt;='3월 등급 정보'!$H$9,7,IF(INT(Y37)&gt;='3월 등급 정보'!$H$10,8,IF(INT(Y37)&gt;='3월 등급 정보'!$H$11,9)))))))))</f>
        <v>1</v>
      </c>
      <c r="AC37" s="33">
        <f>E37+I37+M37+Q37+U37</f>
        <v>298.5</v>
      </c>
      <c r="AD37" s="33">
        <f>RANK(AC37,$AC$3:$AC$273)</f>
        <v>35</v>
      </c>
    </row>
    <row r="38" spans="1:30" ht="17.25" customHeight="1">
      <c r="A38" s="33" t="s">
        <v>26</v>
      </c>
      <c r="B38" s="34">
        <v>1</v>
      </c>
      <c r="C38" s="34">
        <v>20</v>
      </c>
      <c r="D38" s="34" t="s">
        <v>47</v>
      </c>
      <c r="E38" s="34">
        <v>77</v>
      </c>
      <c r="F38" s="33"/>
      <c r="G38" s="33"/>
      <c r="H38" s="33">
        <f>IF(INT(E38)&gt;='3월 등급 정보'!$C$3,1,IF(INT(E38)&gt;='3월 등급 정보'!$C$4,2,IF(INT(E38)&gt;='3월 등급 정보'!$C$5,3,IF(INT(E38)&gt;='3월 등급 정보'!$C$6,4,IF(INT(E38)&gt;='3월 등급 정보'!$C$7,5,IF(INT(E38)&gt;='3월 등급 정보'!$C$8,6,IF(INT(E38)&gt;='3월 등급 정보'!$C$9,7,IF(INT(E38)&gt;='3월 등급 정보'!$C$10,8,IF(INT(E38)&gt;='3월 등급 정보'!$C$11,9)))))))))</f>
        <v>3</v>
      </c>
      <c r="I38" s="34">
        <v>68</v>
      </c>
      <c r="J38" s="33"/>
      <c r="K38" s="33"/>
      <c r="L38" s="33">
        <f>IF(INT(I38)&gt;='3월 등급 정보'!$D$3,1,IF(INT(I38)&gt;='3월 등급 정보'!$D$4,2,IF(INT(I38)&gt;='3월 등급 정보'!$D$5,3,IF(INT(I38)&gt;='3월 등급 정보'!$D$6,4,IF(INT(I38)&gt;='3월 등급 정보'!$D$7,5,IF(INT(I38)&gt;='3월 등급 정보'!$D$8,6,IF(INT(I38)&gt;='3월 등급 정보'!$D$9,7,IF(INT(I38)&gt;='3월 등급 정보'!$D$10,8,IF(INT(I38)&gt;='3월 등급 정보'!$D$11,9)))))))))</f>
        <v>3</v>
      </c>
      <c r="M38" s="34">
        <v>69</v>
      </c>
      <c r="N38" s="33"/>
      <c r="O38" s="33"/>
      <c r="P38" s="33">
        <f>IF(INT(M38)&gt;='3월 등급 정보'!$E$3,1,IF(INT(M38)&gt;='3월 등급 정보'!$E$4,2,IF(INT(M38)&gt;='3월 등급 정보'!$E$5,3,IF(INT(M38)&gt;='3월 등급 정보'!$E$6,4,IF(INT(M38)&gt;='3월 등급 정보'!$E$7,5,IF(INT(M38)&gt;='3월 등급 정보'!$E$8,6,IF(INT(M38)&gt;='3월 등급 정보'!$E$9,7,IF(INT(M38)&gt;='3월 등급 정보'!$E$10,8,IF(INT(M38)&gt;='3월 등급 정보'!$E$11,9)))))))))</f>
        <v>4</v>
      </c>
      <c r="Q38" s="34">
        <v>41.5</v>
      </c>
      <c r="R38" s="33"/>
      <c r="S38" s="33"/>
      <c r="T38" s="33">
        <f>IF(INT(Q38)&gt;='3월 등급 정보'!$F$3,1,IF(INT(Q38)&gt;='3월 등급 정보'!$F$4,2,IF(INT(Q38)&gt;='3월 등급 정보'!$F$5,3,IF(INT(Q38)&gt;='3월 등급 정보'!$F$6,4,IF(INT(Q38)&gt;='3월 등급 정보'!$F$7,5,IF(INT(Q38)&gt;='3월 등급 정보'!$F$8,6,IF(INT(Q38)&gt;='3월 등급 정보'!$F$9,7,IF(INT(Q38)&gt;='3월 등급 정보'!$F$10,8,IF(INT(Q38)&gt;='3월 등급 정보'!$F$11,9)))))))))</f>
        <v>3</v>
      </c>
      <c r="U38" s="34">
        <v>42.5</v>
      </c>
      <c r="V38" s="33"/>
      <c r="W38" s="33"/>
      <c r="X38" s="33">
        <f>IF(INT(U38)&gt;='3월 등급 정보'!$G$3,1,IF(INT(U38)&gt;='3월 등급 정보'!$G$4,2,IF(INT(U38)&gt;='3월 등급 정보'!$G$5,3,IF(INT(U38)&gt;='3월 등급 정보'!$G$6,4,IF(INT(U38)&gt;='3월 등급 정보'!$G$7,5,IF(INT(U38)&gt;='3월 등급 정보'!$G$8,6,IF(INT(U38)&gt;='3월 등급 정보'!$G$9,7,IF(INT(U38)&gt;='3월 등급 정보'!$G$10,8,IF(INT(U38)&gt;='3월 등급 정보'!$G$11,9)))))))))</f>
        <v>2</v>
      </c>
      <c r="Y38" s="34">
        <v>37</v>
      </c>
      <c r="Z38" s="33"/>
      <c r="AA38" s="33"/>
      <c r="AB38" s="33">
        <f>IF(INT(Y38)&gt;='3월 등급 정보'!$H$3,1,IF(INT(Y38)&gt;='3월 등급 정보'!$H$4,2,IF(INT(Y38)&gt;='3월 등급 정보'!$H$5,3,IF(INT(Y38)&gt;='3월 등급 정보'!$H$6,4,IF(INT(Y38)&gt;='3월 등급 정보'!$H$7,5,IF(INT(Y38)&gt;='3월 등급 정보'!$H$8,6,IF(INT(Y38)&gt;='3월 등급 정보'!$H$9,7,IF(INT(Y38)&gt;='3월 등급 정보'!$H$10,8,IF(INT(Y38)&gt;='3월 등급 정보'!$H$11,9)))))))))</f>
        <v>2</v>
      </c>
      <c r="AC38" s="33">
        <f>E38+I38+M38+Q38+U38</f>
        <v>298</v>
      </c>
      <c r="AD38" s="33">
        <f>RANK(AC38,$AC$3:$AC$273)</f>
        <v>36</v>
      </c>
    </row>
    <row r="39" spans="1:30" ht="17.25" customHeight="1">
      <c r="A39" s="33" t="s">
        <v>26</v>
      </c>
      <c r="B39" s="34">
        <v>5</v>
      </c>
      <c r="C39" s="34">
        <v>1</v>
      </c>
      <c r="D39" s="34" t="s">
        <v>133</v>
      </c>
      <c r="E39" s="34">
        <v>73</v>
      </c>
      <c r="F39" s="33"/>
      <c r="G39" s="33"/>
      <c r="H39" s="33">
        <f>IF(INT(E39)&gt;='3월 등급 정보'!$C$3,1,IF(INT(E39)&gt;='3월 등급 정보'!$C$4,2,IF(INT(E39)&gt;='3월 등급 정보'!$C$5,3,IF(INT(E39)&gt;='3월 등급 정보'!$C$6,4,IF(INT(E39)&gt;='3월 등급 정보'!$C$7,5,IF(INT(E39)&gt;='3월 등급 정보'!$C$8,6,IF(INT(E39)&gt;='3월 등급 정보'!$C$9,7,IF(INT(E39)&gt;='3월 등급 정보'!$C$10,8,IF(INT(E39)&gt;='3월 등급 정보'!$C$11,9)))))))))</f>
        <v>3</v>
      </c>
      <c r="I39" s="34">
        <v>64</v>
      </c>
      <c r="J39" s="33"/>
      <c r="K39" s="33"/>
      <c r="L39" s="33">
        <f>IF(INT(I39)&gt;='3월 등급 정보'!$D$3,1,IF(INT(I39)&gt;='3월 등급 정보'!$D$4,2,IF(INT(I39)&gt;='3월 등급 정보'!$D$5,3,IF(INT(I39)&gt;='3월 등급 정보'!$D$6,4,IF(INT(I39)&gt;='3월 등급 정보'!$D$7,5,IF(INT(I39)&gt;='3월 등급 정보'!$D$8,6,IF(INT(I39)&gt;='3월 등급 정보'!$D$9,7,IF(INT(I39)&gt;='3월 등급 정보'!$D$10,8,IF(INT(I39)&gt;='3월 등급 정보'!$D$11,9)))))))))</f>
        <v>3</v>
      </c>
      <c r="M39" s="34">
        <v>79</v>
      </c>
      <c r="N39" s="33"/>
      <c r="O39" s="33"/>
      <c r="P39" s="33">
        <f>IF(INT(M39)&gt;='3월 등급 정보'!$E$3,1,IF(INT(M39)&gt;='3월 등급 정보'!$E$4,2,IF(INT(M39)&gt;='3월 등급 정보'!$E$5,3,IF(INT(M39)&gt;='3월 등급 정보'!$E$6,4,IF(INT(M39)&gt;='3월 등급 정보'!$E$7,5,IF(INT(M39)&gt;='3월 등급 정보'!$E$8,6,IF(INT(M39)&gt;='3월 등급 정보'!$E$9,7,IF(INT(M39)&gt;='3월 등급 정보'!$E$10,8,IF(INT(M39)&gt;='3월 등급 정보'!$E$11,9)))))))))</f>
        <v>3</v>
      </c>
      <c r="Q39" s="34">
        <v>42</v>
      </c>
      <c r="R39" s="33"/>
      <c r="S39" s="33"/>
      <c r="T39" s="33">
        <f>IF(INT(Q39)&gt;='3월 등급 정보'!$F$3,1,IF(INT(Q39)&gt;='3월 등급 정보'!$F$4,2,IF(INT(Q39)&gt;='3월 등급 정보'!$F$5,3,IF(INT(Q39)&gt;='3월 등급 정보'!$F$6,4,IF(INT(Q39)&gt;='3월 등급 정보'!$F$7,5,IF(INT(Q39)&gt;='3월 등급 정보'!$F$8,6,IF(INT(Q39)&gt;='3월 등급 정보'!$F$9,7,IF(INT(Q39)&gt;='3월 등급 정보'!$F$10,8,IF(INT(Q39)&gt;='3월 등급 정보'!$F$11,9)))))))))</f>
        <v>3</v>
      </c>
      <c r="U39" s="34">
        <v>40</v>
      </c>
      <c r="V39" s="33"/>
      <c r="W39" s="33"/>
      <c r="X39" s="33">
        <f>IF(INT(U39)&gt;='3월 등급 정보'!$G$3,1,IF(INT(U39)&gt;='3월 등급 정보'!$G$4,2,IF(INT(U39)&gt;='3월 등급 정보'!$G$5,3,IF(INT(U39)&gt;='3월 등급 정보'!$G$6,4,IF(INT(U39)&gt;='3월 등급 정보'!$G$7,5,IF(INT(U39)&gt;='3월 등급 정보'!$G$8,6,IF(INT(U39)&gt;='3월 등급 정보'!$G$9,7,IF(INT(U39)&gt;='3월 등급 정보'!$G$10,8,IF(INT(U39)&gt;='3월 등급 정보'!$G$11,9)))))))))</f>
        <v>2</v>
      </c>
      <c r="Y39" s="34">
        <v>37</v>
      </c>
      <c r="Z39" s="33"/>
      <c r="AA39" s="33"/>
      <c r="AB39" s="33">
        <f>IF(INT(Y39)&gt;='3월 등급 정보'!$H$3,1,IF(INT(Y39)&gt;='3월 등급 정보'!$H$4,2,IF(INT(Y39)&gt;='3월 등급 정보'!$H$5,3,IF(INT(Y39)&gt;='3월 등급 정보'!$H$6,4,IF(INT(Y39)&gt;='3월 등급 정보'!$H$7,5,IF(INT(Y39)&gt;='3월 등급 정보'!$H$8,6,IF(INT(Y39)&gt;='3월 등급 정보'!$H$9,7,IF(INT(Y39)&gt;='3월 등급 정보'!$H$10,8,IF(INT(Y39)&gt;='3월 등급 정보'!$H$11,9)))))))))</f>
        <v>2</v>
      </c>
      <c r="AC39" s="33">
        <f>E39+I39+M39+Q39+U39</f>
        <v>298</v>
      </c>
      <c r="AD39" s="33">
        <f>RANK(AC39,$AC$3:$AC$273)</f>
        <v>36</v>
      </c>
    </row>
    <row r="40" spans="1:30" ht="17.25" customHeight="1">
      <c r="A40" s="33" t="s">
        <v>26</v>
      </c>
      <c r="B40" s="34">
        <v>1</v>
      </c>
      <c r="C40" s="34">
        <v>6</v>
      </c>
      <c r="D40" s="34" t="s">
        <v>33</v>
      </c>
      <c r="E40" s="34">
        <v>80</v>
      </c>
      <c r="F40" s="33"/>
      <c r="G40" s="33"/>
      <c r="H40" s="33">
        <f>IF(INT(E40)&gt;='3월 등급 정보'!$C$3,1,IF(INT(E40)&gt;='3월 등급 정보'!$C$4,2,IF(INT(E40)&gt;='3월 등급 정보'!$C$5,3,IF(INT(E40)&gt;='3월 등급 정보'!$C$6,4,IF(INT(E40)&gt;='3월 등급 정보'!$C$7,5,IF(INT(E40)&gt;='3월 등급 정보'!$C$8,6,IF(INT(E40)&gt;='3월 등급 정보'!$C$9,7,IF(INT(E40)&gt;='3월 등급 정보'!$C$10,8,IF(INT(E40)&gt;='3월 등급 정보'!$C$11,9)))))))))</f>
        <v>2</v>
      </c>
      <c r="I40" s="34">
        <v>59</v>
      </c>
      <c r="J40" s="33"/>
      <c r="K40" s="33"/>
      <c r="L40" s="33">
        <f>IF(INT(I40)&gt;='3월 등급 정보'!$D$3,1,IF(INT(I40)&gt;='3월 등급 정보'!$D$4,2,IF(INT(I40)&gt;='3월 등급 정보'!$D$5,3,IF(INT(I40)&gt;='3월 등급 정보'!$D$6,4,IF(INT(I40)&gt;='3월 등급 정보'!$D$7,5,IF(INT(I40)&gt;='3월 등급 정보'!$D$8,6,IF(INT(I40)&gt;='3월 등급 정보'!$D$9,7,IF(INT(I40)&gt;='3월 등급 정보'!$D$10,8,IF(INT(I40)&gt;='3월 등급 정보'!$D$11,9)))))))))</f>
        <v>4</v>
      </c>
      <c r="M40" s="34">
        <v>69</v>
      </c>
      <c r="N40" s="33"/>
      <c r="O40" s="33"/>
      <c r="P40" s="33">
        <f>IF(INT(M40)&gt;='3월 등급 정보'!$E$3,1,IF(INT(M40)&gt;='3월 등급 정보'!$E$4,2,IF(INT(M40)&gt;='3월 등급 정보'!$E$5,3,IF(INT(M40)&gt;='3월 등급 정보'!$E$6,4,IF(INT(M40)&gt;='3월 등급 정보'!$E$7,5,IF(INT(M40)&gt;='3월 등급 정보'!$E$8,6,IF(INT(M40)&gt;='3월 등급 정보'!$E$9,7,IF(INT(M40)&gt;='3월 등급 정보'!$E$10,8,IF(INT(M40)&gt;='3월 등급 정보'!$E$11,9)))))))))</f>
        <v>4</v>
      </c>
      <c r="Q40" s="34">
        <v>50</v>
      </c>
      <c r="R40" s="33"/>
      <c r="S40" s="33"/>
      <c r="T40" s="33">
        <f>IF(INT(Q40)&gt;='3월 등급 정보'!$F$3,1,IF(INT(Q40)&gt;='3월 등급 정보'!$F$4,2,IF(INT(Q40)&gt;='3월 등급 정보'!$F$5,3,IF(INT(Q40)&gt;='3월 등급 정보'!$F$6,4,IF(INT(Q40)&gt;='3월 등급 정보'!$F$7,5,IF(INT(Q40)&gt;='3월 등급 정보'!$F$8,6,IF(INT(Q40)&gt;='3월 등급 정보'!$F$9,7,IF(INT(Q40)&gt;='3월 등급 정보'!$F$10,8,IF(INT(Q40)&gt;='3월 등급 정보'!$F$11,9)))))))))</f>
        <v>1</v>
      </c>
      <c r="U40" s="34">
        <v>39</v>
      </c>
      <c r="V40" s="33"/>
      <c r="W40" s="33"/>
      <c r="X40" s="33">
        <f>IF(INT(U40)&gt;='3월 등급 정보'!$G$3,1,IF(INT(U40)&gt;='3월 등급 정보'!$G$4,2,IF(INT(U40)&gt;='3월 등급 정보'!$G$5,3,IF(INT(U40)&gt;='3월 등급 정보'!$G$6,4,IF(INT(U40)&gt;='3월 등급 정보'!$G$7,5,IF(INT(U40)&gt;='3월 등급 정보'!$G$8,6,IF(INT(U40)&gt;='3월 등급 정보'!$G$9,7,IF(INT(U40)&gt;='3월 등급 정보'!$G$10,8,IF(INT(U40)&gt;='3월 등급 정보'!$G$11,9)))))))))</f>
        <v>2</v>
      </c>
      <c r="Y40" s="34">
        <v>45</v>
      </c>
      <c r="Z40" s="33"/>
      <c r="AA40" s="33"/>
      <c r="AB40" s="33">
        <f>IF(INT(Y40)&gt;='3월 등급 정보'!$H$3,1,IF(INT(Y40)&gt;='3월 등급 정보'!$H$4,2,IF(INT(Y40)&gt;='3월 등급 정보'!$H$5,3,IF(INT(Y40)&gt;='3월 등급 정보'!$H$6,4,IF(INT(Y40)&gt;='3월 등급 정보'!$H$7,5,IF(INT(Y40)&gt;='3월 등급 정보'!$H$8,6,IF(INT(Y40)&gt;='3월 등급 정보'!$H$9,7,IF(INT(Y40)&gt;='3월 등급 정보'!$H$10,8,IF(INT(Y40)&gt;='3월 등급 정보'!$H$11,9)))))))))</f>
        <v>1</v>
      </c>
      <c r="AC40" s="33">
        <f>E40+I40+M40+Q40+U40</f>
        <v>297</v>
      </c>
      <c r="AD40" s="33">
        <f>RANK(AC40,$AC$3:$AC$273)</f>
        <v>38</v>
      </c>
    </row>
    <row r="41" spans="1:30" ht="17.25" customHeight="1">
      <c r="A41" s="33" t="s">
        <v>26</v>
      </c>
      <c r="B41" s="34">
        <v>5</v>
      </c>
      <c r="C41" s="34">
        <v>5</v>
      </c>
      <c r="D41" s="34" t="s">
        <v>136</v>
      </c>
      <c r="E41" s="34">
        <v>82</v>
      </c>
      <c r="F41" s="33"/>
      <c r="G41" s="33"/>
      <c r="H41" s="33">
        <f>IF(INT(E41)&gt;='3월 등급 정보'!$C$3,1,IF(INT(E41)&gt;='3월 등급 정보'!$C$4,2,IF(INT(E41)&gt;='3월 등급 정보'!$C$5,3,IF(INT(E41)&gt;='3월 등급 정보'!$C$6,4,IF(INT(E41)&gt;='3월 등급 정보'!$C$7,5,IF(INT(E41)&gt;='3월 등급 정보'!$C$8,6,IF(INT(E41)&gt;='3월 등급 정보'!$C$9,7,IF(INT(E41)&gt;='3월 등급 정보'!$C$10,8,IF(INT(E41)&gt;='3월 등급 정보'!$C$11,9)))))))))</f>
        <v>2</v>
      </c>
      <c r="I41" s="34">
        <v>65</v>
      </c>
      <c r="J41" s="33"/>
      <c r="K41" s="33"/>
      <c r="L41" s="33">
        <f>IF(INT(I41)&gt;='3월 등급 정보'!$D$3,1,IF(INT(I41)&gt;='3월 등급 정보'!$D$4,2,IF(INT(I41)&gt;='3월 등급 정보'!$D$5,3,IF(INT(I41)&gt;='3월 등급 정보'!$D$6,4,IF(INT(I41)&gt;='3월 등급 정보'!$D$7,5,IF(INT(I41)&gt;='3월 등급 정보'!$D$8,6,IF(INT(I41)&gt;='3월 등급 정보'!$D$9,7,IF(INT(I41)&gt;='3월 등급 정보'!$D$10,8,IF(INT(I41)&gt;='3월 등급 정보'!$D$11,9)))))))))</f>
        <v>3</v>
      </c>
      <c r="M41" s="34">
        <v>66</v>
      </c>
      <c r="N41" s="33"/>
      <c r="O41" s="33"/>
      <c r="P41" s="33">
        <f>IF(INT(M41)&gt;='3월 등급 정보'!$E$3,1,IF(INT(M41)&gt;='3월 등급 정보'!$E$4,2,IF(INT(M41)&gt;='3월 등급 정보'!$E$5,3,IF(INT(M41)&gt;='3월 등급 정보'!$E$6,4,IF(INT(M41)&gt;='3월 등급 정보'!$E$7,5,IF(INT(M41)&gt;='3월 등급 정보'!$E$8,6,IF(INT(M41)&gt;='3월 등급 정보'!$E$9,7,IF(INT(M41)&gt;='3월 등급 정보'!$E$10,8,IF(INT(M41)&gt;='3월 등급 정보'!$E$11,9)))))))))</f>
        <v>4</v>
      </c>
      <c r="Q41" s="34">
        <v>42.5</v>
      </c>
      <c r="R41" s="33"/>
      <c r="S41" s="33"/>
      <c r="T41" s="33">
        <f>IF(INT(Q41)&gt;='3월 등급 정보'!$F$3,1,IF(INT(Q41)&gt;='3월 등급 정보'!$F$4,2,IF(INT(Q41)&gt;='3월 등급 정보'!$F$5,3,IF(INT(Q41)&gt;='3월 등급 정보'!$F$6,4,IF(INT(Q41)&gt;='3월 등급 정보'!$F$7,5,IF(INT(Q41)&gt;='3월 등급 정보'!$F$8,6,IF(INT(Q41)&gt;='3월 등급 정보'!$F$9,7,IF(INT(Q41)&gt;='3월 등급 정보'!$F$10,8,IF(INT(Q41)&gt;='3월 등급 정보'!$F$11,9)))))))))</f>
        <v>3</v>
      </c>
      <c r="U41" s="34">
        <v>41.5</v>
      </c>
      <c r="V41" s="33"/>
      <c r="W41" s="33"/>
      <c r="X41" s="33">
        <f>IF(INT(U41)&gt;='3월 등급 정보'!$G$3,1,IF(INT(U41)&gt;='3월 등급 정보'!$G$4,2,IF(INT(U41)&gt;='3월 등급 정보'!$G$5,3,IF(INT(U41)&gt;='3월 등급 정보'!$G$6,4,IF(INT(U41)&gt;='3월 등급 정보'!$G$7,5,IF(INT(U41)&gt;='3월 등급 정보'!$G$8,6,IF(INT(U41)&gt;='3월 등급 정보'!$G$9,7,IF(INT(U41)&gt;='3월 등급 정보'!$G$10,8,IF(INT(U41)&gt;='3월 등급 정보'!$G$11,9)))))))))</f>
        <v>2</v>
      </c>
      <c r="Y41" s="34">
        <v>44</v>
      </c>
      <c r="Z41" s="33"/>
      <c r="AA41" s="33"/>
      <c r="AB41" s="33">
        <f>IF(INT(Y41)&gt;='3월 등급 정보'!$H$3,1,IF(INT(Y41)&gt;='3월 등급 정보'!$H$4,2,IF(INT(Y41)&gt;='3월 등급 정보'!$H$5,3,IF(INT(Y41)&gt;='3월 등급 정보'!$H$6,4,IF(INT(Y41)&gt;='3월 등급 정보'!$H$7,5,IF(INT(Y41)&gt;='3월 등급 정보'!$H$8,6,IF(INT(Y41)&gt;='3월 등급 정보'!$H$9,7,IF(INT(Y41)&gt;='3월 등급 정보'!$H$10,8,IF(INT(Y41)&gt;='3월 등급 정보'!$H$11,9)))))))))</f>
        <v>1</v>
      </c>
      <c r="AC41" s="33">
        <f>E41+I41+M41+Q41+U41</f>
        <v>297</v>
      </c>
      <c r="AD41" s="33">
        <f>RANK(AC41,$AC$3:$AC$273)</f>
        <v>38</v>
      </c>
    </row>
    <row r="42" spans="1:30" ht="17.25" customHeight="1">
      <c r="A42" s="33" t="s">
        <v>26</v>
      </c>
      <c r="B42" s="34">
        <v>9</v>
      </c>
      <c r="C42" s="34">
        <v>8</v>
      </c>
      <c r="D42" s="34" t="s">
        <v>245</v>
      </c>
      <c r="E42" s="34">
        <v>81</v>
      </c>
      <c r="F42" s="33"/>
      <c r="G42" s="33"/>
      <c r="H42" s="33">
        <f>IF(INT(E42)&gt;='3월 등급 정보'!$C$3,1,IF(INT(E42)&gt;='3월 등급 정보'!$C$4,2,IF(INT(E42)&gt;='3월 등급 정보'!$C$5,3,IF(INT(E42)&gt;='3월 등급 정보'!$C$6,4,IF(INT(E42)&gt;='3월 등급 정보'!$C$7,5,IF(INT(E42)&gt;='3월 등급 정보'!$C$8,6,IF(INT(E42)&gt;='3월 등급 정보'!$C$9,7,IF(INT(E42)&gt;='3월 등급 정보'!$C$10,8,IF(INT(E42)&gt;='3월 등급 정보'!$C$11,9)))))))))</f>
        <v>2</v>
      </c>
      <c r="I42" s="34">
        <v>72</v>
      </c>
      <c r="J42" s="33"/>
      <c r="K42" s="33"/>
      <c r="L42" s="33">
        <f>IF(INT(I42)&gt;='3월 등급 정보'!$D$3,1,IF(INT(I42)&gt;='3월 등급 정보'!$D$4,2,IF(INT(I42)&gt;='3월 등급 정보'!$D$5,3,IF(INT(I42)&gt;='3월 등급 정보'!$D$6,4,IF(INT(I42)&gt;='3월 등급 정보'!$D$7,5,IF(INT(I42)&gt;='3월 등급 정보'!$D$8,6,IF(INT(I42)&gt;='3월 등급 정보'!$D$9,7,IF(INT(I42)&gt;='3월 등급 정보'!$D$10,8,IF(INT(I42)&gt;='3월 등급 정보'!$D$11,9)))))))))</f>
        <v>2</v>
      </c>
      <c r="M42" s="34">
        <v>74</v>
      </c>
      <c r="N42" s="33"/>
      <c r="O42" s="33"/>
      <c r="P42" s="33">
        <f>IF(INT(M42)&gt;='3월 등급 정보'!$E$3,1,IF(INT(M42)&gt;='3월 등급 정보'!$E$4,2,IF(INT(M42)&gt;='3월 등급 정보'!$E$5,3,IF(INT(M42)&gt;='3월 등급 정보'!$E$6,4,IF(INT(M42)&gt;='3월 등급 정보'!$E$7,5,IF(INT(M42)&gt;='3월 등급 정보'!$E$8,6,IF(INT(M42)&gt;='3월 등급 정보'!$E$9,7,IF(INT(M42)&gt;='3월 등급 정보'!$E$10,8,IF(INT(M42)&gt;='3월 등급 정보'!$E$11,9)))))))))</f>
        <v>3</v>
      </c>
      <c r="Q42" s="34">
        <v>40.5</v>
      </c>
      <c r="R42" s="33"/>
      <c r="S42" s="33"/>
      <c r="T42" s="33">
        <f>IF(INT(Q42)&gt;='3월 등급 정보'!$F$3,1,IF(INT(Q42)&gt;='3월 등급 정보'!$F$4,2,IF(INT(Q42)&gt;='3월 등급 정보'!$F$5,3,IF(INT(Q42)&gt;='3월 등급 정보'!$F$6,4,IF(INT(Q42)&gt;='3월 등급 정보'!$F$7,5,IF(INT(Q42)&gt;='3월 등급 정보'!$F$8,6,IF(INT(Q42)&gt;='3월 등급 정보'!$F$9,7,IF(INT(Q42)&gt;='3월 등급 정보'!$F$10,8,IF(INT(Q42)&gt;='3월 등급 정보'!$F$11,9)))))))))</f>
        <v>3</v>
      </c>
      <c r="U42" s="34">
        <v>29.5</v>
      </c>
      <c r="V42" s="33"/>
      <c r="W42" s="33"/>
      <c r="X42" s="33">
        <f>IF(INT(U42)&gt;='3월 등급 정보'!$G$3,1,IF(INT(U42)&gt;='3월 등급 정보'!$G$4,2,IF(INT(U42)&gt;='3월 등급 정보'!$G$5,3,IF(INT(U42)&gt;='3월 등급 정보'!$G$6,4,IF(INT(U42)&gt;='3월 등급 정보'!$G$7,5,IF(INT(U42)&gt;='3월 등급 정보'!$G$8,6,IF(INT(U42)&gt;='3월 등급 정보'!$G$9,7,IF(INT(U42)&gt;='3월 등급 정보'!$G$10,8,IF(INT(U42)&gt;='3월 등급 정보'!$G$11,9)))))))))</f>
        <v>4</v>
      </c>
      <c r="Y42" s="34">
        <v>42</v>
      </c>
      <c r="Z42" s="33"/>
      <c r="AA42" s="33"/>
      <c r="AB42" s="33">
        <f>IF(INT(Y42)&gt;='3월 등급 정보'!$H$3,1,IF(INT(Y42)&gt;='3월 등급 정보'!$H$4,2,IF(INT(Y42)&gt;='3월 등급 정보'!$H$5,3,IF(INT(Y42)&gt;='3월 등급 정보'!$H$6,4,IF(INT(Y42)&gt;='3월 등급 정보'!$H$7,5,IF(INT(Y42)&gt;='3월 등급 정보'!$H$8,6,IF(INT(Y42)&gt;='3월 등급 정보'!$H$9,7,IF(INT(Y42)&gt;='3월 등급 정보'!$H$10,8,IF(INT(Y42)&gt;='3월 등급 정보'!$H$11,9)))))))))</f>
        <v>1</v>
      </c>
      <c r="AC42" s="33">
        <f>E42+I42+M42+Q42+U42</f>
        <v>297</v>
      </c>
      <c r="AD42" s="33">
        <f>RANK(AC42,$AC$3:$AC$273)</f>
        <v>38</v>
      </c>
    </row>
    <row r="43" spans="1:30" ht="17.25" customHeight="1">
      <c r="A43" s="33" t="s">
        <v>26</v>
      </c>
      <c r="B43" s="34">
        <v>4</v>
      </c>
      <c r="C43" s="34">
        <v>22</v>
      </c>
      <c r="D43" s="34" t="s">
        <v>126</v>
      </c>
      <c r="E43" s="34">
        <v>86</v>
      </c>
      <c r="F43" s="33"/>
      <c r="G43" s="33"/>
      <c r="H43" s="33">
        <f>IF(INT(E43)&gt;='3월 등급 정보'!$C$3,1,IF(INT(E43)&gt;='3월 등급 정보'!$C$4,2,IF(INT(E43)&gt;='3월 등급 정보'!$C$5,3,IF(INT(E43)&gt;='3월 등급 정보'!$C$6,4,IF(INT(E43)&gt;='3월 등급 정보'!$C$7,5,IF(INT(E43)&gt;='3월 등급 정보'!$C$8,6,IF(INT(E43)&gt;='3월 등급 정보'!$C$9,7,IF(INT(E43)&gt;='3월 등급 정보'!$C$10,8,IF(INT(E43)&gt;='3월 등급 정보'!$C$11,9)))))))))</f>
        <v>1</v>
      </c>
      <c r="I43" s="34">
        <v>72</v>
      </c>
      <c r="J43" s="33"/>
      <c r="K43" s="33"/>
      <c r="L43" s="33">
        <f>IF(INT(I43)&gt;='3월 등급 정보'!$D$3,1,IF(INT(I43)&gt;='3월 등급 정보'!$D$4,2,IF(INT(I43)&gt;='3월 등급 정보'!$D$5,3,IF(INT(I43)&gt;='3월 등급 정보'!$D$6,4,IF(INT(I43)&gt;='3월 등급 정보'!$D$7,5,IF(INT(I43)&gt;='3월 등급 정보'!$D$8,6,IF(INT(I43)&gt;='3월 등급 정보'!$D$9,7,IF(INT(I43)&gt;='3월 등급 정보'!$D$10,8,IF(INT(I43)&gt;='3월 등급 정보'!$D$11,9)))))))))</f>
        <v>2</v>
      </c>
      <c r="M43" s="34">
        <v>73</v>
      </c>
      <c r="N43" s="33"/>
      <c r="O43" s="33"/>
      <c r="P43" s="33">
        <f>IF(INT(M43)&gt;='3월 등급 정보'!$E$3,1,IF(INT(M43)&gt;='3월 등급 정보'!$E$4,2,IF(INT(M43)&gt;='3월 등급 정보'!$E$5,3,IF(INT(M43)&gt;='3월 등급 정보'!$E$6,4,IF(INT(M43)&gt;='3월 등급 정보'!$E$7,5,IF(INT(M43)&gt;='3월 등급 정보'!$E$8,6,IF(INT(M43)&gt;='3월 등급 정보'!$E$9,7,IF(INT(M43)&gt;='3월 등급 정보'!$E$10,8,IF(INT(M43)&gt;='3월 등급 정보'!$E$11,9)))))))))</f>
        <v>3</v>
      </c>
      <c r="Q43" s="34">
        <v>41.5</v>
      </c>
      <c r="R43" s="33"/>
      <c r="S43" s="33"/>
      <c r="T43" s="33">
        <f>IF(INT(Q43)&gt;='3월 등급 정보'!$F$3,1,IF(INT(Q43)&gt;='3월 등급 정보'!$F$4,2,IF(INT(Q43)&gt;='3월 등급 정보'!$F$5,3,IF(INT(Q43)&gt;='3월 등급 정보'!$F$6,4,IF(INT(Q43)&gt;='3월 등급 정보'!$F$7,5,IF(INT(Q43)&gt;='3월 등급 정보'!$F$8,6,IF(INT(Q43)&gt;='3월 등급 정보'!$F$9,7,IF(INT(Q43)&gt;='3월 등급 정보'!$F$10,8,IF(INT(Q43)&gt;='3월 등급 정보'!$F$11,9)))))))))</f>
        <v>3</v>
      </c>
      <c r="U43" s="34">
        <v>24</v>
      </c>
      <c r="V43" s="33"/>
      <c r="W43" s="33"/>
      <c r="X43" s="33">
        <f>IF(INT(U43)&gt;='3월 등급 정보'!$G$3,1,IF(INT(U43)&gt;='3월 등급 정보'!$G$4,2,IF(INT(U43)&gt;='3월 등급 정보'!$G$5,3,IF(INT(U43)&gt;='3월 등급 정보'!$G$6,4,IF(INT(U43)&gt;='3월 등급 정보'!$G$7,5,IF(INT(U43)&gt;='3월 등급 정보'!$G$8,6,IF(INT(U43)&gt;='3월 등급 정보'!$G$9,7,IF(INT(U43)&gt;='3월 등급 정보'!$G$10,8,IF(INT(U43)&gt;='3월 등급 정보'!$G$11,9)))))))))</f>
        <v>5</v>
      </c>
      <c r="Y43" s="34">
        <v>34</v>
      </c>
      <c r="Z43" s="33"/>
      <c r="AA43" s="33"/>
      <c r="AB43" s="33">
        <f>IF(INT(Y43)&gt;='3월 등급 정보'!$H$3,1,IF(INT(Y43)&gt;='3월 등급 정보'!$H$4,2,IF(INT(Y43)&gt;='3월 등급 정보'!$H$5,3,IF(INT(Y43)&gt;='3월 등급 정보'!$H$6,4,IF(INT(Y43)&gt;='3월 등급 정보'!$H$7,5,IF(INT(Y43)&gt;='3월 등급 정보'!$H$8,6,IF(INT(Y43)&gt;='3월 등급 정보'!$H$9,7,IF(INT(Y43)&gt;='3월 등급 정보'!$H$10,8,IF(INT(Y43)&gt;='3월 등급 정보'!$H$11,9)))))))))</f>
        <v>3</v>
      </c>
      <c r="AC43" s="33">
        <f>E43+I43+M43+Q43+U43</f>
        <v>296.5</v>
      </c>
      <c r="AD43" s="33">
        <f>RANK(AC43,$AC$3:$AC$273)</f>
        <v>41</v>
      </c>
    </row>
    <row r="44" spans="1:30" ht="17.25" customHeight="1">
      <c r="A44" s="33" t="s">
        <v>26</v>
      </c>
      <c r="B44" s="34">
        <v>7</v>
      </c>
      <c r="C44" s="34">
        <v>22</v>
      </c>
      <c r="D44" s="34" t="s">
        <v>208</v>
      </c>
      <c r="E44" s="34">
        <v>71</v>
      </c>
      <c r="F44" s="33"/>
      <c r="G44" s="33"/>
      <c r="H44" s="33">
        <f>IF(INT(E44)&gt;='3월 등급 정보'!$C$3,1,IF(INT(E44)&gt;='3월 등급 정보'!$C$4,2,IF(INT(E44)&gt;='3월 등급 정보'!$C$5,3,IF(INT(E44)&gt;='3월 등급 정보'!$C$6,4,IF(INT(E44)&gt;='3월 등급 정보'!$C$7,5,IF(INT(E44)&gt;='3월 등급 정보'!$C$8,6,IF(INT(E44)&gt;='3월 등급 정보'!$C$9,7,IF(INT(E44)&gt;='3월 등급 정보'!$C$10,8,IF(INT(E44)&gt;='3월 등급 정보'!$C$11,9)))))))))</f>
        <v>3</v>
      </c>
      <c r="I44" s="34">
        <v>62</v>
      </c>
      <c r="J44" s="33"/>
      <c r="K44" s="33"/>
      <c r="L44" s="33">
        <f>IF(INT(I44)&gt;='3월 등급 정보'!$D$3,1,IF(INT(I44)&gt;='3월 등급 정보'!$D$4,2,IF(INT(I44)&gt;='3월 등급 정보'!$D$5,3,IF(INT(I44)&gt;='3월 등급 정보'!$D$6,4,IF(INT(I44)&gt;='3월 등급 정보'!$D$7,5,IF(INT(I44)&gt;='3월 등급 정보'!$D$8,6,IF(INT(I44)&gt;='3월 등급 정보'!$D$9,7,IF(INT(I44)&gt;='3월 등급 정보'!$D$10,8,IF(INT(I44)&gt;='3월 등급 정보'!$D$11,9)))))))))</f>
        <v>3</v>
      </c>
      <c r="M44" s="34">
        <v>92</v>
      </c>
      <c r="N44" s="33"/>
      <c r="O44" s="33"/>
      <c r="P44" s="33">
        <f>IF(INT(M44)&gt;='3월 등급 정보'!$E$3,1,IF(INT(M44)&gt;='3월 등급 정보'!$E$4,2,IF(INT(M44)&gt;='3월 등급 정보'!$E$5,3,IF(INT(M44)&gt;='3월 등급 정보'!$E$6,4,IF(INT(M44)&gt;='3월 등급 정보'!$E$7,5,IF(INT(M44)&gt;='3월 등급 정보'!$E$8,6,IF(INT(M44)&gt;='3월 등급 정보'!$E$9,7,IF(INT(M44)&gt;='3월 등급 정보'!$E$10,8,IF(INT(M44)&gt;='3월 등급 정보'!$E$11,9)))))))))</f>
        <v>1</v>
      </c>
      <c r="Q44" s="34">
        <v>38</v>
      </c>
      <c r="R44" s="33"/>
      <c r="S44" s="33"/>
      <c r="T44" s="33">
        <f>IF(INT(Q44)&gt;='3월 등급 정보'!$F$3,1,IF(INT(Q44)&gt;='3월 등급 정보'!$F$4,2,IF(INT(Q44)&gt;='3월 등급 정보'!$F$5,3,IF(INT(Q44)&gt;='3월 등급 정보'!$F$6,4,IF(INT(Q44)&gt;='3월 등급 정보'!$F$7,5,IF(INT(Q44)&gt;='3월 등급 정보'!$F$8,6,IF(INT(Q44)&gt;='3월 등급 정보'!$F$9,7,IF(INT(Q44)&gt;='3월 등급 정보'!$F$10,8,IF(INT(Q44)&gt;='3월 등급 정보'!$F$11,9)))))))))</f>
        <v>3</v>
      </c>
      <c r="U44" s="34">
        <v>31.5</v>
      </c>
      <c r="V44" s="33"/>
      <c r="W44" s="33"/>
      <c r="X44" s="33">
        <f>IF(INT(U44)&gt;='3월 등급 정보'!$G$3,1,IF(INT(U44)&gt;='3월 등급 정보'!$G$4,2,IF(INT(U44)&gt;='3월 등급 정보'!$G$5,3,IF(INT(U44)&gt;='3월 등급 정보'!$G$6,4,IF(INT(U44)&gt;='3월 등급 정보'!$G$7,5,IF(INT(U44)&gt;='3월 등급 정보'!$G$8,6,IF(INT(U44)&gt;='3월 등급 정보'!$G$9,7,IF(INT(U44)&gt;='3월 등급 정보'!$G$10,8,IF(INT(U44)&gt;='3월 등급 정보'!$G$11,9)))))))))</f>
        <v>4</v>
      </c>
      <c r="Y44" s="34">
        <v>47</v>
      </c>
      <c r="Z44" s="33"/>
      <c r="AA44" s="33"/>
      <c r="AB44" s="33">
        <f>IF(INT(Y44)&gt;='3월 등급 정보'!$H$3,1,IF(INT(Y44)&gt;='3월 등급 정보'!$H$4,2,IF(INT(Y44)&gt;='3월 등급 정보'!$H$5,3,IF(INT(Y44)&gt;='3월 등급 정보'!$H$6,4,IF(INT(Y44)&gt;='3월 등급 정보'!$H$7,5,IF(INT(Y44)&gt;='3월 등급 정보'!$H$8,6,IF(INT(Y44)&gt;='3월 등급 정보'!$H$9,7,IF(INT(Y44)&gt;='3월 등급 정보'!$H$10,8,IF(INT(Y44)&gt;='3월 등급 정보'!$H$11,9)))))))))</f>
        <v>1</v>
      </c>
      <c r="AC44" s="33">
        <f>E44+I44+M44+Q44+U44</f>
        <v>294.5</v>
      </c>
      <c r="AD44" s="33">
        <f>RANK(AC44,$AC$3:$AC$273)</f>
        <v>42</v>
      </c>
    </row>
    <row r="45" spans="1:30" ht="17.25" customHeight="1">
      <c r="A45" s="33" t="s">
        <v>26</v>
      </c>
      <c r="B45" s="34">
        <v>3</v>
      </c>
      <c r="C45" s="34">
        <v>3</v>
      </c>
      <c r="D45" s="34" t="s">
        <v>82</v>
      </c>
      <c r="E45" s="34">
        <v>75</v>
      </c>
      <c r="F45" s="33"/>
      <c r="G45" s="33"/>
      <c r="H45" s="33">
        <f>IF(INT(E45)&gt;='3월 등급 정보'!$C$3,1,IF(INT(E45)&gt;='3월 등급 정보'!$C$4,2,IF(INT(E45)&gt;='3월 등급 정보'!$C$5,3,IF(INT(E45)&gt;='3월 등급 정보'!$C$6,4,IF(INT(E45)&gt;='3월 등급 정보'!$C$7,5,IF(INT(E45)&gt;='3월 등급 정보'!$C$8,6,IF(INT(E45)&gt;='3월 등급 정보'!$C$9,7,IF(INT(E45)&gt;='3월 등급 정보'!$C$10,8,IF(INT(E45)&gt;='3월 등급 정보'!$C$11,9)))))))))</f>
        <v>3</v>
      </c>
      <c r="I45" s="34">
        <v>63</v>
      </c>
      <c r="J45" s="33"/>
      <c r="K45" s="33"/>
      <c r="L45" s="33">
        <f>IF(INT(I45)&gt;='3월 등급 정보'!$D$3,1,IF(INT(I45)&gt;='3월 등급 정보'!$D$4,2,IF(INT(I45)&gt;='3월 등급 정보'!$D$5,3,IF(INT(I45)&gt;='3월 등급 정보'!$D$6,4,IF(INT(I45)&gt;='3월 등급 정보'!$D$7,5,IF(INT(I45)&gt;='3월 등급 정보'!$D$8,6,IF(INT(I45)&gt;='3월 등급 정보'!$D$9,7,IF(INT(I45)&gt;='3월 등급 정보'!$D$10,8,IF(INT(I45)&gt;='3월 등급 정보'!$D$11,9)))))))))</f>
        <v>3</v>
      </c>
      <c r="M45" s="34">
        <v>75</v>
      </c>
      <c r="N45" s="33"/>
      <c r="O45" s="33"/>
      <c r="P45" s="33">
        <f>IF(INT(M45)&gt;='3월 등급 정보'!$E$3,1,IF(INT(M45)&gt;='3월 등급 정보'!$E$4,2,IF(INT(M45)&gt;='3월 등급 정보'!$E$5,3,IF(INT(M45)&gt;='3월 등급 정보'!$E$6,4,IF(INT(M45)&gt;='3월 등급 정보'!$E$7,5,IF(INT(M45)&gt;='3월 등급 정보'!$E$8,6,IF(INT(M45)&gt;='3월 등급 정보'!$E$9,7,IF(INT(M45)&gt;='3월 등급 정보'!$E$10,8,IF(INT(M45)&gt;='3월 등급 정보'!$E$11,9)))))))))</f>
        <v>3</v>
      </c>
      <c r="Q45" s="34">
        <v>47.5</v>
      </c>
      <c r="R45" s="33"/>
      <c r="S45" s="33"/>
      <c r="T45" s="33">
        <f>IF(INT(Q45)&gt;='3월 등급 정보'!$F$3,1,IF(INT(Q45)&gt;='3월 등급 정보'!$F$4,2,IF(INT(Q45)&gt;='3월 등급 정보'!$F$5,3,IF(INT(Q45)&gt;='3월 등급 정보'!$F$6,4,IF(INT(Q45)&gt;='3월 등급 정보'!$F$7,5,IF(INT(Q45)&gt;='3월 등급 정보'!$F$8,6,IF(INT(Q45)&gt;='3월 등급 정보'!$F$9,7,IF(INT(Q45)&gt;='3월 등급 정보'!$F$10,8,IF(INT(Q45)&gt;='3월 등급 정보'!$F$11,9)))))))))</f>
        <v>1</v>
      </c>
      <c r="U45" s="34">
        <v>32.5</v>
      </c>
      <c r="V45" s="33"/>
      <c r="W45" s="33"/>
      <c r="X45" s="33">
        <f>IF(INT(U45)&gt;='3월 등급 정보'!$G$3,1,IF(INT(U45)&gt;='3월 등급 정보'!$G$4,2,IF(INT(U45)&gt;='3월 등급 정보'!$G$5,3,IF(INT(U45)&gt;='3월 등급 정보'!$G$6,4,IF(INT(U45)&gt;='3월 등급 정보'!$G$7,5,IF(INT(U45)&gt;='3월 등급 정보'!$G$8,6,IF(INT(U45)&gt;='3월 등급 정보'!$G$9,7,IF(INT(U45)&gt;='3월 등급 정보'!$G$10,8,IF(INT(U45)&gt;='3월 등급 정보'!$G$11,9)))))))))</f>
        <v>3</v>
      </c>
      <c r="Y45" s="34">
        <v>48</v>
      </c>
      <c r="Z45" s="33"/>
      <c r="AA45" s="33"/>
      <c r="AB45" s="33">
        <f>IF(INT(Y45)&gt;='3월 등급 정보'!$H$3,1,IF(INT(Y45)&gt;='3월 등급 정보'!$H$4,2,IF(INT(Y45)&gt;='3월 등급 정보'!$H$5,3,IF(INT(Y45)&gt;='3월 등급 정보'!$H$6,4,IF(INT(Y45)&gt;='3월 등급 정보'!$H$7,5,IF(INT(Y45)&gt;='3월 등급 정보'!$H$8,6,IF(INT(Y45)&gt;='3월 등급 정보'!$H$9,7,IF(INT(Y45)&gt;='3월 등급 정보'!$H$10,8,IF(INT(Y45)&gt;='3월 등급 정보'!$H$11,9)))))))))</f>
        <v>1</v>
      </c>
      <c r="AC45" s="33">
        <f>E45+I45+M45+Q45+U45</f>
        <v>293</v>
      </c>
      <c r="AD45" s="33">
        <f>RANK(AC45,$AC$3:$AC$273)</f>
        <v>43</v>
      </c>
    </row>
    <row r="46" spans="1:30" ht="17.25" customHeight="1">
      <c r="A46" s="33" t="s">
        <v>26</v>
      </c>
      <c r="B46" s="34">
        <v>8</v>
      </c>
      <c r="C46" s="34">
        <v>11</v>
      </c>
      <c r="D46" s="34" t="s">
        <v>223</v>
      </c>
      <c r="E46" s="34">
        <v>75</v>
      </c>
      <c r="F46" s="33"/>
      <c r="G46" s="33"/>
      <c r="H46" s="33">
        <f>IF(INT(E46)&gt;='3월 등급 정보'!$C$3,1,IF(INT(E46)&gt;='3월 등급 정보'!$C$4,2,IF(INT(E46)&gt;='3월 등급 정보'!$C$5,3,IF(INT(E46)&gt;='3월 등급 정보'!$C$6,4,IF(INT(E46)&gt;='3월 등급 정보'!$C$7,5,IF(INT(E46)&gt;='3월 등급 정보'!$C$8,6,IF(INT(E46)&gt;='3월 등급 정보'!$C$9,7,IF(INT(E46)&gt;='3월 등급 정보'!$C$10,8,IF(INT(E46)&gt;='3월 등급 정보'!$C$11,9)))))))))</f>
        <v>3</v>
      </c>
      <c r="I46" s="34">
        <v>57</v>
      </c>
      <c r="J46" s="33"/>
      <c r="K46" s="33"/>
      <c r="L46" s="33">
        <f>IF(INT(I46)&gt;='3월 등급 정보'!$D$3,1,IF(INT(I46)&gt;='3월 등급 정보'!$D$4,2,IF(INT(I46)&gt;='3월 등급 정보'!$D$5,3,IF(INT(I46)&gt;='3월 등급 정보'!$D$6,4,IF(INT(I46)&gt;='3월 등급 정보'!$D$7,5,IF(INT(I46)&gt;='3월 등급 정보'!$D$8,6,IF(INT(I46)&gt;='3월 등급 정보'!$D$9,7,IF(INT(I46)&gt;='3월 등급 정보'!$D$10,8,IF(INT(I46)&gt;='3월 등급 정보'!$D$11,9)))))))))</f>
        <v>4</v>
      </c>
      <c r="M46" s="34">
        <v>87</v>
      </c>
      <c r="N46" s="33"/>
      <c r="O46" s="33"/>
      <c r="P46" s="33">
        <f>IF(INT(M46)&gt;='3월 등급 정보'!$E$3,1,IF(INT(M46)&gt;='3월 등급 정보'!$E$4,2,IF(INT(M46)&gt;='3월 등급 정보'!$E$5,3,IF(INT(M46)&gt;='3월 등급 정보'!$E$6,4,IF(INT(M46)&gt;='3월 등급 정보'!$E$7,5,IF(INT(M46)&gt;='3월 등급 정보'!$E$8,6,IF(INT(M46)&gt;='3월 등급 정보'!$E$9,7,IF(INT(M46)&gt;='3월 등급 정보'!$E$10,8,IF(INT(M46)&gt;='3월 등급 정보'!$E$11,9)))))))))</f>
        <v>2</v>
      </c>
      <c r="Q46" s="34">
        <v>34</v>
      </c>
      <c r="R46" s="33"/>
      <c r="S46" s="33"/>
      <c r="T46" s="33">
        <f>IF(INT(Q46)&gt;='3월 등급 정보'!$F$3,1,IF(INT(Q46)&gt;='3월 등급 정보'!$F$4,2,IF(INT(Q46)&gt;='3월 등급 정보'!$F$5,3,IF(INT(Q46)&gt;='3월 등급 정보'!$F$6,4,IF(INT(Q46)&gt;='3월 등급 정보'!$F$7,5,IF(INT(Q46)&gt;='3월 등급 정보'!$F$8,6,IF(INT(Q46)&gt;='3월 등급 정보'!$F$9,7,IF(INT(Q46)&gt;='3월 등급 정보'!$F$10,8,IF(INT(Q46)&gt;='3월 등급 정보'!$F$11,9)))))))))</f>
        <v>4</v>
      </c>
      <c r="U46" s="34">
        <v>40</v>
      </c>
      <c r="V46" s="33"/>
      <c r="W46" s="33"/>
      <c r="X46" s="33">
        <f>IF(INT(U46)&gt;='3월 등급 정보'!$G$3,1,IF(INT(U46)&gt;='3월 등급 정보'!$G$4,2,IF(INT(U46)&gt;='3월 등급 정보'!$G$5,3,IF(INT(U46)&gt;='3월 등급 정보'!$G$6,4,IF(INT(U46)&gt;='3월 등급 정보'!$G$7,5,IF(INT(U46)&gt;='3월 등급 정보'!$G$8,6,IF(INT(U46)&gt;='3월 등급 정보'!$G$9,7,IF(INT(U46)&gt;='3월 등급 정보'!$G$10,8,IF(INT(U46)&gt;='3월 등급 정보'!$G$11,9)))))))))</f>
        <v>2</v>
      </c>
      <c r="Y46" s="34">
        <v>35</v>
      </c>
      <c r="Z46" s="33"/>
      <c r="AA46" s="33"/>
      <c r="AB46" s="33">
        <f>IF(INT(Y46)&gt;='3월 등급 정보'!$H$3,1,IF(INT(Y46)&gt;='3월 등급 정보'!$H$4,2,IF(INT(Y46)&gt;='3월 등급 정보'!$H$5,3,IF(INT(Y46)&gt;='3월 등급 정보'!$H$6,4,IF(INT(Y46)&gt;='3월 등급 정보'!$H$7,5,IF(INT(Y46)&gt;='3월 등급 정보'!$H$8,6,IF(INT(Y46)&gt;='3월 등급 정보'!$H$9,7,IF(INT(Y46)&gt;='3월 등급 정보'!$H$10,8,IF(INT(Y46)&gt;='3월 등급 정보'!$H$11,9)))))))))</f>
        <v>2</v>
      </c>
      <c r="AC46" s="33">
        <f>E46+I46+M46+Q46+U46</f>
        <v>293</v>
      </c>
      <c r="AD46" s="33">
        <f>RANK(AC46,$AC$3:$AC$273)</f>
        <v>43</v>
      </c>
    </row>
    <row r="47" spans="1:30" ht="17.25" customHeight="1">
      <c r="A47" s="33" t="s">
        <v>26</v>
      </c>
      <c r="B47" s="34">
        <v>2</v>
      </c>
      <c r="C47" s="34">
        <v>10</v>
      </c>
      <c r="D47" s="34" t="s">
        <v>62</v>
      </c>
      <c r="E47" s="34">
        <v>79</v>
      </c>
      <c r="F47" s="33"/>
      <c r="G47" s="33"/>
      <c r="H47" s="33">
        <f>IF(INT(E47)&gt;='3월 등급 정보'!$C$3,1,IF(INT(E47)&gt;='3월 등급 정보'!$C$4,2,IF(INT(E47)&gt;='3월 등급 정보'!$C$5,3,IF(INT(E47)&gt;='3월 등급 정보'!$C$6,4,IF(INT(E47)&gt;='3월 등급 정보'!$C$7,5,IF(INT(E47)&gt;='3월 등급 정보'!$C$8,6,IF(INT(E47)&gt;='3월 등급 정보'!$C$9,7,IF(INT(E47)&gt;='3월 등급 정보'!$C$10,8,IF(INT(E47)&gt;='3월 등급 정보'!$C$11,9)))))))))</f>
        <v>2</v>
      </c>
      <c r="I47" s="34">
        <v>84</v>
      </c>
      <c r="J47" s="33"/>
      <c r="K47" s="33"/>
      <c r="L47" s="33">
        <f>IF(INT(I47)&gt;='3월 등급 정보'!$D$3,1,IF(INT(I47)&gt;='3월 등급 정보'!$D$4,2,IF(INT(I47)&gt;='3월 등급 정보'!$D$5,3,IF(INT(I47)&gt;='3월 등급 정보'!$D$6,4,IF(INT(I47)&gt;='3월 등급 정보'!$D$7,5,IF(INT(I47)&gt;='3월 등급 정보'!$D$8,6,IF(INT(I47)&gt;='3월 등급 정보'!$D$9,7,IF(INT(I47)&gt;='3월 등급 정보'!$D$10,8,IF(INT(I47)&gt;='3월 등급 정보'!$D$11,9)))))))))</f>
        <v>1</v>
      </c>
      <c r="M47" s="34">
        <v>55</v>
      </c>
      <c r="N47" s="33"/>
      <c r="O47" s="33"/>
      <c r="P47" s="33">
        <f>IF(INT(M47)&gt;='3월 등급 정보'!$E$3,1,IF(INT(M47)&gt;='3월 등급 정보'!$E$4,2,IF(INT(M47)&gt;='3월 등급 정보'!$E$5,3,IF(INT(M47)&gt;='3월 등급 정보'!$E$6,4,IF(INT(M47)&gt;='3월 등급 정보'!$E$7,5,IF(INT(M47)&gt;='3월 등급 정보'!$E$8,6,IF(INT(M47)&gt;='3월 등급 정보'!$E$9,7,IF(INT(M47)&gt;='3월 등급 정보'!$E$10,8,IF(INT(M47)&gt;='3월 등급 정보'!$E$11,9)))))))))</f>
        <v>5</v>
      </c>
      <c r="Q47" s="34">
        <v>42.5</v>
      </c>
      <c r="R47" s="33"/>
      <c r="S47" s="33"/>
      <c r="T47" s="33">
        <f>IF(INT(Q47)&gt;='3월 등급 정보'!$F$3,1,IF(INT(Q47)&gt;='3월 등급 정보'!$F$4,2,IF(INT(Q47)&gt;='3월 등급 정보'!$F$5,3,IF(INT(Q47)&gt;='3월 등급 정보'!$F$6,4,IF(INT(Q47)&gt;='3월 등급 정보'!$F$7,5,IF(INT(Q47)&gt;='3월 등급 정보'!$F$8,6,IF(INT(Q47)&gt;='3월 등급 정보'!$F$9,7,IF(INT(Q47)&gt;='3월 등급 정보'!$F$10,8,IF(INT(Q47)&gt;='3월 등급 정보'!$F$11,9)))))))))</f>
        <v>3</v>
      </c>
      <c r="U47" s="34">
        <v>31</v>
      </c>
      <c r="V47" s="33"/>
      <c r="W47" s="33"/>
      <c r="X47" s="33">
        <f>IF(INT(U47)&gt;='3월 등급 정보'!$G$3,1,IF(INT(U47)&gt;='3월 등급 정보'!$G$4,2,IF(INT(U47)&gt;='3월 등급 정보'!$G$5,3,IF(INT(U47)&gt;='3월 등급 정보'!$G$6,4,IF(INT(U47)&gt;='3월 등급 정보'!$G$7,5,IF(INT(U47)&gt;='3월 등급 정보'!$G$8,6,IF(INT(U47)&gt;='3월 등급 정보'!$G$9,7,IF(INT(U47)&gt;='3월 등급 정보'!$G$10,8,IF(INT(U47)&gt;='3월 등급 정보'!$G$11,9)))))))))</f>
        <v>4</v>
      </c>
      <c r="Y47" s="34">
        <v>42</v>
      </c>
      <c r="Z47" s="33"/>
      <c r="AA47" s="33"/>
      <c r="AB47" s="33">
        <f>IF(INT(Y47)&gt;='3월 등급 정보'!$H$3,1,IF(INT(Y47)&gt;='3월 등급 정보'!$H$4,2,IF(INT(Y47)&gt;='3월 등급 정보'!$H$5,3,IF(INT(Y47)&gt;='3월 등급 정보'!$H$6,4,IF(INT(Y47)&gt;='3월 등급 정보'!$H$7,5,IF(INT(Y47)&gt;='3월 등급 정보'!$H$8,6,IF(INT(Y47)&gt;='3월 등급 정보'!$H$9,7,IF(INT(Y47)&gt;='3월 등급 정보'!$H$10,8,IF(INT(Y47)&gt;='3월 등급 정보'!$H$11,9)))))))))</f>
        <v>1</v>
      </c>
      <c r="AC47" s="33">
        <f>E47+I47+M47+Q47+U47</f>
        <v>291.5</v>
      </c>
      <c r="AD47" s="33">
        <f>RANK(AC47,$AC$3:$AC$273)</f>
        <v>45</v>
      </c>
    </row>
    <row r="48" spans="1:30" ht="17.25" customHeight="1">
      <c r="A48" s="33" t="s">
        <v>26</v>
      </c>
      <c r="B48" s="34">
        <v>8</v>
      </c>
      <c r="C48" s="34">
        <v>22</v>
      </c>
      <c r="D48" s="34" t="s">
        <v>233</v>
      </c>
      <c r="E48" s="34">
        <v>71</v>
      </c>
      <c r="F48" s="33"/>
      <c r="G48" s="33"/>
      <c r="H48" s="33">
        <f>IF(INT(E48)&gt;='3월 등급 정보'!$C$3,1,IF(INT(E48)&gt;='3월 등급 정보'!$C$4,2,IF(INT(E48)&gt;='3월 등급 정보'!$C$5,3,IF(INT(E48)&gt;='3월 등급 정보'!$C$6,4,IF(INT(E48)&gt;='3월 등급 정보'!$C$7,5,IF(INT(E48)&gt;='3월 등급 정보'!$C$8,6,IF(INT(E48)&gt;='3월 등급 정보'!$C$9,7,IF(INT(E48)&gt;='3월 등급 정보'!$C$10,8,IF(INT(E48)&gt;='3월 등급 정보'!$C$11,9)))))))))</f>
        <v>3</v>
      </c>
      <c r="I48" s="34">
        <v>72</v>
      </c>
      <c r="J48" s="33"/>
      <c r="K48" s="33"/>
      <c r="L48" s="33">
        <f>IF(INT(I48)&gt;='3월 등급 정보'!$D$3,1,IF(INT(I48)&gt;='3월 등급 정보'!$D$4,2,IF(INT(I48)&gt;='3월 등급 정보'!$D$5,3,IF(INT(I48)&gt;='3월 등급 정보'!$D$6,4,IF(INT(I48)&gt;='3월 등급 정보'!$D$7,5,IF(INT(I48)&gt;='3월 등급 정보'!$D$8,6,IF(INT(I48)&gt;='3월 등급 정보'!$D$9,7,IF(INT(I48)&gt;='3월 등급 정보'!$D$10,8,IF(INT(I48)&gt;='3월 등급 정보'!$D$11,9)))))))))</f>
        <v>2</v>
      </c>
      <c r="M48" s="34">
        <v>79</v>
      </c>
      <c r="N48" s="33"/>
      <c r="O48" s="33"/>
      <c r="P48" s="33">
        <f>IF(INT(M48)&gt;='3월 등급 정보'!$E$3,1,IF(INT(M48)&gt;='3월 등급 정보'!$E$4,2,IF(INT(M48)&gt;='3월 등급 정보'!$E$5,3,IF(INT(M48)&gt;='3월 등급 정보'!$E$6,4,IF(INT(M48)&gt;='3월 등급 정보'!$E$7,5,IF(INT(M48)&gt;='3월 등급 정보'!$E$8,6,IF(INT(M48)&gt;='3월 등급 정보'!$E$9,7,IF(INT(M48)&gt;='3월 등급 정보'!$E$10,8,IF(INT(M48)&gt;='3월 등급 정보'!$E$11,9)))))))))</f>
        <v>3</v>
      </c>
      <c r="Q48" s="34">
        <v>37</v>
      </c>
      <c r="R48" s="33"/>
      <c r="S48" s="33"/>
      <c r="T48" s="33">
        <f>IF(INT(Q48)&gt;='3월 등급 정보'!$F$3,1,IF(INT(Q48)&gt;='3월 등급 정보'!$F$4,2,IF(INT(Q48)&gt;='3월 등급 정보'!$F$5,3,IF(INT(Q48)&gt;='3월 등급 정보'!$F$6,4,IF(INT(Q48)&gt;='3월 등급 정보'!$F$7,5,IF(INT(Q48)&gt;='3월 등급 정보'!$F$8,6,IF(INT(Q48)&gt;='3월 등급 정보'!$F$9,7,IF(INT(Q48)&gt;='3월 등급 정보'!$F$10,8,IF(INT(Q48)&gt;='3월 등급 정보'!$F$11,9)))))))))</f>
        <v>4</v>
      </c>
      <c r="U48" s="34">
        <v>32.5</v>
      </c>
      <c r="V48" s="33"/>
      <c r="W48" s="33"/>
      <c r="X48" s="33">
        <f>IF(INT(U48)&gt;='3월 등급 정보'!$G$3,1,IF(INT(U48)&gt;='3월 등급 정보'!$G$4,2,IF(INT(U48)&gt;='3월 등급 정보'!$G$5,3,IF(INT(U48)&gt;='3월 등급 정보'!$G$6,4,IF(INT(U48)&gt;='3월 등급 정보'!$G$7,5,IF(INT(U48)&gt;='3월 등급 정보'!$G$8,6,IF(INT(U48)&gt;='3월 등급 정보'!$G$9,7,IF(INT(U48)&gt;='3월 등급 정보'!$G$10,8,IF(INT(U48)&gt;='3월 등급 정보'!$G$11,9)))))))))</f>
        <v>3</v>
      </c>
      <c r="Y48" s="34">
        <v>35</v>
      </c>
      <c r="Z48" s="33"/>
      <c r="AA48" s="33"/>
      <c r="AB48" s="33">
        <f>IF(INT(Y48)&gt;='3월 등급 정보'!$H$3,1,IF(INT(Y48)&gt;='3월 등급 정보'!$H$4,2,IF(INT(Y48)&gt;='3월 등급 정보'!$H$5,3,IF(INT(Y48)&gt;='3월 등급 정보'!$H$6,4,IF(INT(Y48)&gt;='3월 등급 정보'!$H$7,5,IF(INT(Y48)&gt;='3월 등급 정보'!$H$8,6,IF(INT(Y48)&gt;='3월 등급 정보'!$H$9,7,IF(INT(Y48)&gt;='3월 등급 정보'!$H$10,8,IF(INT(Y48)&gt;='3월 등급 정보'!$H$11,9)))))))))</f>
        <v>2</v>
      </c>
      <c r="AC48" s="33">
        <f>E48+I48+M48+Q48+U48</f>
        <v>291.5</v>
      </c>
      <c r="AD48" s="33">
        <f>RANK(AC48,$AC$3:$AC$273)</f>
        <v>45</v>
      </c>
    </row>
    <row r="49" spans="1:30" ht="17.25" customHeight="1">
      <c r="A49" s="33" t="s">
        <v>26</v>
      </c>
      <c r="B49" s="34">
        <v>5</v>
      </c>
      <c r="C49" s="34">
        <v>22</v>
      </c>
      <c r="D49" s="34" t="s">
        <v>152</v>
      </c>
      <c r="E49" s="34">
        <v>66</v>
      </c>
      <c r="F49" s="33"/>
      <c r="G49" s="33"/>
      <c r="H49" s="33">
        <f>IF(INT(E49)&gt;='3월 등급 정보'!$C$3,1,IF(INT(E49)&gt;='3월 등급 정보'!$C$4,2,IF(INT(E49)&gt;='3월 등급 정보'!$C$5,3,IF(INT(E49)&gt;='3월 등급 정보'!$C$6,4,IF(INT(E49)&gt;='3월 등급 정보'!$C$7,5,IF(INT(E49)&gt;='3월 등급 정보'!$C$8,6,IF(INT(E49)&gt;='3월 등급 정보'!$C$9,7,IF(INT(E49)&gt;='3월 등급 정보'!$C$10,8,IF(INT(E49)&gt;='3월 등급 정보'!$C$11,9)))))))))</f>
        <v>4</v>
      </c>
      <c r="I49" s="34">
        <v>73</v>
      </c>
      <c r="J49" s="33"/>
      <c r="K49" s="33"/>
      <c r="L49" s="33">
        <f>IF(INT(I49)&gt;='3월 등급 정보'!$D$3,1,IF(INT(I49)&gt;='3월 등급 정보'!$D$4,2,IF(INT(I49)&gt;='3월 등급 정보'!$D$5,3,IF(INT(I49)&gt;='3월 등급 정보'!$D$6,4,IF(INT(I49)&gt;='3월 등급 정보'!$D$7,5,IF(INT(I49)&gt;='3월 등급 정보'!$D$8,6,IF(INT(I49)&gt;='3월 등급 정보'!$D$9,7,IF(INT(I49)&gt;='3월 등급 정보'!$D$10,8,IF(INT(I49)&gt;='3월 등급 정보'!$D$11,9)))))))))</f>
        <v>2</v>
      </c>
      <c r="M49" s="34">
        <v>84</v>
      </c>
      <c r="N49" s="33"/>
      <c r="O49" s="33"/>
      <c r="P49" s="33">
        <f>IF(INT(M49)&gt;='3월 등급 정보'!$E$3,1,IF(INT(M49)&gt;='3월 등급 정보'!$E$4,2,IF(INT(M49)&gt;='3월 등급 정보'!$E$5,3,IF(INT(M49)&gt;='3월 등급 정보'!$E$6,4,IF(INT(M49)&gt;='3월 등급 정보'!$E$7,5,IF(INT(M49)&gt;='3월 등급 정보'!$E$8,6,IF(INT(M49)&gt;='3월 등급 정보'!$E$9,7,IF(INT(M49)&gt;='3월 등급 정보'!$E$10,8,IF(INT(M49)&gt;='3월 등급 정보'!$E$11,9)))))))))</f>
        <v>2</v>
      </c>
      <c r="Q49" s="34">
        <v>44</v>
      </c>
      <c r="R49" s="33"/>
      <c r="S49" s="33"/>
      <c r="T49" s="33">
        <f>IF(INT(Q49)&gt;='3월 등급 정보'!$F$3,1,IF(INT(Q49)&gt;='3월 등급 정보'!$F$4,2,IF(INT(Q49)&gt;='3월 등급 정보'!$F$5,3,IF(INT(Q49)&gt;='3월 등급 정보'!$F$6,4,IF(INT(Q49)&gt;='3월 등급 정보'!$F$7,5,IF(INT(Q49)&gt;='3월 등급 정보'!$F$8,6,IF(INT(Q49)&gt;='3월 등급 정보'!$F$9,7,IF(INT(Q49)&gt;='3월 등급 정보'!$F$10,8,IF(INT(Q49)&gt;='3월 등급 정보'!$F$11,9)))))))))</f>
        <v>2</v>
      </c>
      <c r="U49" s="34">
        <v>23.5</v>
      </c>
      <c r="V49" s="33"/>
      <c r="W49" s="33"/>
      <c r="X49" s="33">
        <f>IF(INT(U49)&gt;='3월 등급 정보'!$G$3,1,IF(INT(U49)&gt;='3월 등급 정보'!$G$4,2,IF(INT(U49)&gt;='3월 등급 정보'!$G$5,3,IF(INT(U49)&gt;='3월 등급 정보'!$G$6,4,IF(INT(U49)&gt;='3월 등급 정보'!$G$7,5,IF(INT(U49)&gt;='3월 등급 정보'!$G$8,6,IF(INT(U49)&gt;='3월 등급 정보'!$G$9,7,IF(INT(U49)&gt;='3월 등급 정보'!$G$10,8,IF(INT(U49)&gt;='3월 등급 정보'!$G$11,9)))))))))</f>
        <v>5</v>
      </c>
      <c r="Y49" s="34">
        <v>32</v>
      </c>
      <c r="Z49" s="33"/>
      <c r="AA49" s="33"/>
      <c r="AB49" s="33">
        <f>IF(INT(Y49)&gt;='3월 등급 정보'!$H$3,1,IF(INT(Y49)&gt;='3월 등급 정보'!$H$4,2,IF(INT(Y49)&gt;='3월 등급 정보'!$H$5,3,IF(INT(Y49)&gt;='3월 등급 정보'!$H$6,4,IF(INT(Y49)&gt;='3월 등급 정보'!$H$7,5,IF(INT(Y49)&gt;='3월 등급 정보'!$H$8,6,IF(INT(Y49)&gt;='3월 등급 정보'!$H$9,7,IF(INT(Y49)&gt;='3월 등급 정보'!$H$10,8,IF(INT(Y49)&gt;='3월 등급 정보'!$H$11,9)))))))))</f>
        <v>3</v>
      </c>
      <c r="AC49" s="33">
        <f>E49+I49+M49+Q49+U49</f>
        <v>290.5</v>
      </c>
      <c r="AD49" s="33">
        <f>RANK(AC49,$AC$3:$AC$273)</f>
        <v>47</v>
      </c>
    </row>
    <row r="50" spans="1:30" ht="17.25" customHeight="1">
      <c r="A50" s="33" t="s">
        <v>26</v>
      </c>
      <c r="B50" s="34">
        <v>4</v>
      </c>
      <c r="C50" s="34">
        <v>1</v>
      </c>
      <c r="D50" s="34" t="s">
        <v>106</v>
      </c>
      <c r="E50" s="34">
        <v>65</v>
      </c>
      <c r="F50" s="33"/>
      <c r="G50" s="33"/>
      <c r="H50" s="33">
        <f>IF(INT(E50)&gt;='3월 등급 정보'!$C$3,1,IF(INT(E50)&gt;='3월 등급 정보'!$C$4,2,IF(INT(E50)&gt;='3월 등급 정보'!$C$5,3,IF(INT(E50)&gt;='3월 등급 정보'!$C$6,4,IF(INT(E50)&gt;='3월 등급 정보'!$C$7,5,IF(INT(E50)&gt;='3월 등급 정보'!$C$8,6,IF(INT(E50)&gt;='3월 등급 정보'!$C$9,7,IF(INT(E50)&gt;='3월 등급 정보'!$C$10,8,IF(INT(E50)&gt;='3월 등급 정보'!$C$11,9)))))))))</f>
        <v>4</v>
      </c>
      <c r="I50" s="34">
        <v>61</v>
      </c>
      <c r="J50" s="33"/>
      <c r="K50" s="33"/>
      <c r="L50" s="33">
        <f>IF(INT(I50)&gt;='3월 등급 정보'!$D$3,1,IF(INT(I50)&gt;='3월 등급 정보'!$D$4,2,IF(INT(I50)&gt;='3월 등급 정보'!$D$5,3,IF(INT(I50)&gt;='3월 등급 정보'!$D$6,4,IF(INT(I50)&gt;='3월 등급 정보'!$D$7,5,IF(INT(I50)&gt;='3월 등급 정보'!$D$8,6,IF(INT(I50)&gt;='3월 등급 정보'!$D$9,7,IF(INT(I50)&gt;='3월 등급 정보'!$D$10,8,IF(INT(I50)&gt;='3월 등급 정보'!$D$11,9)))))))))</f>
        <v>3</v>
      </c>
      <c r="M50" s="34">
        <v>81</v>
      </c>
      <c r="N50" s="33"/>
      <c r="O50" s="33"/>
      <c r="P50" s="33">
        <f>IF(INT(M50)&gt;='3월 등급 정보'!$E$3,1,IF(INT(M50)&gt;='3월 등급 정보'!$E$4,2,IF(INT(M50)&gt;='3월 등급 정보'!$E$5,3,IF(INT(M50)&gt;='3월 등급 정보'!$E$6,4,IF(INT(M50)&gt;='3월 등급 정보'!$E$7,5,IF(INT(M50)&gt;='3월 등급 정보'!$E$8,6,IF(INT(M50)&gt;='3월 등급 정보'!$E$9,7,IF(INT(M50)&gt;='3월 등급 정보'!$E$10,8,IF(INT(M50)&gt;='3월 등급 정보'!$E$11,9)))))))))</f>
        <v>2</v>
      </c>
      <c r="Q50" s="34">
        <v>45.5</v>
      </c>
      <c r="R50" s="33"/>
      <c r="S50" s="33"/>
      <c r="T50" s="33">
        <f>IF(INT(Q50)&gt;='3월 등급 정보'!$F$3,1,IF(INT(Q50)&gt;='3월 등급 정보'!$F$4,2,IF(INT(Q50)&gt;='3월 등급 정보'!$F$5,3,IF(INT(Q50)&gt;='3월 등급 정보'!$F$6,4,IF(INT(Q50)&gt;='3월 등급 정보'!$F$7,5,IF(INT(Q50)&gt;='3월 등급 정보'!$F$8,6,IF(INT(Q50)&gt;='3월 등급 정보'!$F$9,7,IF(INT(Q50)&gt;='3월 등급 정보'!$F$10,8,IF(INT(Q50)&gt;='3월 등급 정보'!$F$11,9)))))))))</f>
        <v>2</v>
      </c>
      <c r="U50" s="34">
        <v>36.5</v>
      </c>
      <c r="V50" s="33"/>
      <c r="W50" s="33"/>
      <c r="X50" s="33">
        <f>IF(INT(U50)&gt;='3월 등급 정보'!$G$3,1,IF(INT(U50)&gt;='3월 등급 정보'!$G$4,2,IF(INT(U50)&gt;='3월 등급 정보'!$G$5,3,IF(INT(U50)&gt;='3월 등급 정보'!$G$6,4,IF(INT(U50)&gt;='3월 등급 정보'!$G$7,5,IF(INT(U50)&gt;='3월 등급 정보'!$G$8,6,IF(INT(U50)&gt;='3월 등급 정보'!$G$9,7,IF(INT(U50)&gt;='3월 등급 정보'!$G$10,8,IF(INT(U50)&gt;='3월 등급 정보'!$G$11,9)))))))))</f>
        <v>3</v>
      </c>
      <c r="Y50" s="34">
        <v>45</v>
      </c>
      <c r="Z50" s="33"/>
      <c r="AA50" s="33"/>
      <c r="AB50" s="33">
        <f>IF(INT(Y50)&gt;='3월 등급 정보'!$H$3,1,IF(INT(Y50)&gt;='3월 등급 정보'!$H$4,2,IF(INT(Y50)&gt;='3월 등급 정보'!$H$5,3,IF(INT(Y50)&gt;='3월 등급 정보'!$H$6,4,IF(INT(Y50)&gt;='3월 등급 정보'!$H$7,5,IF(INT(Y50)&gt;='3월 등급 정보'!$H$8,6,IF(INT(Y50)&gt;='3월 등급 정보'!$H$9,7,IF(INT(Y50)&gt;='3월 등급 정보'!$H$10,8,IF(INT(Y50)&gt;='3월 등급 정보'!$H$11,9)))))))))</f>
        <v>1</v>
      </c>
      <c r="AC50" s="33">
        <f>E50+I50+M50+Q50+U50</f>
        <v>289</v>
      </c>
      <c r="AD50" s="33">
        <f>RANK(AC50,$AC$3:$AC$273)</f>
        <v>48</v>
      </c>
    </row>
    <row r="51" spans="1:30" ht="17.25" customHeight="1">
      <c r="A51" s="33" t="s">
        <v>26</v>
      </c>
      <c r="B51" s="34">
        <v>4</v>
      </c>
      <c r="C51" s="34">
        <v>24</v>
      </c>
      <c r="D51" s="34" t="s">
        <v>128</v>
      </c>
      <c r="E51" s="34">
        <v>76</v>
      </c>
      <c r="F51" s="33"/>
      <c r="G51" s="33"/>
      <c r="H51" s="33">
        <f>IF(INT(E51)&gt;='3월 등급 정보'!$C$3,1,IF(INT(E51)&gt;='3월 등급 정보'!$C$4,2,IF(INT(E51)&gt;='3월 등급 정보'!$C$5,3,IF(INT(E51)&gt;='3월 등급 정보'!$C$6,4,IF(INT(E51)&gt;='3월 등급 정보'!$C$7,5,IF(INT(E51)&gt;='3월 등급 정보'!$C$8,6,IF(INT(E51)&gt;='3월 등급 정보'!$C$9,7,IF(INT(E51)&gt;='3월 등급 정보'!$C$10,8,IF(INT(E51)&gt;='3월 등급 정보'!$C$11,9)))))))))</f>
        <v>3</v>
      </c>
      <c r="I51" s="34">
        <v>61</v>
      </c>
      <c r="J51" s="33"/>
      <c r="K51" s="33"/>
      <c r="L51" s="33">
        <f>IF(INT(I51)&gt;='3월 등급 정보'!$D$3,1,IF(INT(I51)&gt;='3월 등급 정보'!$D$4,2,IF(INT(I51)&gt;='3월 등급 정보'!$D$5,3,IF(INT(I51)&gt;='3월 등급 정보'!$D$6,4,IF(INT(I51)&gt;='3월 등급 정보'!$D$7,5,IF(INT(I51)&gt;='3월 등급 정보'!$D$8,6,IF(INT(I51)&gt;='3월 등급 정보'!$D$9,7,IF(INT(I51)&gt;='3월 등급 정보'!$D$10,8,IF(INT(I51)&gt;='3월 등급 정보'!$D$11,9)))))))))</f>
        <v>3</v>
      </c>
      <c r="M51" s="34">
        <v>73</v>
      </c>
      <c r="N51" s="33"/>
      <c r="O51" s="33"/>
      <c r="P51" s="33">
        <f>IF(INT(M51)&gt;='3월 등급 정보'!$E$3,1,IF(INT(M51)&gt;='3월 등급 정보'!$E$4,2,IF(INT(M51)&gt;='3월 등급 정보'!$E$5,3,IF(INT(M51)&gt;='3월 등급 정보'!$E$6,4,IF(INT(M51)&gt;='3월 등급 정보'!$E$7,5,IF(INT(M51)&gt;='3월 등급 정보'!$E$8,6,IF(INT(M51)&gt;='3월 등급 정보'!$E$9,7,IF(INT(M51)&gt;='3월 등급 정보'!$E$10,8,IF(INT(M51)&gt;='3월 등급 정보'!$E$11,9)))))))))</f>
        <v>3</v>
      </c>
      <c r="Q51" s="34">
        <v>46</v>
      </c>
      <c r="R51" s="33"/>
      <c r="S51" s="33"/>
      <c r="T51" s="33">
        <f>IF(INT(Q51)&gt;='3월 등급 정보'!$F$3,1,IF(INT(Q51)&gt;='3월 등급 정보'!$F$4,2,IF(INT(Q51)&gt;='3월 등급 정보'!$F$5,3,IF(INT(Q51)&gt;='3월 등급 정보'!$F$6,4,IF(INT(Q51)&gt;='3월 등급 정보'!$F$7,5,IF(INT(Q51)&gt;='3월 등급 정보'!$F$8,6,IF(INT(Q51)&gt;='3월 등급 정보'!$F$9,7,IF(INT(Q51)&gt;='3월 등급 정보'!$F$10,8,IF(INT(Q51)&gt;='3월 등급 정보'!$F$11,9)))))))))</f>
        <v>2</v>
      </c>
      <c r="U51" s="34">
        <v>32.5</v>
      </c>
      <c r="V51" s="33"/>
      <c r="W51" s="33"/>
      <c r="X51" s="33">
        <f>IF(INT(U51)&gt;='3월 등급 정보'!$G$3,1,IF(INT(U51)&gt;='3월 등급 정보'!$G$4,2,IF(INT(U51)&gt;='3월 등급 정보'!$G$5,3,IF(INT(U51)&gt;='3월 등급 정보'!$G$6,4,IF(INT(U51)&gt;='3월 등급 정보'!$G$7,5,IF(INT(U51)&gt;='3월 등급 정보'!$G$8,6,IF(INT(U51)&gt;='3월 등급 정보'!$G$9,7,IF(INT(U51)&gt;='3월 등급 정보'!$G$10,8,IF(INT(U51)&gt;='3월 등급 정보'!$G$11,9)))))))))</f>
        <v>3</v>
      </c>
      <c r="Y51" s="34">
        <v>47</v>
      </c>
      <c r="Z51" s="33"/>
      <c r="AA51" s="33"/>
      <c r="AB51" s="33">
        <f>IF(INT(Y51)&gt;='3월 등급 정보'!$H$3,1,IF(INT(Y51)&gt;='3월 등급 정보'!$H$4,2,IF(INT(Y51)&gt;='3월 등급 정보'!$H$5,3,IF(INT(Y51)&gt;='3월 등급 정보'!$H$6,4,IF(INT(Y51)&gt;='3월 등급 정보'!$H$7,5,IF(INT(Y51)&gt;='3월 등급 정보'!$H$8,6,IF(INT(Y51)&gt;='3월 등급 정보'!$H$9,7,IF(INT(Y51)&gt;='3월 등급 정보'!$H$10,8,IF(INT(Y51)&gt;='3월 등급 정보'!$H$11,9)))))))))</f>
        <v>1</v>
      </c>
      <c r="AC51" s="33">
        <f>E51+I51+M51+Q51+U51</f>
        <v>288.5</v>
      </c>
      <c r="AD51" s="33">
        <f>RANK(AC51,$AC$3:$AC$273)</f>
        <v>49</v>
      </c>
    </row>
    <row r="52" spans="1:30" ht="17.25" customHeight="1">
      <c r="A52" s="33" t="s">
        <v>26</v>
      </c>
      <c r="B52" s="34">
        <v>2</v>
      </c>
      <c r="C52" s="34">
        <v>21</v>
      </c>
      <c r="D52" s="34" t="s">
        <v>73</v>
      </c>
      <c r="E52" s="34">
        <v>60</v>
      </c>
      <c r="F52" s="33"/>
      <c r="G52" s="33"/>
      <c r="H52" s="33">
        <f>IF(INT(E52)&gt;='3월 등급 정보'!$C$3,1,IF(INT(E52)&gt;='3월 등급 정보'!$C$4,2,IF(INT(E52)&gt;='3월 등급 정보'!$C$5,3,IF(INT(E52)&gt;='3월 등급 정보'!$C$6,4,IF(INT(E52)&gt;='3월 등급 정보'!$C$7,5,IF(INT(E52)&gt;='3월 등급 정보'!$C$8,6,IF(INT(E52)&gt;='3월 등급 정보'!$C$9,7,IF(INT(E52)&gt;='3월 등급 정보'!$C$10,8,IF(INT(E52)&gt;='3월 등급 정보'!$C$11,9)))))))))</f>
        <v>4</v>
      </c>
      <c r="I52" s="34">
        <v>67</v>
      </c>
      <c r="J52" s="33"/>
      <c r="K52" s="33"/>
      <c r="L52" s="33">
        <f>IF(INT(I52)&gt;='3월 등급 정보'!$D$3,1,IF(INT(I52)&gt;='3월 등급 정보'!$D$4,2,IF(INT(I52)&gt;='3월 등급 정보'!$D$5,3,IF(INT(I52)&gt;='3월 등급 정보'!$D$6,4,IF(INT(I52)&gt;='3월 등급 정보'!$D$7,5,IF(INT(I52)&gt;='3월 등급 정보'!$D$8,6,IF(INT(I52)&gt;='3월 등급 정보'!$D$9,7,IF(INT(I52)&gt;='3월 등급 정보'!$D$10,8,IF(INT(I52)&gt;='3월 등급 정보'!$D$11,9)))))))))</f>
        <v>3</v>
      </c>
      <c r="M52" s="34">
        <v>71</v>
      </c>
      <c r="N52" s="33"/>
      <c r="O52" s="33"/>
      <c r="P52" s="33">
        <f>IF(INT(M52)&gt;='3월 등급 정보'!$E$3,1,IF(INT(M52)&gt;='3월 등급 정보'!$E$4,2,IF(INT(M52)&gt;='3월 등급 정보'!$E$5,3,IF(INT(M52)&gt;='3월 등급 정보'!$E$6,4,IF(INT(M52)&gt;='3월 등급 정보'!$E$7,5,IF(INT(M52)&gt;='3월 등급 정보'!$E$8,6,IF(INT(M52)&gt;='3월 등급 정보'!$E$9,7,IF(INT(M52)&gt;='3월 등급 정보'!$E$10,8,IF(INT(M52)&gt;='3월 등급 정보'!$E$11,9)))))))))</f>
        <v>3</v>
      </c>
      <c r="Q52" s="34">
        <v>46</v>
      </c>
      <c r="R52" s="33"/>
      <c r="S52" s="33"/>
      <c r="T52" s="33">
        <f>IF(INT(Q52)&gt;='3월 등급 정보'!$F$3,1,IF(INT(Q52)&gt;='3월 등급 정보'!$F$4,2,IF(INT(Q52)&gt;='3월 등급 정보'!$F$5,3,IF(INT(Q52)&gt;='3월 등급 정보'!$F$6,4,IF(INT(Q52)&gt;='3월 등급 정보'!$F$7,5,IF(INT(Q52)&gt;='3월 등급 정보'!$F$8,6,IF(INT(Q52)&gt;='3월 등급 정보'!$F$9,7,IF(INT(Q52)&gt;='3월 등급 정보'!$F$10,8,IF(INT(Q52)&gt;='3월 등급 정보'!$F$11,9)))))))))</f>
        <v>2</v>
      </c>
      <c r="U52" s="34">
        <v>43.5</v>
      </c>
      <c r="V52" s="33"/>
      <c r="W52" s="33"/>
      <c r="X52" s="33">
        <f>IF(INT(U52)&gt;='3월 등급 정보'!$G$3,1,IF(INT(U52)&gt;='3월 등급 정보'!$G$4,2,IF(INT(U52)&gt;='3월 등급 정보'!$G$5,3,IF(INT(U52)&gt;='3월 등급 정보'!$G$6,4,IF(INT(U52)&gt;='3월 등급 정보'!$G$7,5,IF(INT(U52)&gt;='3월 등급 정보'!$G$8,6,IF(INT(U52)&gt;='3월 등급 정보'!$G$9,7,IF(INT(U52)&gt;='3월 등급 정보'!$G$10,8,IF(INT(U52)&gt;='3월 등급 정보'!$G$11,9)))))))))</f>
        <v>1</v>
      </c>
      <c r="Y52" s="34">
        <v>44</v>
      </c>
      <c r="Z52" s="33"/>
      <c r="AA52" s="33"/>
      <c r="AB52" s="33">
        <f>IF(INT(Y52)&gt;='3월 등급 정보'!$H$3,1,IF(INT(Y52)&gt;='3월 등급 정보'!$H$4,2,IF(INT(Y52)&gt;='3월 등급 정보'!$H$5,3,IF(INT(Y52)&gt;='3월 등급 정보'!$H$6,4,IF(INT(Y52)&gt;='3월 등급 정보'!$H$7,5,IF(INT(Y52)&gt;='3월 등급 정보'!$H$8,6,IF(INT(Y52)&gt;='3월 등급 정보'!$H$9,7,IF(INT(Y52)&gt;='3월 등급 정보'!$H$10,8,IF(INT(Y52)&gt;='3월 등급 정보'!$H$11,9)))))))))</f>
        <v>1</v>
      </c>
      <c r="AC52" s="33">
        <f>E52+I52+M52+Q52+U52</f>
        <v>287.5</v>
      </c>
      <c r="AD52" s="33">
        <f>RANK(AC52,$AC$3:$AC$273)</f>
        <v>50</v>
      </c>
    </row>
    <row r="53" spans="1:30" ht="17.25" customHeight="1">
      <c r="A53" s="33" t="s">
        <v>26</v>
      </c>
      <c r="B53" s="34">
        <v>9</v>
      </c>
      <c r="C53" s="34">
        <v>5</v>
      </c>
      <c r="D53" s="34" t="s">
        <v>244</v>
      </c>
      <c r="E53" s="34">
        <v>77</v>
      </c>
      <c r="F53" s="33"/>
      <c r="G53" s="33"/>
      <c r="H53" s="33">
        <f>IF(INT(E53)&gt;='3월 등급 정보'!$C$3,1,IF(INT(E53)&gt;='3월 등급 정보'!$C$4,2,IF(INT(E53)&gt;='3월 등급 정보'!$C$5,3,IF(INT(E53)&gt;='3월 등급 정보'!$C$6,4,IF(INT(E53)&gt;='3월 등급 정보'!$C$7,5,IF(INT(E53)&gt;='3월 등급 정보'!$C$8,6,IF(INT(E53)&gt;='3월 등급 정보'!$C$9,7,IF(INT(E53)&gt;='3월 등급 정보'!$C$10,8,IF(INT(E53)&gt;='3월 등급 정보'!$C$11,9)))))))))</f>
        <v>3</v>
      </c>
      <c r="I53" s="34">
        <v>68</v>
      </c>
      <c r="J53" s="33"/>
      <c r="K53" s="33"/>
      <c r="L53" s="33">
        <f>IF(INT(I53)&gt;='3월 등급 정보'!$D$3,1,IF(INT(I53)&gt;='3월 등급 정보'!$D$4,2,IF(INT(I53)&gt;='3월 등급 정보'!$D$5,3,IF(INT(I53)&gt;='3월 등급 정보'!$D$6,4,IF(INT(I53)&gt;='3월 등급 정보'!$D$7,5,IF(INT(I53)&gt;='3월 등급 정보'!$D$8,6,IF(INT(I53)&gt;='3월 등급 정보'!$D$9,7,IF(INT(I53)&gt;='3월 등급 정보'!$D$10,8,IF(INT(I53)&gt;='3월 등급 정보'!$D$11,9)))))))))</f>
        <v>3</v>
      </c>
      <c r="M53" s="34">
        <v>71</v>
      </c>
      <c r="N53" s="33"/>
      <c r="O53" s="33"/>
      <c r="P53" s="33">
        <f>IF(INT(M53)&gt;='3월 등급 정보'!$E$3,1,IF(INT(M53)&gt;='3월 등급 정보'!$E$4,2,IF(INT(M53)&gt;='3월 등급 정보'!$E$5,3,IF(INT(M53)&gt;='3월 등급 정보'!$E$6,4,IF(INT(M53)&gt;='3월 등급 정보'!$E$7,5,IF(INT(M53)&gt;='3월 등급 정보'!$E$8,6,IF(INT(M53)&gt;='3월 등급 정보'!$E$9,7,IF(INT(M53)&gt;='3월 등급 정보'!$E$10,8,IF(INT(M53)&gt;='3월 등급 정보'!$E$11,9)))))))))</f>
        <v>3</v>
      </c>
      <c r="Q53" s="34">
        <v>37.5</v>
      </c>
      <c r="R53" s="33"/>
      <c r="S53" s="33"/>
      <c r="T53" s="33">
        <f>IF(INT(Q53)&gt;='3월 등급 정보'!$F$3,1,IF(INT(Q53)&gt;='3월 등급 정보'!$F$4,2,IF(INT(Q53)&gt;='3월 등급 정보'!$F$5,3,IF(INT(Q53)&gt;='3월 등급 정보'!$F$6,4,IF(INT(Q53)&gt;='3월 등급 정보'!$F$7,5,IF(INT(Q53)&gt;='3월 등급 정보'!$F$8,6,IF(INT(Q53)&gt;='3월 등급 정보'!$F$9,7,IF(INT(Q53)&gt;='3월 등급 정보'!$F$10,8,IF(INT(Q53)&gt;='3월 등급 정보'!$F$11,9)))))))))</f>
        <v>4</v>
      </c>
      <c r="U53" s="34">
        <v>33</v>
      </c>
      <c r="V53" s="33"/>
      <c r="W53" s="33"/>
      <c r="X53" s="33">
        <f>IF(INT(U53)&gt;='3월 등급 정보'!$G$3,1,IF(INT(U53)&gt;='3월 등급 정보'!$G$4,2,IF(INT(U53)&gt;='3월 등급 정보'!$G$5,3,IF(INT(U53)&gt;='3월 등급 정보'!$G$6,4,IF(INT(U53)&gt;='3월 등급 정보'!$G$7,5,IF(INT(U53)&gt;='3월 등급 정보'!$G$8,6,IF(INT(U53)&gt;='3월 등급 정보'!$G$9,7,IF(INT(U53)&gt;='3월 등급 정보'!$G$10,8,IF(INT(U53)&gt;='3월 등급 정보'!$G$11,9)))))))))</f>
        <v>3</v>
      </c>
      <c r="Y53" s="34">
        <v>40</v>
      </c>
      <c r="Z53" s="33"/>
      <c r="AA53" s="33"/>
      <c r="AB53" s="33">
        <f>IF(INT(Y53)&gt;='3월 등급 정보'!$H$3,1,IF(INT(Y53)&gt;='3월 등급 정보'!$H$4,2,IF(INT(Y53)&gt;='3월 등급 정보'!$H$5,3,IF(INT(Y53)&gt;='3월 등급 정보'!$H$6,4,IF(INT(Y53)&gt;='3월 등급 정보'!$H$7,5,IF(INT(Y53)&gt;='3월 등급 정보'!$H$8,6,IF(INT(Y53)&gt;='3월 등급 정보'!$H$9,7,IF(INT(Y53)&gt;='3월 등급 정보'!$H$10,8,IF(INT(Y53)&gt;='3월 등급 정보'!$H$11,9)))))))))</f>
        <v>1</v>
      </c>
      <c r="AC53" s="33">
        <f>E53+I53+M53+Q53+U53</f>
        <v>286.5</v>
      </c>
      <c r="AD53" s="33">
        <f>RANK(AC53,$AC$3:$AC$273)</f>
        <v>51</v>
      </c>
    </row>
    <row r="54" spans="1:30" ht="17.25" customHeight="1">
      <c r="A54" s="33" t="s">
        <v>26</v>
      </c>
      <c r="B54" s="34">
        <v>5</v>
      </c>
      <c r="C54" s="34">
        <v>19</v>
      </c>
      <c r="D54" s="34" t="s">
        <v>149</v>
      </c>
      <c r="E54" s="34">
        <v>62</v>
      </c>
      <c r="F54" s="33"/>
      <c r="G54" s="33"/>
      <c r="H54" s="33">
        <f>IF(INT(E54)&gt;='3월 등급 정보'!$C$3,1,IF(INT(E54)&gt;='3월 등급 정보'!$C$4,2,IF(INT(E54)&gt;='3월 등급 정보'!$C$5,3,IF(INT(E54)&gt;='3월 등급 정보'!$C$6,4,IF(INT(E54)&gt;='3월 등급 정보'!$C$7,5,IF(INT(E54)&gt;='3월 등급 정보'!$C$8,6,IF(INT(E54)&gt;='3월 등급 정보'!$C$9,7,IF(INT(E54)&gt;='3월 등급 정보'!$C$10,8,IF(INT(E54)&gt;='3월 등급 정보'!$C$11,9)))))))))</f>
        <v>4</v>
      </c>
      <c r="I54" s="34">
        <v>58</v>
      </c>
      <c r="J54" s="33"/>
      <c r="K54" s="33"/>
      <c r="L54" s="33">
        <f>IF(INT(I54)&gt;='3월 등급 정보'!$D$3,1,IF(INT(I54)&gt;='3월 등급 정보'!$D$4,2,IF(INT(I54)&gt;='3월 등급 정보'!$D$5,3,IF(INT(I54)&gt;='3월 등급 정보'!$D$6,4,IF(INT(I54)&gt;='3월 등급 정보'!$D$7,5,IF(INT(I54)&gt;='3월 등급 정보'!$D$8,6,IF(INT(I54)&gt;='3월 등급 정보'!$D$9,7,IF(INT(I54)&gt;='3월 등급 정보'!$D$10,8,IF(INT(I54)&gt;='3월 등급 정보'!$D$11,9)))))))))</f>
        <v>4</v>
      </c>
      <c r="M54" s="34">
        <v>79</v>
      </c>
      <c r="N54" s="33"/>
      <c r="O54" s="33"/>
      <c r="P54" s="33">
        <f>IF(INT(M54)&gt;='3월 등급 정보'!$E$3,1,IF(INT(M54)&gt;='3월 등급 정보'!$E$4,2,IF(INT(M54)&gt;='3월 등급 정보'!$E$5,3,IF(INT(M54)&gt;='3월 등급 정보'!$E$6,4,IF(INT(M54)&gt;='3월 등급 정보'!$E$7,5,IF(INT(M54)&gt;='3월 등급 정보'!$E$8,6,IF(INT(M54)&gt;='3월 등급 정보'!$E$9,7,IF(INT(M54)&gt;='3월 등급 정보'!$E$10,8,IF(INT(M54)&gt;='3월 등급 정보'!$E$11,9)))))))))</f>
        <v>3</v>
      </c>
      <c r="Q54" s="34">
        <v>50</v>
      </c>
      <c r="R54" s="33"/>
      <c r="S54" s="33"/>
      <c r="T54" s="33">
        <f>IF(INT(Q54)&gt;='3월 등급 정보'!$F$3,1,IF(INT(Q54)&gt;='3월 등급 정보'!$F$4,2,IF(INT(Q54)&gt;='3월 등급 정보'!$F$5,3,IF(INT(Q54)&gt;='3월 등급 정보'!$F$6,4,IF(INT(Q54)&gt;='3월 등급 정보'!$F$7,5,IF(INT(Q54)&gt;='3월 등급 정보'!$F$8,6,IF(INT(Q54)&gt;='3월 등급 정보'!$F$9,7,IF(INT(Q54)&gt;='3월 등급 정보'!$F$10,8,IF(INT(Q54)&gt;='3월 등급 정보'!$F$11,9)))))))))</f>
        <v>1</v>
      </c>
      <c r="U54" s="34">
        <v>35.5</v>
      </c>
      <c r="V54" s="33"/>
      <c r="W54" s="33"/>
      <c r="X54" s="33">
        <f>IF(INT(U54)&gt;='3월 등급 정보'!$G$3,1,IF(INT(U54)&gt;='3월 등급 정보'!$G$4,2,IF(INT(U54)&gt;='3월 등급 정보'!$G$5,3,IF(INT(U54)&gt;='3월 등급 정보'!$G$6,4,IF(INT(U54)&gt;='3월 등급 정보'!$G$7,5,IF(INT(U54)&gt;='3월 등급 정보'!$G$8,6,IF(INT(U54)&gt;='3월 등급 정보'!$G$9,7,IF(INT(U54)&gt;='3월 등급 정보'!$G$10,8,IF(INT(U54)&gt;='3월 등급 정보'!$G$11,9)))))))))</f>
        <v>3</v>
      </c>
      <c r="Y54" s="34">
        <v>44</v>
      </c>
      <c r="Z54" s="33"/>
      <c r="AA54" s="33"/>
      <c r="AB54" s="33">
        <f>IF(INT(Y54)&gt;='3월 등급 정보'!$H$3,1,IF(INT(Y54)&gt;='3월 등급 정보'!$H$4,2,IF(INT(Y54)&gt;='3월 등급 정보'!$H$5,3,IF(INT(Y54)&gt;='3월 등급 정보'!$H$6,4,IF(INT(Y54)&gt;='3월 등급 정보'!$H$7,5,IF(INT(Y54)&gt;='3월 등급 정보'!$H$8,6,IF(INT(Y54)&gt;='3월 등급 정보'!$H$9,7,IF(INT(Y54)&gt;='3월 등급 정보'!$H$10,8,IF(INT(Y54)&gt;='3월 등급 정보'!$H$11,9)))))))))</f>
        <v>1</v>
      </c>
      <c r="AC54" s="33">
        <f>E54+I54+M54+Q54+U54</f>
        <v>284.5</v>
      </c>
      <c r="AD54" s="33">
        <f>RANK(AC54,$AC$3:$AC$273)</f>
        <v>52</v>
      </c>
    </row>
    <row r="55" spans="1:30" ht="17.25" customHeight="1">
      <c r="A55" s="33" t="s">
        <v>26</v>
      </c>
      <c r="B55" s="34">
        <v>7</v>
      </c>
      <c r="C55" s="34">
        <v>5</v>
      </c>
      <c r="D55" s="34" t="s">
        <v>191</v>
      </c>
      <c r="E55" s="34">
        <v>69</v>
      </c>
      <c r="F55" s="33"/>
      <c r="G55" s="33"/>
      <c r="H55" s="33">
        <f>IF(INT(E55)&gt;='3월 등급 정보'!$C$3,1,IF(INT(E55)&gt;='3월 등급 정보'!$C$4,2,IF(INT(E55)&gt;='3월 등급 정보'!$C$5,3,IF(INT(E55)&gt;='3월 등급 정보'!$C$6,4,IF(INT(E55)&gt;='3월 등급 정보'!$C$7,5,IF(INT(E55)&gt;='3월 등급 정보'!$C$8,6,IF(INT(E55)&gt;='3월 등급 정보'!$C$9,7,IF(INT(E55)&gt;='3월 등급 정보'!$C$10,8,IF(INT(E55)&gt;='3월 등급 정보'!$C$11,9)))))))))</f>
        <v>4</v>
      </c>
      <c r="I55" s="34">
        <v>84</v>
      </c>
      <c r="J55" s="33"/>
      <c r="K55" s="33"/>
      <c r="L55" s="33">
        <f>IF(INT(I55)&gt;='3월 등급 정보'!$D$3,1,IF(INT(I55)&gt;='3월 등급 정보'!$D$4,2,IF(INT(I55)&gt;='3월 등급 정보'!$D$5,3,IF(INT(I55)&gt;='3월 등급 정보'!$D$6,4,IF(INT(I55)&gt;='3월 등급 정보'!$D$7,5,IF(INT(I55)&gt;='3월 등급 정보'!$D$8,6,IF(INT(I55)&gt;='3월 등급 정보'!$D$9,7,IF(INT(I55)&gt;='3월 등급 정보'!$D$10,8,IF(INT(I55)&gt;='3월 등급 정보'!$D$11,9)))))))))</f>
        <v>1</v>
      </c>
      <c r="M55" s="34">
        <v>61</v>
      </c>
      <c r="N55" s="33"/>
      <c r="O55" s="33"/>
      <c r="P55" s="33">
        <f>IF(INT(M55)&gt;='3월 등급 정보'!$E$3,1,IF(INT(M55)&gt;='3월 등급 정보'!$E$4,2,IF(INT(M55)&gt;='3월 등급 정보'!$E$5,3,IF(INT(M55)&gt;='3월 등급 정보'!$E$6,4,IF(INT(M55)&gt;='3월 등급 정보'!$E$7,5,IF(INT(M55)&gt;='3월 등급 정보'!$E$8,6,IF(INT(M55)&gt;='3월 등급 정보'!$E$9,7,IF(INT(M55)&gt;='3월 등급 정보'!$E$10,8,IF(INT(M55)&gt;='3월 등급 정보'!$E$11,9)))))))))</f>
        <v>4</v>
      </c>
      <c r="Q55" s="34">
        <v>30</v>
      </c>
      <c r="R55" s="33"/>
      <c r="S55" s="33"/>
      <c r="T55" s="33">
        <f>IF(INT(Q55)&gt;='3월 등급 정보'!$F$3,1,IF(INT(Q55)&gt;='3월 등급 정보'!$F$4,2,IF(INT(Q55)&gt;='3월 등급 정보'!$F$5,3,IF(INT(Q55)&gt;='3월 등급 정보'!$F$6,4,IF(INT(Q55)&gt;='3월 등급 정보'!$F$7,5,IF(INT(Q55)&gt;='3월 등급 정보'!$F$8,6,IF(INT(Q55)&gt;='3월 등급 정보'!$F$9,7,IF(INT(Q55)&gt;='3월 등급 정보'!$F$10,8,IF(INT(Q55)&gt;='3월 등급 정보'!$F$11,9)))))))))</f>
        <v>5</v>
      </c>
      <c r="U55" s="34">
        <v>38.5</v>
      </c>
      <c r="V55" s="33"/>
      <c r="W55" s="33"/>
      <c r="X55" s="33">
        <f>IF(INT(U55)&gt;='3월 등급 정보'!$G$3,1,IF(INT(U55)&gt;='3월 등급 정보'!$G$4,2,IF(INT(U55)&gt;='3월 등급 정보'!$G$5,3,IF(INT(U55)&gt;='3월 등급 정보'!$G$6,4,IF(INT(U55)&gt;='3월 등급 정보'!$G$7,5,IF(INT(U55)&gt;='3월 등급 정보'!$G$8,6,IF(INT(U55)&gt;='3월 등급 정보'!$G$9,7,IF(INT(U55)&gt;='3월 등급 정보'!$G$10,8,IF(INT(U55)&gt;='3월 등급 정보'!$G$11,9)))))))))</f>
        <v>2</v>
      </c>
      <c r="Y55" s="34">
        <v>32</v>
      </c>
      <c r="Z55" s="33"/>
      <c r="AA55" s="33"/>
      <c r="AB55" s="33">
        <f>IF(INT(Y55)&gt;='3월 등급 정보'!$H$3,1,IF(INT(Y55)&gt;='3월 등급 정보'!$H$4,2,IF(INT(Y55)&gt;='3월 등급 정보'!$H$5,3,IF(INT(Y55)&gt;='3월 등급 정보'!$H$6,4,IF(INT(Y55)&gt;='3월 등급 정보'!$H$7,5,IF(INT(Y55)&gt;='3월 등급 정보'!$H$8,6,IF(INT(Y55)&gt;='3월 등급 정보'!$H$9,7,IF(INT(Y55)&gt;='3월 등급 정보'!$H$10,8,IF(INT(Y55)&gt;='3월 등급 정보'!$H$11,9)))))))))</f>
        <v>3</v>
      </c>
      <c r="AC55" s="33">
        <f>E55+I55+M55+Q55+U55</f>
        <v>282.5</v>
      </c>
      <c r="AD55" s="33">
        <f>RANK(AC55,$AC$3:$AC$273)</f>
        <v>53</v>
      </c>
    </row>
    <row r="56" spans="1:30" ht="17.25" customHeight="1">
      <c r="A56" s="33" t="s">
        <v>26</v>
      </c>
      <c r="B56" s="34">
        <v>10</v>
      </c>
      <c r="C56" s="34">
        <v>8</v>
      </c>
      <c r="D56" s="34" t="s">
        <v>272</v>
      </c>
      <c r="E56" s="34">
        <v>75</v>
      </c>
      <c r="F56" s="33"/>
      <c r="G56" s="33"/>
      <c r="H56" s="33">
        <f>IF(INT(E56)&gt;='3월 등급 정보'!$C$3,1,IF(INT(E56)&gt;='3월 등급 정보'!$C$4,2,IF(INT(E56)&gt;='3월 등급 정보'!$C$5,3,IF(INT(E56)&gt;='3월 등급 정보'!$C$6,4,IF(INT(E56)&gt;='3월 등급 정보'!$C$7,5,IF(INT(E56)&gt;='3월 등급 정보'!$C$8,6,IF(INT(E56)&gt;='3월 등급 정보'!$C$9,7,IF(INT(E56)&gt;='3월 등급 정보'!$C$10,8,IF(INT(E56)&gt;='3월 등급 정보'!$C$11,9)))))))))</f>
        <v>3</v>
      </c>
      <c r="I56" s="34">
        <v>60</v>
      </c>
      <c r="J56" s="33"/>
      <c r="K56" s="33"/>
      <c r="L56" s="33">
        <f>IF(INT(I56)&gt;='3월 등급 정보'!$D$3,1,IF(INT(I56)&gt;='3월 등급 정보'!$D$4,2,IF(INT(I56)&gt;='3월 등급 정보'!$D$5,3,IF(INT(I56)&gt;='3월 등급 정보'!$D$6,4,IF(INT(I56)&gt;='3월 등급 정보'!$D$7,5,IF(INT(I56)&gt;='3월 등급 정보'!$D$8,6,IF(INT(I56)&gt;='3월 등급 정보'!$D$9,7,IF(INT(I56)&gt;='3월 등급 정보'!$D$10,8,IF(INT(I56)&gt;='3월 등급 정보'!$D$11,9)))))))))</f>
        <v>4</v>
      </c>
      <c r="M56" s="34">
        <v>81</v>
      </c>
      <c r="N56" s="33"/>
      <c r="O56" s="33"/>
      <c r="P56" s="33">
        <f>IF(INT(M56)&gt;='3월 등급 정보'!$E$3,1,IF(INT(M56)&gt;='3월 등급 정보'!$E$4,2,IF(INT(M56)&gt;='3월 등급 정보'!$E$5,3,IF(INT(M56)&gt;='3월 등급 정보'!$E$6,4,IF(INT(M56)&gt;='3월 등급 정보'!$E$7,5,IF(INT(M56)&gt;='3월 등급 정보'!$E$8,6,IF(INT(M56)&gt;='3월 등급 정보'!$E$9,7,IF(INT(M56)&gt;='3월 등급 정보'!$E$10,8,IF(INT(M56)&gt;='3월 등급 정보'!$E$11,9)))))))))</f>
        <v>2</v>
      </c>
      <c r="Q56" s="34">
        <v>33.5</v>
      </c>
      <c r="R56" s="33"/>
      <c r="S56" s="33"/>
      <c r="T56" s="33">
        <f>IF(INT(Q56)&gt;='3월 등급 정보'!$F$3,1,IF(INT(Q56)&gt;='3월 등급 정보'!$F$4,2,IF(INT(Q56)&gt;='3월 등급 정보'!$F$5,3,IF(INT(Q56)&gt;='3월 등급 정보'!$F$6,4,IF(INT(Q56)&gt;='3월 등급 정보'!$F$7,5,IF(INT(Q56)&gt;='3월 등급 정보'!$F$8,6,IF(INT(Q56)&gt;='3월 등급 정보'!$F$9,7,IF(INT(Q56)&gt;='3월 등급 정보'!$F$10,8,IF(INT(Q56)&gt;='3월 등급 정보'!$F$11,9)))))))))</f>
        <v>4</v>
      </c>
      <c r="U56" s="34">
        <v>32.5</v>
      </c>
      <c r="V56" s="33"/>
      <c r="W56" s="33"/>
      <c r="X56" s="33">
        <f>IF(INT(U56)&gt;='3월 등급 정보'!$G$3,1,IF(INT(U56)&gt;='3월 등급 정보'!$G$4,2,IF(INT(U56)&gt;='3월 등급 정보'!$G$5,3,IF(INT(U56)&gt;='3월 등급 정보'!$G$6,4,IF(INT(U56)&gt;='3월 등급 정보'!$G$7,5,IF(INT(U56)&gt;='3월 등급 정보'!$G$8,6,IF(INT(U56)&gt;='3월 등급 정보'!$G$9,7,IF(INT(U56)&gt;='3월 등급 정보'!$G$10,8,IF(INT(U56)&gt;='3월 등급 정보'!$G$11,9)))))))))</f>
        <v>3</v>
      </c>
      <c r="Y56" s="34">
        <v>32</v>
      </c>
      <c r="Z56" s="33"/>
      <c r="AA56" s="33"/>
      <c r="AB56" s="33">
        <f>IF(INT(Y56)&gt;='3월 등급 정보'!$H$3,1,IF(INT(Y56)&gt;='3월 등급 정보'!$H$4,2,IF(INT(Y56)&gt;='3월 등급 정보'!$H$5,3,IF(INT(Y56)&gt;='3월 등급 정보'!$H$6,4,IF(INT(Y56)&gt;='3월 등급 정보'!$H$7,5,IF(INT(Y56)&gt;='3월 등급 정보'!$H$8,6,IF(INT(Y56)&gt;='3월 등급 정보'!$H$9,7,IF(INT(Y56)&gt;='3월 등급 정보'!$H$10,8,IF(INT(Y56)&gt;='3월 등급 정보'!$H$11,9)))))))))</f>
        <v>3</v>
      </c>
      <c r="AC56" s="33">
        <f>E56+I56+M56+Q56+U56</f>
        <v>282</v>
      </c>
      <c r="AD56" s="33">
        <f>RANK(AC56,$AC$3:$AC$273)</f>
        <v>54</v>
      </c>
    </row>
    <row r="57" spans="1:30" ht="17.25" customHeight="1">
      <c r="A57" s="33" t="s">
        <v>26</v>
      </c>
      <c r="B57" s="34">
        <v>8</v>
      </c>
      <c r="C57" s="34">
        <v>28</v>
      </c>
      <c r="D57" s="34" t="s">
        <v>239</v>
      </c>
      <c r="E57" s="34">
        <v>63</v>
      </c>
      <c r="F57" s="33"/>
      <c r="G57" s="33"/>
      <c r="H57" s="33">
        <f>IF(INT(E57)&gt;='3월 등급 정보'!$C$3,1,IF(INT(E57)&gt;='3월 등급 정보'!$C$4,2,IF(INT(E57)&gt;='3월 등급 정보'!$C$5,3,IF(INT(E57)&gt;='3월 등급 정보'!$C$6,4,IF(INT(E57)&gt;='3월 등급 정보'!$C$7,5,IF(INT(E57)&gt;='3월 등급 정보'!$C$8,6,IF(INT(E57)&gt;='3월 등급 정보'!$C$9,7,IF(INT(E57)&gt;='3월 등급 정보'!$C$10,8,IF(INT(E57)&gt;='3월 등급 정보'!$C$11,9)))))))))</f>
        <v>4</v>
      </c>
      <c r="I57" s="34">
        <v>69</v>
      </c>
      <c r="J57" s="33"/>
      <c r="K57" s="33"/>
      <c r="L57" s="33">
        <f>IF(INT(I57)&gt;='3월 등급 정보'!$D$3,1,IF(INT(I57)&gt;='3월 등급 정보'!$D$4,2,IF(INT(I57)&gt;='3월 등급 정보'!$D$5,3,IF(INT(I57)&gt;='3월 등급 정보'!$D$6,4,IF(INT(I57)&gt;='3월 등급 정보'!$D$7,5,IF(INT(I57)&gt;='3월 등급 정보'!$D$8,6,IF(INT(I57)&gt;='3월 등급 정보'!$D$9,7,IF(INT(I57)&gt;='3월 등급 정보'!$D$10,8,IF(INT(I57)&gt;='3월 등급 정보'!$D$11,9)))))))))</f>
        <v>3</v>
      </c>
      <c r="M57" s="34">
        <v>74</v>
      </c>
      <c r="N57" s="33"/>
      <c r="O57" s="33"/>
      <c r="P57" s="33">
        <f>IF(INT(M57)&gt;='3월 등급 정보'!$E$3,1,IF(INT(M57)&gt;='3월 등급 정보'!$E$4,2,IF(INT(M57)&gt;='3월 등급 정보'!$E$5,3,IF(INT(M57)&gt;='3월 등급 정보'!$E$6,4,IF(INT(M57)&gt;='3월 등급 정보'!$E$7,5,IF(INT(M57)&gt;='3월 등급 정보'!$E$8,6,IF(INT(M57)&gt;='3월 등급 정보'!$E$9,7,IF(INT(M57)&gt;='3월 등급 정보'!$E$10,8,IF(INT(M57)&gt;='3월 등급 정보'!$E$11,9)))))))))</f>
        <v>3</v>
      </c>
      <c r="Q57" s="34">
        <v>41</v>
      </c>
      <c r="R57" s="33"/>
      <c r="S57" s="33"/>
      <c r="T57" s="33">
        <f>IF(INT(Q57)&gt;='3월 등급 정보'!$F$3,1,IF(INT(Q57)&gt;='3월 등급 정보'!$F$4,2,IF(INT(Q57)&gt;='3월 등급 정보'!$F$5,3,IF(INT(Q57)&gt;='3월 등급 정보'!$F$6,4,IF(INT(Q57)&gt;='3월 등급 정보'!$F$7,5,IF(INT(Q57)&gt;='3월 등급 정보'!$F$8,6,IF(INT(Q57)&gt;='3월 등급 정보'!$F$9,7,IF(INT(Q57)&gt;='3월 등급 정보'!$F$10,8,IF(INT(Q57)&gt;='3월 등급 정보'!$F$11,9)))))))))</f>
        <v>3</v>
      </c>
      <c r="U57" s="34">
        <v>34.5</v>
      </c>
      <c r="V57" s="33"/>
      <c r="W57" s="33"/>
      <c r="X57" s="33">
        <f>IF(INT(U57)&gt;='3월 등급 정보'!$G$3,1,IF(INT(U57)&gt;='3월 등급 정보'!$G$4,2,IF(INT(U57)&gt;='3월 등급 정보'!$G$5,3,IF(INT(U57)&gt;='3월 등급 정보'!$G$6,4,IF(INT(U57)&gt;='3월 등급 정보'!$G$7,5,IF(INT(U57)&gt;='3월 등급 정보'!$G$8,6,IF(INT(U57)&gt;='3월 등급 정보'!$G$9,7,IF(INT(U57)&gt;='3월 등급 정보'!$G$10,8,IF(INT(U57)&gt;='3월 등급 정보'!$G$11,9)))))))))</f>
        <v>3</v>
      </c>
      <c r="Y57" s="34">
        <v>45</v>
      </c>
      <c r="Z57" s="33"/>
      <c r="AA57" s="33"/>
      <c r="AB57" s="33">
        <f>IF(INT(Y57)&gt;='3월 등급 정보'!$H$3,1,IF(INT(Y57)&gt;='3월 등급 정보'!$H$4,2,IF(INT(Y57)&gt;='3월 등급 정보'!$H$5,3,IF(INT(Y57)&gt;='3월 등급 정보'!$H$6,4,IF(INT(Y57)&gt;='3월 등급 정보'!$H$7,5,IF(INT(Y57)&gt;='3월 등급 정보'!$H$8,6,IF(INT(Y57)&gt;='3월 등급 정보'!$H$9,7,IF(INT(Y57)&gt;='3월 등급 정보'!$H$10,8,IF(INT(Y57)&gt;='3월 등급 정보'!$H$11,9)))))))))</f>
        <v>1</v>
      </c>
      <c r="AC57" s="33">
        <f>E57+I57+M57+Q57+U57</f>
        <v>281.5</v>
      </c>
      <c r="AD57" s="33">
        <f>RANK(AC57,$AC$3:$AC$273)</f>
        <v>55</v>
      </c>
    </row>
    <row r="58" spans="1:30" ht="17.25" customHeight="1">
      <c r="A58" s="33" t="s">
        <v>26</v>
      </c>
      <c r="B58" s="34">
        <v>2</v>
      </c>
      <c r="C58" s="34">
        <v>19</v>
      </c>
      <c r="D58" s="34" t="s">
        <v>71</v>
      </c>
      <c r="E58" s="34">
        <v>81</v>
      </c>
      <c r="F58" s="33"/>
      <c r="G58" s="33"/>
      <c r="H58" s="33">
        <f>IF(INT(E58)&gt;='3월 등급 정보'!$C$3,1,IF(INT(E58)&gt;='3월 등급 정보'!$C$4,2,IF(INT(E58)&gt;='3월 등급 정보'!$C$5,3,IF(INT(E58)&gt;='3월 등급 정보'!$C$6,4,IF(INT(E58)&gt;='3월 등급 정보'!$C$7,5,IF(INT(E58)&gt;='3월 등급 정보'!$C$8,6,IF(INT(E58)&gt;='3월 등급 정보'!$C$9,7,IF(INT(E58)&gt;='3월 등급 정보'!$C$10,8,IF(INT(E58)&gt;='3월 등급 정보'!$C$11,9)))))))))</f>
        <v>2</v>
      </c>
      <c r="I58" s="34">
        <v>50</v>
      </c>
      <c r="J58" s="33"/>
      <c r="K58" s="33"/>
      <c r="L58" s="33">
        <f>IF(INT(I58)&gt;='3월 등급 정보'!$D$3,1,IF(INT(I58)&gt;='3월 등급 정보'!$D$4,2,IF(INT(I58)&gt;='3월 등급 정보'!$D$5,3,IF(INT(I58)&gt;='3월 등급 정보'!$D$6,4,IF(INT(I58)&gt;='3월 등급 정보'!$D$7,5,IF(INT(I58)&gt;='3월 등급 정보'!$D$8,6,IF(INT(I58)&gt;='3월 등급 정보'!$D$9,7,IF(INT(I58)&gt;='3월 등급 정보'!$D$10,8,IF(INT(I58)&gt;='3월 등급 정보'!$D$11,9)))))))))</f>
        <v>4</v>
      </c>
      <c r="M58" s="34">
        <v>73</v>
      </c>
      <c r="N58" s="33"/>
      <c r="O58" s="33"/>
      <c r="P58" s="33">
        <f>IF(INT(M58)&gt;='3월 등급 정보'!$E$3,1,IF(INT(M58)&gt;='3월 등급 정보'!$E$4,2,IF(INT(M58)&gt;='3월 등급 정보'!$E$5,3,IF(INT(M58)&gt;='3월 등급 정보'!$E$6,4,IF(INT(M58)&gt;='3월 등급 정보'!$E$7,5,IF(INT(M58)&gt;='3월 등급 정보'!$E$8,6,IF(INT(M58)&gt;='3월 등급 정보'!$E$9,7,IF(INT(M58)&gt;='3월 등급 정보'!$E$10,8,IF(INT(M58)&gt;='3월 등급 정보'!$E$11,9)))))))))</f>
        <v>3</v>
      </c>
      <c r="Q58" s="34">
        <v>34</v>
      </c>
      <c r="R58" s="33"/>
      <c r="S58" s="33"/>
      <c r="T58" s="33">
        <f>IF(INT(Q58)&gt;='3월 등급 정보'!$F$3,1,IF(INT(Q58)&gt;='3월 등급 정보'!$F$4,2,IF(INT(Q58)&gt;='3월 등급 정보'!$F$5,3,IF(INT(Q58)&gt;='3월 등급 정보'!$F$6,4,IF(INT(Q58)&gt;='3월 등급 정보'!$F$7,5,IF(INT(Q58)&gt;='3월 등급 정보'!$F$8,6,IF(INT(Q58)&gt;='3월 등급 정보'!$F$9,7,IF(INT(Q58)&gt;='3월 등급 정보'!$F$10,8,IF(INT(Q58)&gt;='3월 등급 정보'!$F$11,9)))))))))</f>
        <v>4</v>
      </c>
      <c r="U58" s="34">
        <v>40.5</v>
      </c>
      <c r="V58" s="33"/>
      <c r="W58" s="33"/>
      <c r="X58" s="33">
        <f>IF(INT(U58)&gt;='3월 등급 정보'!$G$3,1,IF(INT(U58)&gt;='3월 등급 정보'!$G$4,2,IF(INT(U58)&gt;='3월 등급 정보'!$G$5,3,IF(INT(U58)&gt;='3월 등급 정보'!$G$6,4,IF(INT(U58)&gt;='3월 등급 정보'!$G$7,5,IF(INT(U58)&gt;='3월 등급 정보'!$G$8,6,IF(INT(U58)&gt;='3월 등급 정보'!$G$9,7,IF(INT(U58)&gt;='3월 등급 정보'!$G$10,8,IF(INT(U58)&gt;='3월 등급 정보'!$G$11,9)))))))))</f>
        <v>2</v>
      </c>
      <c r="Y58" s="34">
        <v>45</v>
      </c>
      <c r="Z58" s="33"/>
      <c r="AA58" s="33"/>
      <c r="AB58" s="33">
        <f>IF(INT(Y58)&gt;='3월 등급 정보'!$H$3,1,IF(INT(Y58)&gt;='3월 등급 정보'!$H$4,2,IF(INT(Y58)&gt;='3월 등급 정보'!$H$5,3,IF(INT(Y58)&gt;='3월 등급 정보'!$H$6,4,IF(INT(Y58)&gt;='3월 등급 정보'!$H$7,5,IF(INT(Y58)&gt;='3월 등급 정보'!$H$8,6,IF(INT(Y58)&gt;='3월 등급 정보'!$H$9,7,IF(INT(Y58)&gt;='3월 등급 정보'!$H$10,8,IF(INT(Y58)&gt;='3월 등급 정보'!$H$11,9)))))))))</f>
        <v>1</v>
      </c>
      <c r="AC58" s="33">
        <f>E58+I58+M58+Q58+U58</f>
        <v>278.5</v>
      </c>
      <c r="AD58" s="33">
        <f>RANK(AC58,$AC$3:$AC$273)</f>
        <v>56</v>
      </c>
    </row>
    <row r="59" spans="1:30" ht="17.25" customHeight="1">
      <c r="A59" s="33" t="s">
        <v>26</v>
      </c>
      <c r="B59" s="34">
        <v>8</v>
      </c>
      <c r="C59" s="34">
        <v>8</v>
      </c>
      <c r="D59" s="34" t="s">
        <v>220</v>
      </c>
      <c r="E59" s="34">
        <v>64</v>
      </c>
      <c r="F59" s="33"/>
      <c r="G59" s="33"/>
      <c r="H59" s="33">
        <f>IF(INT(E59)&gt;='3월 등급 정보'!$C$3,1,IF(INT(E59)&gt;='3월 등급 정보'!$C$4,2,IF(INT(E59)&gt;='3월 등급 정보'!$C$5,3,IF(INT(E59)&gt;='3월 등급 정보'!$C$6,4,IF(INT(E59)&gt;='3월 등급 정보'!$C$7,5,IF(INT(E59)&gt;='3월 등급 정보'!$C$8,6,IF(INT(E59)&gt;='3월 등급 정보'!$C$9,7,IF(INT(E59)&gt;='3월 등급 정보'!$C$10,8,IF(INT(E59)&gt;='3월 등급 정보'!$C$11,9)))))))))</f>
        <v>4</v>
      </c>
      <c r="I59" s="34">
        <v>62</v>
      </c>
      <c r="J59" s="33"/>
      <c r="K59" s="33"/>
      <c r="L59" s="33">
        <f>IF(INT(I59)&gt;='3월 등급 정보'!$D$3,1,IF(INT(I59)&gt;='3월 등급 정보'!$D$4,2,IF(INT(I59)&gt;='3월 등급 정보'!$D$5,3,IF(INT(I59)&gt;='3월 등급 정보'!$D$6,4,IF(INT(I59)&gt;='3월 등급 정보'!$D$7,5,IF(INT(I59)&gt;='3월 등급 정보'!$D$8,6,IF(INT(I59)&gt;='3월 등급 정보'!$D$9,7,IF(INT(I59)&gt;='3월 등급 정보'!$D$10,8,IF(INT(I59)&gt;='3월 등급 정보'!$D$11,9)))))))))</f>
        <v>3</v>
      </c>
      <c r="M59" s="34">
        <v>77</v>
      </c>
      <c r="N59" s="33"/>
      <c r="O59" s="33"/>
      <c r="P59" s="33">
        <f>IF(INT(M59)&gt;='3월 등급 정보'!$E$3,1,IF(INT(M59)&gt;='3월 등급 정보'!$E$4,2,IF(INT(M59)&gt;='3월 등급 정보'!$E$5,3,IF(INT(M59)&gt;='3월 등급 정보'!$E$6,4,IF(INT(M59)&gt;='3월 등급 정보'!$E$7,5,IF(INT(M59)&gt;='3월 등급 정보'!$E$8,6,IF(INT(M59)&gt;='3월 등급 정보'!$E$9,7,IF(INT(M59)&gt;='3월 등급 정보'!$E$10,8,IF(INT(M59)&gt;='3월 등급 정보'!$E$11,9)))))))))</f>
        <v>3</v>
      </c>
      <c r="Q59" s="34">
        <v>44</v>
      </c>
      <c r="R59" s="33"/>
      <c r="S59" s="33"/>
      <c r="T59" s="33">
        <f>IF(INT(Q59)&gt;='3월 등급 정보'!$F$3,1,IF(INT(Q59)&gt;='3월 등급 정보'!$F$4,2,IF(INT(Q59)&gt;='3월 등급 정보'!$F$5,3,IF(INT(Q59)&gt;='3월 등급 정보'!$F$6,4,IF(INT(Q59)&gt;='3월 등급 정보'!$F$7,5,IF(INT(Q59)&gt;='3월 등급 정보'!$F$8,6,IF(INT(Q59)&gt;='3월 등급 정보'!$F$9,7,IF(INT(Q59)&gt;='3월 등급 정보'!$F$10,8,IF(INT(Q59)&gt;='3월 등급 정보'!$F$11,9)))))))))</f>
        <v>2</v>
      </c>
      <c r="U59" s="34">
        <v>31</v>
      </c>
      <c r="V59" s="33"/>
      <c r="W59" s="33"/>
      <c r="X59" s="33">
        <f>IF(INT(U59)&gt;='3월 등급 정보'!$G$3,1,IF(INT(U59)&gt;='3월 등급 정보'!$G$4,2,IF(INT(U59)&gt;='3월 등급 정보'!$G$5,3,IF(INT(U59)&gt;='3월 등급 정보'!$G$6,4,IF(INT(U59)&gt;='3월 등급 정보'!$G$7,5,IF(INT(U59)&gt;='3월 등급 정보'!$G$8,6,IF(INT(U59)&gt;='3월 등급 정보'!$G$9,7,IF(INT(U59)&gt;='3월 등급 정보'!$G$10,8,IF(INT(U59)&gt;='3월 등급 정보'!$G$11,9)))))))))</f>
        <v>4</v>
      </c>
      <c r="Y59" s="34">
        <v>41</v>
      </c>
      <c r="Z59" s="33"/>
      <c r="AA59" s="33"/>
      <c r="AB59" s="33">
        <f>IF(INT(Y59)&gt;='3월 등급 정보'!$H$3,1,IF(INT(Y59)&gt;='3월 등급 정보'!$H$4,2,IF(INT(Y59)&gt;='3월 등급 정보'!$H$5,3,IF(INT(Y59)&gt;='3월 등급 정보'!$H$6,4,IF(INT(Y59)&gt;='3월 등급 정보'!$H$7,5,IF(INT(Y59)&gt;='3월 등급 정보'!$H$8,6,IF(INT(Y59)&gt;='3월 등급 정보'!$H$9,7,IF(INT(Y59)&gt;='3월 등급 정보'!$H$10,8,IF(INT(Y59)&gt;='3월 등급 정보'!$H$11,9)))))))))</f>
        <v>1</v>
      </c>
      <c r="AC59" s="33">
        <f>E59+I59+M59+Q59+U59</f>
        <v>278</v>
      </c>
      <c r="AD59" s="33">
        <f>RANK(AC59,$AC$3:$AC$273)</f>
        <v>57</v>
      </c>
    </row>
    <row r="60" spans="1:30" ht="17.25" customHeight="1">
      <c r="A60" s="33" t="s">
        <v>26</v>
      </c>
      <c r="B60" s="34">
        <v>10</v>
      </c>
      <c r="C60" s="34">
        <v>20</v>
      </c>
      <c r="D60" s="34" t="s">
        <v>283</v>
      </c>
      <c r="E60" s="34">
        <v>75</v>
      </c>
      <c r="F60" s="33"/>
      <c r="G60" s="33"/>
      <c r="H60" s="33">
        <f>IF(INT(E60)&gt;='3월 등급 정보'!$C$3,1,IF(INT(E60)&gt;='3월 등급 정보'!$C$4,2,IF(INT(E60)&gt;='3월 등급 정보'!$C$5,3,IF(INT(E60)&gt;='3월 등급 정보'!$C$6,4,IF(INT(E60)&gt;='3월 등급 정보'!$C$7,5,IF(INT(E60)&gt;='3월 등급 정보'!$C$8,6,IF(INT(E60)&gt;='3월 등급 정보'!$C$9,7,IF(INT(E60)&gt;='3월 등급 정보'!$C$10,8,IF(INT(E60)&gt;='3월 등급 정보'!$C$11,9)))))))))</f>
        <v>3</v>
      </c>
      <c r="I60" s="34">
        <v>32</v>
      </c>
      <c r="J60" s="33"/>
      <c r="K60" s="33"/>
      <c r="L60" s="33">
        <f>IF(INT(I60)&gt;='3월 등급 정보'!$D$3,1,IF(INT(I60)&gt;='3월 등급 정보'!$D$4,2,IF(INT(I60)&gt;='3월 등급 정보'!$D$5,3,IF(INT(I60)&gt;='3월 등급 정보'!$D$6,4,IF(INT(I60)&gt;='3월 등급 정보'!$D$7,5,IF(INT(I60)&gt;='3월 등급 정보'!$D$8,6,IF(INT(I60)&gt;='3월 등급 정보'!$D$9,7,IF(INT(I60)&gt;='3월 등급 정보'!$D$10,8,IF(INT(I60)&gt;='3월 등급 정보'!$D$11,9)))))))))</f>
        <v>6</v>
      </c>
      <c r="M60" s="34">
        <v>92</v>
      </c>
      <c r="N60" s="33"/>
      <c r="O60" s="33"/>
      <c r="P60" s="33">
        <f>IF(INT(M60)&gt;='3월 등급 정보'!$E$3,1,IF(INT(M60)&gt;='3월 등급 정보'!$E$4,2,IF(INT(M60)&gt;='3월 등급 정보'!$E$5,3,IF(INT(M60)&gt;='3월 등급 정보'!$E$6,4,IF(INT(M60)&gt;='3월 등급 정보'!$E$7,5,IF(INT(M60)&gt;='3월 등급 정보'!$E$8,6,IF(INT(M60)&gt;='3월 등급 정보'!$E$9,7,IF(INT(M60)&gt;='3월 등급 정보'!$E$10,8,IF(INT(M60)&gt;='3월 등급 정보'!$E$11,9)))))))))</f>
        <v>1</v>
      </c>
      <c r="Q60" s="34">
        <v>44</v>
      </c>
      <c r="R60" s="33"/>
      <c r="S60" s="33"/>
      <c r="T60" s="33">
        <f>IF(INT(Q60)&gt;='3월 등급 정보'!$F$3,1,IF(INT(Q60)&gt;='3월 등급 정보'!$F$4,2,IF(INT(Q60)&gt;='3월 등급 정보'!$F$5,3,IF(INT(Q60)&gt;='3월 등급 정보'!$F$6,4,IF(INT(Q60)&gt;='3월 등급 정보'!$F$7,5,IF(INT(Q60)&gt;='3월 등급 정보'!$F$8,6,IF(INT(Q60)&gt;='3월 등급 정보'!$F$9,7,IF(INT(Q60)&gt;='3월 등급 정보'!$F$10,8,IF(INT(Q60)&gt;='3월 등급 정보'!$F$11,9)))))))))</f>
        <v>2</v>
      </c>
      <c r="U60" s="34">
        <v>35</v>
      </c>
      <c r="V60" s="33"/>
      <c r="W60" s="33"/>
      <c r="X60" s="33">
        <f>IF(INT(U60)&gt;='3월 등급 정보'!$G$3,1,IF(INT(U60)&gt;='3월 등급 정보'!$G$4,2,IF(INT(U60)&gt;='3월 등급 정보'!$G$5,3,IF(INT(U60)&gt;='3월 등급 정보'!$G$6,4,IF(INT(U60)&gt;='3월 등급 정보'!$G$7,5,IF(INT(U60)&gt;='3월 등급 정보'!$G$8,6,IF(INT(U60)&gt;='3월 등급 정보'!$G$9,7,IF(INT(U60)&gt;='3월 등급 정보'!$G$10,8,IF(INT(U60)&gt;='3월 등급 정보'!$G$11,9)))))))))</f>
        <v>3</v>
      </c>
      <c r="Y60" s="34">
        <v>47</v>
      </c>
      <c r="Z60" s="33"/>
      <c r="AA60" s="33"/>
      <c r="AB60" s="33">
        <f>IF(INT(Y60)&gt;='3월 등급 정보'!$H$3,1,IF(INT(Y60)&gt;='3월 등급 정보'!$H$4,2,IF(INT(Y60)&gt;='3월 등급 정보'!$H$5,3,IF(INT(Y60)&gt;='3월 등급 정보'!$H$6,4,IF(INT(Y60)&gt;='3월 등급 정보'!$H$7,5,IF(INT(Y60)&gt;='3월 등급 정보'!$H$8,6,IF(INT(Y60)&gt;='3월 등급 정보'!$H$9,7,IF(INT(Y60)&gt;='3월 등급 정보'!$H$10,8,IF(INT(Y60)&gt;='3월 등급 정보'!$H$11,9)))))))))</f>
        <v>1</v>
      </c>
      <c r="AC60" s="33">
        <f>E60+I60+M60+Q60+U60</f>
        <v>278</v>
      </c>
      <c r="AD60" s="33">
        <f>RANK(AC60,$AC$3:$AC$273)</f>
        <v>57</v>
      </c>
    </row>
    <row r="61" spans="1:30" ht="17.25" customHeight="1">
      <c r="A61" s="33" t="s">
        <v>26</v>
      </c>
      <c r="B61" s="34">
        <v>1</v>
      </c>
      <c r="C61" s="34">
        <v>26</v>
      </c>
      <c r="D61" s="34" t="s">
        <v>52</v>
      </c>
      <c r="E61" s="34">
        <v>63</v>
      </c>
      <c r="F61" s="33"/>
      <c r="G61" s="33"/>
      <c r="H61" s="33">
        <f>IF(INT(E61)&gt;='3월 등급 정보'!$C$3,1,IF(INT(E61)&gt;='3월 등급 정보'!$C$4,2,IF(INT(E61)&gt;='3월 등급 정보'!$C$5,3,IF(INT(E61)&gt;='3월 등급 정보'!$C$6,4,IF(INT(E61)&gt;='3월 등급 정보'!$C$7,5,IF(INT(E61)&gt;='3월 등급 정보'!$C$8,6,IF(INT(E61)&gt;='3월 등급 정보'!$C$9,7,IF(INT(E61)&gt;='3월 등급 정보'!$C$10,8,IF(INT(E61)&gt;='3월 등급 정보'!$C$11,9)))))))))</f>
        <v>4</v>
      </c>
      <c r="I61" s="34">
        <v>72</v>
      </c>
      <c r="J61" s="33"/>
      <c r="K61" s="33"/>
      <c r="L61" s="33">
        <f>IF(INT(I61)&gt;='3월 등급 정보'!$D$3,1,IF(INT(I61)&gt;='3월 등급 정보'!$D$4,2,IF(INT(I61)&gt;='3월 등급 정보'!$D$5,3,IF(INT(I61)&gt;='3월 등급 정보'!$D$6,4,IF(INT(I61)&gt;='3월 등급 정보'!$D$7,5,IF(INT(I61)&gt;='3월 등급 정보'!$D$8,6,IF(INT(I61)&gt;='3월 등급 정보'!$D$9,7,IF(INT(I61)&gt;='3월 등급 정보'!$D$10,8,IF(INT(I61)&gt;='3월 등급 정보'!$D$11,9)))))))))</f>
        <v>2</v>
      </c>
      <c r="M61" s="34">
        <v>64</v>
      </c>
      <c r="N61" s="33"/>
      <c r="O61" s="33"/>
      <c r="P61" s="33">
        <f>IF(INT(M61)&gt;='3월 등급 정보'!$E$3,1,IF(INT(M61)&gt;='3월 등급 정보'!$E$4,2,IF(INT(M61)&gt;='3월 등급 정보'!$E$5,3,IF(INT(M61)&gt;='3월 등급 정보'!$E$6,4,IF(INT(M61)&gt;='3월 등급 정보'!$E$7,5,IF(INT(M61)&gt;='3월 등급 정보'!$E$8,6,IF(INT(M61)&gt;='3월 등급 정보'!$E$9,7,IF(INT(M61)&gt;='3월 등급 정보'!$E$10,8,IF(INT(M61)&gt;='3월 등급 정보'!$E$11,9)))))))))</f>
        <v>4</v>
      </c>
      <c r="Q61" s="34">
        <v>41.5</v>
      </c>
      <c r="R61" s="33"/>
      <c r="S61" s="33"/>
      <c r="T61" s="33">
        <f>IF(INT(Q61)&gt;='3월 등급 정보'!$F$3,1,IF(INT(Q61)&gt;='3월 등급 정보'!$F$4,2,IF(INT(Q61)&gt;='3월 등급 정보'!$F$5,3,IF(INT(Q61)&gt;='3월 등급 정보'!$F$6,4,IF(INT(Q61)&gt;='3월 등급 정보'!$F$7,5,IF(INT(Q61)&gt;='3월 등급 정보'!$F$8,6,IF(INT(Q61)&gt;='3월 등급 정보'!$F$9,7,IF(INT(Q61)&gt;='3월 등급 정보'!$F$10,8,IF(INT(Q61)&gt;='3월 등급 정보'!$F$11,9)))))))))</f>
        <v>3</v>
      </c>
      <c r="U61" s="34">
        <v>37</v>
      </c>
      <c r="V61" s="33"/>
      <c r="W61" s="33"/>
      <c r="X61" s="33">
        <f>IF(INT(U61)&gt;='3월 등급 정보'!$G$3,1,IF(INT(U61)&gt;='3월 등급 정보'!$G$4,2,IF(INT(U61)&gt;='3월 등급 정보'!$G$5,3,IF(INT(U61)&gt;='3월 등급 정보'!$G$6,4,IF(INT(U61)&gt;='3월 등급 정보'!$G$7,5,IF(INT(U61)&gt;='3월 등급 정보'!$G$8,6,IF(INT(U61)&gt;='3월 등급 정보'!$G$9,7,IF(INT(U61)&gt;='3월 등급 정보'!$G$10,8,IF(INT(U61)&gt;='3월 등급 정보'!$G$11,9)))))))))</f>
        <v>3</v>
      </c>
      <c r="Y61" s="34">
        <v>50</v>
      </c>
      <c r="Z61" s="33"/>
      <c r="AA61" s="33"/>
      <c r="AB61" s="33">
        <f>IF(INT(Y61)&gt;='3월 등급 정보'!$H$3,1,IF(INT(Y61)&gt;='3월 등급 정보'!$H$4,2,IF(INT(Y61)&gt;='3월 등급 정보'!$H$5,3,IF(INT(Y61)&gt;='3월 등급 정보'!$H$6,4,IF(INT(Y61)&gt;='3월 등급 정보'!$H$7,5,IF(INT(Y61)&gt;='3월 등급 정보'!$H$8,6,IF(INT(Y61)&gt;='3월 등급 정보'!$H$9,7,IF(INT(Y61)&gt;='3월 등급 정보'!$H$10,8,IF(INT(Y61)&gt;='3월 등급 정보'!$H$11,9)))))))))</f>
        <v>1</v>
      </c>
      <c r="AC61" s="33">
        <f>E61+I61+M61+Q61+U61</f>
        <v>277.5</v>
      </c>
      <c r="AD61" s="33">
        <f>RANK(AC61,$AC$3:$AC$273)</f>
        <v>59</v>
      </c>
    </row>
    <row r="62" spans="1:30" ht="17.25" customHeight="1">
      <c r="A62" s="33" t="s">
        <v>26</v>
      </c>
      <c r="B62" s="34">
        <v>6</v>
      </c>
      <c r="C62" s="34">
        <v>15</v>
      </c>
      <c r="D62" s="34" t="s">
        <v>173</v>
      </c>
      <c r="E62" s="34">
        <v>73</v>
      </c>
      <c r="F62" s="33"/>
      <c r="G62" s="33"/>
      <c r="H62" s="33">
        <f>IF(INT(E62)&gt;='3월 등급 정보'!$C$3,1,IF(INT(E62)&gt;='3월 등급 정보'!$C$4,2,IF(INT(E62)&gt;='3월 등급 정보'!$C$5,3,IF(INT(E62)&gt;='3월 등급 정보'!$C$6,4,IF(INT(E62)&gt;='3월 등급 정보'!$C$7,5,IF(INT(E62)&gt;='3월 등급 정보'!$C$8,6,IF(INT(E62)&gt;='3월 등급 정보'!$C$9,7,IF(INT(E62)&gt;='3월 등급 정보'!$C$10,8,IF(INT(E62)&gt;='3월 등급 정보'!$C$11,9)))))))))</f>
        <v>3</v>
      </c>
      <c r="I62" s="34">
        <v>54</v>
      </c>
      <c r="J62" s="33"/>
      <c r="K62" s="33"/>
      <c r="L62" s="33">
        <f>IF(INT(I62)&gt;='3월 등급 정보'!$D$3,1,IF(INT(I62)&gt;='3월 등급 정보'!$D$4,2,IF(INT(I62)&gt;='3월 등급 정보'!$D$5,3,IF(INT(I62)&gt;='3월 등급 정보'!$D$6,4,IF(INT(I62)&gt;='3월 등급 정보'!$D$7,5,IF(INT(I62)&gt;='3월 등급 정보'!$D$8,6,IF(INT(I62)&gt;='3월 등급 정보'!$D$9,7,IF(INT(I62)&gt;='3월 등급 정보'!$D$10,8,IF(INT(I62)&gt;='3월 등급 정보'!$D$11,9)))))))))</f>
        <v>4</v>
      </c>
      <c r="M62" s="34">
        <v>74</v>
      </c>
      <c r="N62" s="33"/>
      <c r="O62" s="33"/>
      <c r="P62" s="33">
        <f>IF(INT(M62)&gt;='3월 등급 정보'!$E$3,1,IF(INT(M62)&gt;='3월 등급 정보'!$E$4,2,IF(INT(M62)&gt;='3월 등급 정보'!$E$5,3,IF(INT(M62)&gt;='3월 등급 정보'!$E$6,4,IF(INT(M62)&gt;='3월 등급 정보'!$E$7,5,IF(INT(M62)&gt;='3월 등급 정보'!$E$8,6,IF(INT(M62)&gt;='3월 등급 정보'!$E$9,7,IF(INT(M62)&gt;='3월 등급 정보'!$E$10,8,IF(INT(M62)&gt;='3월 등급 정보'!$E$11,9)))))))))</f>
        <v>3</v>
      </c>
      <c r="Q62" s="34">
        <v>39</v>
      </c>
      <c r="R62" s="33"/>
      <c r="S62" s="33"/>
      <c r="T62" s="33">
        <f>IF(INT(Q62)&gt;='3월 등급 정보'!$F$3,1,IF(INT(Q62)&gt;='3월 등급 정보'!$F$4,2,IF(INT(Q62)&gt;='3월 등급 정보'!$F$5,3,IF(INT(Q62)&gt;='3월 등급 정보'!$F$6,4,IF(INT(Q62)&gt;='3월 등급 정보'!$F$7,5,IF(INT(Q62)&gt;='3월 등급 정보'!$F$8,6,IF(INT(Q62)&gt;='3월 등급 정보'!$F$9,7,IF(INT(Q62)&gt;='3월 등급 정보'!$F$10,8,IF(INT(Q62)&gt;='3월 등급 정보'!$F$11,9)))))))))</f>
        <v>3</v>
      </c>
      <c r="U62" s="34">
        <v>37.5</v>
      </c>
      <c r="V62" s="33"/>
      <c r="W62" s="33"/>
      <c r="X62" s="33">
        <f>IF(INT(U62)&gt;='3월 등급 정보'!$G$3,1,IF(INT(U62)&gt;='3월 등급 정보'!$G$4,2,IF(INT(U62)&gt;='3월 등급 정보'!$G$5,3,IF(INT(U62)&gt;='3월 등급 정보'!$G$6,4,IF(INT(U62)&gt;='3월 등급 정보'!$G$7,5,IF(INT(U62)&gt;='3월 등급 정보'!$G$8,6,IF(INT(U62)&gt;='3월 등급 정보'!$G$9,7,IF(INT(U62)&gt;='3월 등급 정보'!$G$10,8,IF(INT(U62)&gt;='3월 등급 정보'!$G$11,9)))))))))</f>
        <v>3</v>
      </c>
      <c r="Y62" s="34">
        <v>35</v>
      </c>
      <c r="Z62" s="33"/>
      <c r="AA62" s="33"/>
      <c r="AB62" s="33">
        <f>IF(INT(Y62)&gt;='3월 등급 정보'!$H$3,1,IF(INT(Y62)&gt;='3월 등급 정보'!$H$4,2,IF(INT(Y62)&gt;='3월 등급 정보'!$H$5,3,IF(INT(Y62)&gt;='3월 등급 정보'!$H$6,4,IF(INT(Y62)&gt;='3월 등급 정보'!$H$7,5,IF(INT(Y62)&gt;='3월 등급 정보'!$H$8,6,IF(INT(Y62)&gt;='3월 등급 정보'!$H$9,7,IF(INT(Y62)&gt;='3월 등급 정보'!$H$10,8,IF(INT(Y62)&gt;='3월 등급 정보'!$H$11,9)))))))))</f>
        <v>2</v>
      </c>
      <c r="AC62" s="33">
        <f>E62+I62+M62+Q62+U62</f>
        <v>277.5</v>
      </c>
      <c r="AD62" s="33">
        <f>RANK(AC62,$AC$3:$AC$273)</f>
        <v>59</v>
      </c>
    </row>
    <row r="63" spans="1:30" ht="17.25" customHeight="1">
      <c r="A63" s="33" t="s">
        <v>26</v>
      </c>
      <c r="B63" s="34">
        <v>8</v>
      </c>
      <c r="C63" s="34">
        <v>1</v>
      </c>
      <c r="D63" s="34" t="s">
        <v>215</v>
      </c>
      <c r="E63" s="34">
        <v>84</v>
      </c>
      <c r="F63" s="33"/>
      <c r="G63" s="33"/>
      <c r="H63" s="33">
        <f>IF(INT(E63)&gt;='3월 등급 정보'!$C$3,1,IF(INT(E63)&gt;='3월 등급 정보'!$C$4,2,IF(INT(E63)&gt;='3월 등급 정보'!$C$5,3,IF(INT(E63)&gt;='3월 등급 정보'!$C$6,4,IF(INT(E63)&gt;='3월 등급 정보'!$C$7,5,IF(INT(E63)&gt;='3월 등급 정보'!$C$8,6,IF(INT(E63)&gt;='3월 등급 정보'!$C$9,7,IF(INT(E63)&gt;='3월 등급 정보'!$C$10,8,IF(INT(E63)&gt;='3월 등급 정보'!$C$11,9)))))))))</f>
        <v>2</v>
      </c>
      <c r="I63" s="34">
        <v>61</v>
      </c>
      <c r="J63" s="33"/>
      <c r="K63" s="33"/>
      <c r="L63" s="33">
        <f>IF(INT(I63)&gt;='3월 등급 정보'!$D$3,1,IF(INT(I63)&gt;='3월 등급 정보'!$D$4,2,IF(INT(I63)&gt;='3월 등급 정보'!$D$5,3,IF(INT(I63)&gt;='3월 등급 정보'!$D$6,4,IF(INT(I63)&gt;='3월 등급 정보'!$D$7,5,IF(INT(I63)&gt;='3월 등급 정보'!$D$8,6,IF(INT(I63)&gt;='3월 등급 정보'!$D$9,7,IF(INT(I63)&gt;='3월 등급 정보'!$D$10,8,IF(INT(I63)&gt;='3월 등급 정보'!$D$11,9)))))))))</f>
        <v>3</v>
      </c>
      <c r="M63" s="34">
        <v>66</v>
      </c>
      <c r="N63" s="33"/>
      <c r="O63" s="33"/>
      <c r="P63" s="33">
        <f>IF(INT(M63)&gt;='3월 등급 정보'!$E$3,1,IF(INT(M63)&gt;='3월 등급 정보'!$E$4,2,IF(INT(M63)&gt;='3월 등급 정보'!$E$5,3,IF(INT(M63)&gt;='3월 등급 정보'!$E$6,4,IF(INT(M63)&gt;='3월 등급 정보'!$E$7,5,IF(INT(M63)&gt;='3월 등급 정보'!$E$8,6,IF(INT(M63)&gt;='3월 등급 정보'!$E$9,7,IF(INT(M63)&gt;='3월 등급 정보'!$E$10,8,IF(INT(M63)&gt;='3월 등급 정보'!$E$11,9)))))))))</f>
        <v>4</v>
      </c>
      <c r="Q63" s="34">
        <v>36</v>
      </c>
      <c r="R63" s="33"/>
      <c r="S63" s="33"/>
      <c r="T63" s="33">
        <f>IF(INT(Q63)&gt;='3월 등급 정보'!$F$3,1,IF(INT(Q63)&gt;='3월 등급 정보'!$F$4,2,IF(INT(Q63)&gt;='3월 등급 정보'!$F$5,3,IF(INT(Q63)&gt;='3월 등급 정보'!$F$6,4,IF(INT(Q63)&gt;='3월 등급 정보'!$F$7,5,IF(INT(Q63)&gt;='3월 등급 정보'!$F$8,6,IF(INT(Q63)&gt;='3월 등급 정보'!$F$9,7,IF(INT(Q63)&gt;='3월 등급 정보'!$F$10,8,IF(INT(Q63)&gt;='3월 등급 정보'!$F$11,9)))))))))</f>
        <v>4</v>
      </c>
      <c r="U63" s="34">
        <v>28.5</v>
      </c>
      <c r="V63" s="33"/>
      <c r="W63" s="33"/>
      <c r="X63" s="33">
        <f>IF(INT(U63)&gt;='3월 등급 정보'!$G$3,1,IF(INT(U63)&gt;='3월 등급 정보'!$G$4,2,IF(INT(U63)&gt;='3월 등급 정보'!$G$5,3,IF(INT(U63)&gt;='3월 등급 정보'!$G$6,4,IF(INT(U63)&gt;='3월 등급 정보'!$G$7,5,IF(INT(U63)&gt;='3월 등급 정보'!$G$8,6,IF(INT(U63)&gt;='3월 등급 정보'!$G$9,7,IF(INT(U63)&gt;='3월 등급 정보'!$G$10,8,IF(INT(U63)&gt;='3월 등급 정보'!$G$11,9)))))))))</f>
        <v>4</v>
      </c>
      <c r="Y63" s="34">
        <v>37</v>
      </c>
      <c r="Z63" s="33"/>
      <c r="AA63" s="33"/>
      <c r="AB63" s="33">
        <f>IF(INT(Y63)&gt;='3월 등급 정보'!$H$3,1,IF(INT(Y63)&gt;='3월 등급 정보'!$H$4,2,IF(INT(Y63)&gt;='3월 등급 정보'!$H$5,3,IF(INT(Y63)&gt;='3월 등급 정보'!$H$6,4,IF(INT(Y63)&gt;='3월 등급 정보'!$H$7,5,IF(INT(Y63)&gt;='3월 등급 정보'!$H$8,6,IF(INT(Y63)&gt;='3월 등급 정보'!$H$9,7,IF(INT(Y63)&gt;='3월 등급 정보'!$H$10,8,IF(INT(Y63)&gt;='3월 등급 정보'!$H$11,9)))))))))</f>
        <v>2</v>
      </c>
      <c r="AC63" s="33">
        <f>E63+I63+M63+Q63+U63</f>
        <v>275.5</v>
      </c>
      <c r="AD63" s="33">
        <f>RANK(AC63,$AC$3:$AC$273)</f>
        <v>61</v>
      </c>
    </row>
    <row r="64" spans="1:30" ht="17.25" customHeight="1">
      <c r="A64" s="33" t="s">
        <v>26</v>
      </c>
      <c r="B64" s="34">
        <v>5</v>
      </c>
      <c r="C64" s="34">
        <v>28</v>
      </c>
      <c r="D64" s="34" t="s">
        <v>158</v>
      </c>
      <c r="E64" s="34">
        <v>73</v>
      </c>
      <c r="F64" s="33"/>
      <c r="G64" s="33"/>
      <c r="H64" s="33">
        <f>IF(INT(E64)&gt;='3월 등급 정보'!$C$3,1,IF(INT(E64)&gt;='3월 등급 정보'!$C$4,2,IF(INT(E64)&gt;='3월 등급 정보'!$C$5,3,IF(INT(E64)&gt;='3월 등급 정보'!$C$6,4,IF(INT(E64)&gt;='3월 등급 정보'!$C$7,5,IF(INT(E64)&gt;='3월 등급 정보'!$C$8,6,IF(INT(E64)&gt;='3월 등급 정보'!$C$9,7,IF(INT(E64)&gt;='3월 등급 정보'!$C$10,8,IF(INT(E64)&gt;='3월 등급 정보'!$C$11,9)))))))))</f>
        <v>3</v>
      </c>
      <c r="I64" s="34">
        <v>72</v>
      </c>
      <c r="J64" s="33"/>
      <c r="K64" s="33"/>
      <c r="L64" s="33">
        <f>IF(INT(I64)&gt;='3월 등급 정보'!$D$3,1,IF(INT(I64)&gt;='3월 등급 정보'!$D$4,2,IF(INT(I64)&gt;='3월 등급 정보'!$D$5,3,IF(INT(I64)&gt;='3월 등급 정보'!$D$6,4,IF(INT(I64)&gt;='3월 등급 정보'!$D$7,5,IF(INT(I64)&gt;='3월 등급 정보'!$D$8,6,IF(INT(I64)&gt;='3월 등급 정보'!$D$9,7,IF(INT(I64)&gt;='3월 등급 정보'!$D$10,8,IF(INT(I64)&gt;='3월 등급 정보'!$D$11,9)))))))))</f>
        <v>2</v>
      </c>
      <c r="M64" s="34">
        <v>74</v>
      </c>
      <c r="N64" s="33"/>
      <c r="O64" s="33"/>
      <c r="P64" s="33">
        <f>IF(INT(M64)&gt;='3월 등급 정보'!$E$3,1,IF(INT(M64)&gt;='3월 등급 정보'!$E$4,2,IF(INT(M64)&gt;='3월 등급 정보'!$E$5,3,IF(INT(M64)&gt;='3월 등급 정보'!$E$6,4,IF(INT(M64)&gt;='3월 등급 정보'!$E$7,5,IF(INT(M64)&gt;='3월 등급 정보'!$E$8,6,IF(INT(M64)&gt;='3월 등급 정보'!$E$9,7,IF(INT(M64)&gt;='3월 등급 정보'!$E$10,8,IF(INT(M64)&gt;='3월 등급 정보'!$E$11,9)))))))))</f>
        <v>3</v>
      </c>
      <c r="Q64" s="34">
        <v>26</v>
      </c>
      <c r="R64" s="33"/>
      <c r="S64" s="33"/>
      <c r="T64" s="33">
        <f>IF(INT(Q64)&gt;='3월 등급 정보'!$F$3,1,IF(INT(Q64)&gt;='3월 등급 정보'!$F$4,2,IF(INT(Q64)&gt;='3월 등급 정보'!$F$5,3,IF(INT(Q64)&gt;='3월 등급 정보'!$F$6,4,IF(INT(Q64)&gt;='3월 등급 정보'!$F$7,5,IF(INT(Q64)&gt;='3월 등급 정보'!$F$8,6,IF(INT(Q64)&gt;='3월 등급 정보'!$F$9,7,IF(INT(Q64)&gt;='3월 등급 정보'!$F$10,8,IF(INT(Q64)&gt;='3월 등급 정보'!$F$11,9)))))))))</f>
        <v>5</v>
      </c>
      <c r="U64" s="34">
        <v>29.5</v>
      </c>
      <c r="V64" s="33"/>
      <c r="W64" s="33"/>
      <c r="X64" s="33">
        <f>IF(INT(U64)&gt;='3월 등급 정보'!$G$3,1,IF(INT(U64)&gt;='3월 등급 정보'!$G$4,2,IF(INT(U64)&gt;='3월 등급 정보'!$G$5,3,IF(INT(U64)&gt;='3월 등급 정보'!$G$6,4,IF(INT(U64)&gt;='3월 등급 정보'!$G$7,5,IF(INT(U64)&gt;='3월 등급 정보'!$G$8,6,IF(INT(U64)&gt;='3월 등급 정보'!$G$9,7,IF(INT(U64)&gt;='3월 등급 정보'!$G$10,8,IF(INT(U64)&gt;='3월 등급 정보'!$G$11,9)))))))))</f>
        <v>4</v>
      </c>
      <c r="Y64" s="34">
        <v>18</v>
      </c>
      <c r="Z64" s="33"/>
      <c r="AA64" s="33"/>
      <c r="AB64" s="33">
        <f>IF(INT(Y64)&gt;='3월 등급 정보'!$H$3,1,IF(INT(Y64)&gt;='3월 등급 정보'!$H$4,2,IF(INT(Y64)&gt;='3월 등급 정보'!$H$5,3,IF(INT(Y64)&gt;='3월 등급 정보'!$H$6,4,IF(INT(Y64)&gt;='3월 등급 정보'!$H$7,5,IF(INT(Y64)&gt;='3월 등급 정보'!$H$8,6,IF(INT(Y64)&gt;='3월 등급 정보'!$H$9,7,IF(INT(Y64)&gt;='3월 등급 정보'!$H$10,8,IF(INT(Y64)&gt;='3월 등급 정보'!$H$11,9)))))))))</f>
        <v>6</v>
      </c>
      <c r="AC64" s="33">
        <f>E64+I64+M64+Q64+U64</f>
        <v>274.5</v>
      </c>
      <c r="AD64" s="33">
        <f>RANK(AC64,$AC$3:$AC$273)</f>
        <v>62</v>
      </c>
    </row>
    <row r="65" spans="1:30" ht="17.25" customHeight="1">
      <c r="A65" s="33" t="s">
        <v>26</v>
      </c>
      <c r="B65" s="34">
        <v>9</v>
      </c>
      <c r="C65" s="34">
        <v>3</v>
      </c>
      <c r="D65" s="34" t="s">
        <v>242</v>
      </c>
      <c r="E65" s="34">
        <v>69</v>
      </c>
      <c r="F65" s="33"/>
      <c r="G65" s="33"/>
      <c r="H65" s="33">
        <f>IF(INT(E65)&gt;='3월 등급 정보'!$C$3,1,IF(INT(E65)&gt;='3월 등급 정보'!$C$4,2,IF(INT(E65)&gt;='3월 등급 정보'!$C$5,3,IF(INT(E65)&gt;='3월 등급 정보'!$C$6,4,IF(INT(E65)&gt;='3월 등급 정보'!$C$7,5,IF(INT(E65)&gt;='3월 등급 정보'!$C$8,6,IF(INT(E65)&gt;='3월 등급 정보'!$C$9,7,IF(INT(E65)&gt;='3월 등급 정보'!$C$10,8,IF(INT(E65)&gt;='3월 등급 정보'!$C$11,9)))))))))</f>
        <v>4</v>
      </c>
      <c r="I65" s="34">
        <v>58</v>
      </c>
      <c r="J65" s="33"/>
      <c r="K65" s="33"/>
      <c r="L65" s="33">
        <f>IF(INT(I65)&gt;='3월 등급 정보'!$D$3,1,IF(INT(I65)&gt;='3월 등급 정보'!$D$4,2,IF(INT(I65)&gt;='3월 등급 정보'!$D$5,3,IF(INT(I65)&gt;='3월 등급 정보'!$D$6,4,IF(INT(I65)&gt;='3월 등급 정보'!$D$7,5,IF(INT(I65)&gt;='3월 등급 정보'!$D$8,6,IF(INT(I65)&gt;='3월 등급 정보'!$D$9,7,IF(INT(I65)&gt;='3월 등급 정보'!$D$10,8,IF(INT(I65)&gt;='3월 등급 정보'!$D$11,9)))))))))</f>
        <v>4</v>
      </c>
      <c r="M65" s="34">
        <v>65</v>
      </c>
      <c r="N65" s="33"/>
      <c r="O65" s="33"/>
      <c r="P65" s="33">
        <f>IF(INT(M65)&gt;='3월 등급 정보'!$E$3,1,IF(INT(M65)&gt;='3월 등급 정보'!$E$4,2,IF(INT(M65)&gt;='3월 등급 정보'!$E$5,3,IF(INT(M65)&gt;='3월 등급 정보'!$E$6,4,IF(INT(M65)&gt;='3월 등급 정보'!$E$7,5,IF(INT(M65)&gt;='3월 등급 정보'!$E$8,6,IF(INT(M65)&gt;='3월 등급 정보'!$E$9,7,IF(INT(M65)&gt;='3월 등급 정보'!$E$10,8,IF(INT(M65)&gt;='3월 등급 정보'!$E$11,9)))))))))</f>
        <v>4</v>
      </c>
      <c r="Q65" s="34">
        <v>46.5</v>
      </c>
      <c r="R65" s="33"/>
      <c r="S65" s="33"/>
      <c r="T65" s="33">
        <f>IF(INT(Q65)&gt;='3월 등급 정보'!$F$3,1,IF(INT(Q65)&gt;='3월 등급 정보'!$F$4,2,IF(INT(Q65)&gt;='3월 등급 정보'!$F$5,3,IF(INT(Q65)&gt;='3월 등급 정보'!$F$6,4,IF(INT(Q65)&gt;='3월 등급 정보'!$F$7,5,IF(INT(Q65)&gt;='3월 등급 정보'!$F$8,6,IF(INT(Q65)&gt;='3월 등급 정보'!$F$9,7,IF(INT(Q65)&gt;='3월 등급 정보'!$F$10,8,IF(INT(Q65)&gt;='3월 등급 정보'!$F$11,9)))))))))</f>
        <v>2</v>
      </c>
      <c r="U65" s="34">
        <v>34.5</v>
      </c>
      <c r="V65" s="33"/>
      <c r="W65" s="33"/>
      <c r="X65" s="33">
        <f>IF(INT(U65)&gt;='3월 등급 정보'!$G$3,1,IF(INT(U65)&gt;='3월 등급 정보'!$G$4,2,IF(INT(U65)&gt;='3월 등급 정보'!$G$5,3,IF(INT(U65)&gt;='3월 등급 정보'!$G$6,4,IF(INT(U65)&gt;='3월 등급 정보'!$G$7,5,IF(INT(U65)&gt;='3월 등급 정보'!$G$8,6,IF(INT(U65)&gt;='3월 등급 정보'!$G$9,7,IF(INT(U65)&gt;='3월 등급 정보'!$G$10,8,IF(INT(U65)&gt;='3월 등급 정보'!$G$11,9)))))))))</f>
        <v>3</v>
      </c>
      <c r="Y65" s="34">
        <v>47</v>
      </c>
      <c r="Z65" s="33"/>
      <c r="AA65" s="33"/>
      <c r="AB65" s="33">
        <f>IF(INT(Y65)&gt;='3월 등급 정보'!$H$3,1,IF(INT(Y65)&gt;='3월 등급 정보'!$H$4,2,IF(INT(Y65)&gt;='3월 등급 정보'!$H$5,3,IF(INT(Y65)&gt;='3월 등급 정보'!$H$6,4,IF(INT(Y65)&gt;='3월 등급 정보'!$H$7,5,IF(INT(Y65)&gt;='3월 등급 정보'!$H$8,6,IF(INT(Y65)&gt;='3월 등급 정보'!$H$9,7,IF(INT(Y65)&gt;='3월 등급 정보'!$H$10,8,IF(INT(Y65)&gt;='3월 등급 정보'!$H$11,9)))))))))</f>
        <v>1</v>
      </c>
      <c r="AC65" s="33">
        <f>E65+I65+M65+Q65+U65</f>
        <v>273</v>
      </c>
      <c r="AD65" s="33">
        <f>RANK(AC65,$AC$3:$AC$273)</f>
        <v>63</v>
      </c>
    </row>
    <row r="66" spans="1:30" ht="17.25" customHeight="1">
      <c r="A66" s="33" t="s">
        <v>26</v>
      </c>
      <c r="B66" s="34">
        <v>3</v>
      </c>
      <c r="C66" s="34">
        <v>7</v>
      </c>
      <c r="D66" s="34" t="s">
        <v>85</v>
      </c>
      <c r="E66" s="34">
        <v>71</v>
      </c>
      <c r="F66" s="33"/>
      <c r="G66" s="33"/>
      <c r="H66" s="33">
        <f>IF(INT(E66)&gt;='3월 등급 정보'!$C$3,1,IF(INT(E66)&gt;='3월 등급 정보'!$C$4,2,IF(INT(E66)&gt;='3월 등급 정보'!$C$5,3,IF(INT(E66)&gt;='3월 등급 정보'!$C$6,4,IF(INT(E66)&gt;='3월 등급 정보'!$C$7,5,IF(INT(E66)&gt;='3월 등급 정보'!$C$8,6,IF(INT(E66)&gt;='3월 등급 정보'!$C$9,7,IF(INT(E66)&gt;='3월 등급 정보'!$C$10,8,IF(INT(E66)&gt;='3월 등급 정보'!$C$11,9)))))))))</f>
        <v>3</v>
      </c>
      <c r="I66" s="34">
        <v>54</v>
      </c>
      <c r="J66" s="33"/>
      <c r="K66" s="33"/>
      <c r="L66" s="33">
        <f>IF(INT(I66)&gt;='3월 등급 정보'!$D$3,1,IF(INT(I66)&gt;='3월 등급 정보'!$D$4,2,IF(INT(I66)&gt;='3월 등급 정보'!$D$5,3,IF(INT(I66)&gt;='3월 등급 정보'!$D$6,4,IF(INT(I66)&gt;='3월 등급 정보'!$D$7,5,IF(INT(I66)&gt;='3월 등급 정보'!$D$8,6,IF(INT(I66)&gt;='3월 등급 정보'!$D$9,7,IF(INT(I66)&gt;='3월 등급 정보'!$D$10,8,IF(INT(I66)&gt;='3월 등급 정보'!$D$11,9)))))))))</f>
        <v>4</v>
      </c>
      <c r="M66" s="34">
        <v>73</v>
      </c>
      <c r="N66" s="33"/>
      <c r="O66" s="33"/>
      <c r="P66" s="33">
        <f>IF(INT(M66)&gt;='3월 등급 정보'!$E$3,1,IF(INT(M66)&gt;='3월 등급 정보'!$E$4,2,IF(INT(M66)&gt;='3월 등급 정보'!$E$5,3,IF(INT(M66)&gt;='3월 등급 정보'!$E$6,4,IF(INT(M66)&gt;='3월 등급 정보'!$E$7,5,IF(INT(M66)&gt;='3월 등급 정보'!$E$8,6,IF(INT(M66)&gt;='3월 등급 정보'!$E$9,7,IF(INT(M66)&gt;='3월 등급 정보'!$E$10,8,IF(INT(M66)&gt;='3월 등급 정보'!$E$11,9)))))))))</f>
        <v>3</v>
      </c>
      <c r="Q66" s="34">
        <v>37.5</v>
      </c>
      <c r="R66" s="33"/>
      <c r="S66" s="33"/>
      <c r="T66" s="33">
        <f>IF(INT(Q66)&gt;='3월 등급 정보'!$F$3,1,IF(INT(Q66)&gt;='3월 등급 정보'!$F$4,2,IF(INT(Q66)&gt;='3월 등급 정보'!$F$5,3,IF(INT(Q66)&gt;='3월 등급 정보'!$F$6,4,IF(INT(Q66)&gt;='3월 등급 정보'!$F$7,5,IF(INT(Q66)&gt;='3월 등급 정보'!$F$8,6,IF(INT(Q66)&gt;='3월 등급 정보'!$F$9,7,IF(INT(Q66)&gt;='3월 등급 정보'!$F$10,8,IF(INT(Q66)&gt;='3월 등급 정보'!$F$11,9)))))))))</f>
        <v>4</v>
      </c>
      <c r="U66" s="34">
        <v>35.5</v>
      </c>
      <c r="V66" s="33"/>
      <c r="W66" s="33"/>
      <c r="X66" s="33">
        <f>IF(INT(U66)&gt;='3월 등급 정보'!$G$3,1,IF(INT(U66)&gt;='3월 등급 정보'!$G$4,2,IF(INT(U66)&gt;='3월 등급 정보'!$G$5,3,IF(INT(U66)&gt;='3월 등급 정보'!$G$6,4,IF(INT(U66)&gt;='3월 등급 정보'!$G$7,5,IF(INT(U66)&gt;='3월 등급 정보'!$G$8,6,IF(INT(U66)&gt;='3월 등급 정보'!$G$9,7,IF(INT(U66)&gt;='3월 등급 정보'!$G$10,8,IF(INT(U66)&gt;='3월 등급 정보'!$G$11,9)))))))))</f>
        <v>3</v>
      </c>
      <c r="Y66" s="34">
        <v>29</v>
      </c>
      <c r="Z66" s="33"/>
      <c r="AA66" s="33"/>
      <c r="AB66" s="33">
        <f>IF(INT(Y66)&gt;='3월 등급 정보'!$H$3,1,IF(INT(Y66)&gt;='3월 등급 정보'!$H$4,2,IF(INT(Y66)&gt;='3월 등급 정보'!$H$5,3,IF(INT(Y66)&gt;='3월 등급 정보'!$H$6,4,IF(INT(Y66)&gt;='3월 등급 정보'!$H$7,5,IF(INT(Y66)&gt;='3월 등급 정보'!$H$8,6,IF(INT(Y66)&gt;='3월 등급 정보'!$H$9,7,IF(INT(Y66)&gt;='3월 등급 정보'!$H$10,8,IF(INT(Y66)&gt;='3월 등급 정보'!$H$11,9)))))))))</f>
        <v>4</v>
      </c>
      <c r="AC66" s="33">
        <f>E66+I66+M66+Q66+U66</f>
        <v>271</v>
      </c>
      <c r="AD66" s="33">
        <f>RANK(AC66,$AC$3:$AC$273)</f>
        <v>64</v>
      </c>
    </row>
    <row r="67" spans="1:30" ht="17.25" customHeight="1">
      <c r="A67" s="33" t="s">
        <v>26</v>
      </c>
      <c r="B67" s="34">
        <v>3</v>
      </c>
      <c r="C67" s="34">
        <v>2</v>
      </c>
      <c r="D67" s="34" t="s">
        <v>81</v>
      </c>
      <c r="E67" s="34">
        <v>68</v>
      </c>
      <c r="F67" s="33"/>
      <c r="G67" s="33"/>
      <c r="H67" s="33">
        <f>IF(INT(E67)&gt;='3월 등급 정보'!$C$3,1,IF(INT(E67)&gt;='3월 등급 정보'!$C$4,2,IF(INT(E67)&gt;='3월 등급 정보'!$C$5,3,IF(INT(E67)&gt;='3월 등급 정보'!$C$6,4,IF(INT(E67)&gt;='3월 등급 정보'!$C$7,5,IF(INT(E67)&gt;='3월 등급 정보'!$C$8,6,IF(INT(E67)&gt;='3월 등급 정보'!$C$9,7,IF(INT(E67)&gt;='3월 등급 정보'!$C$10,8,IF(INT(E67)&gt;='3월 등급 정보'!$C$11,9)))))))))</f>
        <v>4</v>
      </c>
      <c r="I67" s="34">
        <v>54</v>
      </c>
      <c r="J67" s="33"/>
      <c r="K67" s="33"/>
      <c r="L67" s="33">
        <f>IF(INT(I67)&gt;='3월 등급 정보'!$D$3,1,IF(INT(I67)&gt;='3월 등급 정보'!$D$4,2,IF(INT(I67)&gt;='3월 등급 정보'!$D$5,3,IF(INT(I67)&gt;='3월 등급 정보'!$D$6,4,IF(INT(I67)&gt;='3월 등급 정보'!$D$7,5,IF(INT(I67)&gt;='3월 등급 정보'!$D$8,6,IF(INT(I67)&gt;='3월 등급 정보'!$D$9,7,IF(INT(I67)&gt;='3월 등급 정보'!$D$10,8,IF(INT(I67)&gt;='3월 등급 정보'!$D$11,9)))))))))</f>
        <v>4</v>
      </c>
      <c r="M67" s="34">
        <v>65</v>
      </c>
      <c r="N67" s="33"/>
      <c r="O67" s="33"/>
      <c r="P67" s="33">
        <f>IF(INT(M67)&gt;='3월 등급 정보'!$E$3,1,IF(INT(M67)&gt;='3월 등급 정보'!$E$4,2,IF(INT(M67)&gt;='3월 등급 정보'!$E$5,3,IF(INT(M67)&gt;='3월 등급 정보'!$E$6,4,IF(INT(M67)&gt;='3월 등급 정보'!$E$7,5,IF(INT(M67)&gt;='3월 등급 정보'!$E$8,6,IF(INT(M67)&gt;='3월 등급 정보'!$E$9,7,IF(INT(M67)&gt;='3월 등급 정보'!$E$10,8,IF(INT(M67)&gt;='3월 등급 정보'!$E$11,9)))))))))</f>
        <v>4</v>
      </c>
      <c r="Q67" s="34">
        <v>48</v>
      </c>
      <c r="R67" s="33"/>
      <c r="S67" s="33"/>
      <c r="T67" s="33">
        <f>IF(INT(Q67)&gt;='3월 등급 정보'!$F$3,1,IF(INT(Q67)&gt;='3월 등급 정보'!$F$4,2,IF(INT(Q67)&gt;='3월 등급 정보'!$F$5,3,IF(INT(Q67)&gt;='3월 등급 정보'!$F$6,4,IF(INT(Q67)&gt;='3월 등급 정보'!$F$7,5,IF(INT(Q67)&gt;='3월 등급 정보'!$F$8,6,IF(INT(Q67)&gt;='3월 등급 정보'!$F$9,7,IF(INT(Q67)&gt;='3월 등급 정보'!$F$10,8,IF(INT(Q67)&gt;='3월 등급 정보'!$F$11,9)))))))))</f>
        <v>1</v>
      </c>
      <c r="U67" s="34">
        <v>35.5</v>
      </c>
      <c r="V67" s="33"/>
      <c r="W67" s="33"/>
      <c r="X67" s="33">
        <f>IF(INT(U67)&gt;='3월 등급 정보'!$G$3,1,IF(INT(U67)&gt;='3월 등급 정보'!$G$4,2,IF(INT(U67)&gt;='3월 등급 정보'!$G$5,3,IF(INT(U67)&gt;='3월 등급 정보'!$G$6,4,IF(INT(U67)&gt;='3월 등급 정보'!$G$7,5,IF(INT(U67)&gt;='3월 등급 정보'!$G$8,6,IF(INT(U67)&gt;='3월 등급 정보'!$G$9,7,IF(INT(U67)&gt;='3월 등급 정보'!$G$10,8,IF(INT(U67)&gt;='3월 등급 정보'!$G$11,9)))))))))</f>
        <v>3</v>
      </c>
      <c r="Y67" s="34">
        <v>45</v>
      </c>
      <c r="Z67" s="33"/>
      <c r="AA67" s="33"/>
      <c r="AB67" s="33">
        <f>IF(INT(Y67)&gt;='3월 등급 정보'!$H$3,1,IF(INT(Y67)&gt;='3월 등급 정보'!$H$4,2,IF(INT(Y67)&gt;='3월 등급 정보'!$H$5,3,IF(INT(Y67)&gt;='3월 등급 정보'!$H$6,4,IF(INT(Y67)&gt;='3월 등급 정보'!$H$7,5,IF(INT(Y67)&gt;='3월 등급 정보'!$H$8,6,IF(INT(Y67)&gt;='3월 등급 정보'!$H$9,7,IF(INT(Y67)&gt;='3월 등급 정보'!$H$10,8,IF(INT(Y67)&gt;='3월 등급 정보'!$H$11,9)))))))))</f>
        <v>1</v>
      </c>
      <c r="AC67" s="33">
        <f>E67+I67+M67+Q67+U67</f>
        <v>270.5</v>
      </c>
      <c r="AD67" s="33">
        <f>RANK(AC67,$AC$3:$AC$273)</f>
        <v>65</v>
      </c>
    </row>
    <row r="68" spans="1:30" ht="17.25" customHeight="1">
      <c r="A68" s="33" t="s">
        <v>26</v>
      </c>
      <c r="B68" s="34">
        <v>5</v>
      </c>
      <c r="C68" s="34">
        <v>23</v>
      </c>
      <c r="D68" s="34" t="s">
        <v>153</v>
      </c>
      <c r="E68" s="34">
        <v>71</v>
      </c>
      <c r="F68" s="33"/>
      <c r="G68" s="33"/>
      <c r="H68" s="33">
        <f>IF(INT(E68)&gt;='3월 등급 정보'!$C$3,1,IF(INT(E68)&gt;='3월 등급 정보'!$C$4,2,IF(INT(E68)&gt;='3월 등급 정보'!$C$5,3,IF(INT(E68)&gt;='3월 등급 정보'!$C$6,4,IF(INT(E68)&gt;='3월 등급 정보'!$C$7,5,IF(INT(E68)&gt;='3월 등급 정보'!$C$8,6,IF(INT(E68)&gt;='3월 등급 정보'!$C$9,7,IF(INT(E68)&gt;='3월 등급 정보'!$C$10,8,IF(INT(E68)&gt;='3월 등급 정보'!$C$11,9)))))))))</f>
        <v>3</v>
      </c>
      <c r="I68" s="34">
        <v>48</v>
      </c>
      <c r="J68" s="33"/>
      <c r="K68" s="33"/>
      <c r="L68" s="33">
        <f>IF(INT(I68)&gt;='3월 등급 정보'!$D$3,1,IF(INT(I68)&gt;='3월 등급 정보'!$D$4,2,IF(INT(I68)&gt;='3월 등급 정보'!$D$5,3,IF(INT(I68)&gt;='3월 등급 정보'!$D$6,4,IF(INT(I68)&gt;='3월 등급 정보'!$D$7,5,IF(INT(I68)&gt;='3월 등급 정보'!$D$8,6,IF(INT(I68)&gt;='3월 등급 정보'!$D$9,7,IF(INT(I68)&gt;='3월 등급 정보'!$D$10,8,IF(INT(I68)&gt;='3월 등급 정보'!$D$11,9)))))))))</f>
        <v>5</v>
      </c>
      <c r="M68" s="34">
        <v>76</v>
      </c>
      <c r="N68" s="33"/>
      <c r="O68" s="33"/>
      <c r="P68" s="33">
        <f>IF(INT(M68)&gt;='3월 등급 정보'!$E$3,1,IF(INT(M68)&gt;='3월 등급 정보'!$E$4,2,IF(INT(M68)&gt;='3월 등급 정보'!$E$5,3,IF(INT(M68)&gt;='3월 등급 정보'!$E$6,4,IF(INT(M68)&gt;='3월 등급 정보'!$E$7,5,IF(INT(M68)&gt;='3월 등급 정보'!$E$8,6,IF(INT(M68)&gt;='3월 등급 정보'!$E$9,7,IF(INT(M68)&gt;='3월 등급 정보'!$E$10,8,IF(INT(M68)&gt;='3월 등급 정보'!$E$11,9)))))))))</f>
        <v>3</v>
      </c>
      <c r="Q68" s="34">
        <v>48.5</v>
      </c>
      <c r="R68" s="33"/>
      <c r="S68" s="33"/>
      <c r="T68" s="33">
        <f>IF(INT(Q68)&gt;='3월 등급 정보'!$F$3,1,IF(INT(Q68)&gt;='3월 등급 정보'!$F$4,2,IF(INT(Q68)&gt;='3월 등급 정보'!$F$5,3,IF(INT(Q68)&gt;='3월 등급 정보'!$F$6,4,IF(INT(Q68)&gt;='3월 등급 정보'!$F$7,5,IF(INT(Q68)&gt;='3월 등급 정보'!$F$8,6,IF(INT(Q68)&gt;='3월 등급 정보'!$F$9,7,IF(INT(Q68)&gt;='3월 등급 정보'!$F$10,8,IF(INT(Q68)&gt;='3월 등급 정보'!$F$11,9)))))))))</f>
        <v>1</v>
      </c>
      <c r="U68" s="34">
        <v>27</v>
      </c>
      <c r="V68" s="33"/>
      <c r="W68" s="33"/>
      <c r="X68" s="33">
        <f>IF(INT(U68)&gt;='3월 등급 정보'!$G$3,1,IF(INT(U68)&gt;='3월 등급 정보'!$G$4,2,IF(INT(U68)&gt;='3월 등급 정보'!$G$5,3,IF(INT(U68)&gt;='3월 등급 정보'!$G$6,4,IF(INT(U68)&gt;='3월 등급 정보'!$G$7,5,IF(INT(U68)&gt;='3월 등급 정보'!$G$8,6,IF(INT(U68)&gt;='3월 등급 정보'!$G$9,7,IF(INT(U68)&gt;='3월 등급 정보'!$G$10,8,IF(INT(U68)&gt;='3월 등급 정보'!$G$11,9)))))))))</f>
        <v>4</v>
      </c>
      <c r="Y68" s="34">
        <v>32</v>
      </c>
      <c r="Z68" s="33"/>
      <c r="AA68" s="33"/>
      <c r="AB68" s="33">
        <f>IF(INT(Y68)&gt;='3월 등급 정보'!$H$3,1,IF(INT(Y68)&gt;='3월 등급 정보'!$H$4,2,IF(INT(Y68)&gt;='3월 등급 정보'!$H$5,3,IF(INT(Y68)&gt;='3월 등급 정보'!$H$6,4,IF(INT(Y68)&gt;='3월 등급 정보'!$H$7,5,IF(INT(Y68)&gt;='3월 등급 정보'!$H$8,6,IF(INT(Y68)&gt;='3월 등급 정보'!$H$9,7,IF(INT(Y68)&gt;='3월 등급 정보'!$H$10,8,IF(INT(Y68)&gt;='3월 등급 정보'!$H$11,9)))))))))</f>
        <v>3</v>
      </c>
      <c r="AC68" s="33">
        <f>E68+I68+M68+Q68+U68</f>
        <v>270.5</v>
      </c>
      <c r="AD68" s="33">
        <f>RANK(AC68,$AC$3:$AC$273)</f>
        <v>65</v>
      </c>
    </row>
    <row r="69" spans="1:30" ht="17.25" customHeight="1">
      <c r="A69" s="33" t="s">
        <v>26</v>
      </c>
      <c r="B69" s="34">
        <v>9</v>
      </c>
      <c r="C69" s="34">
        <v>24</v>
      </c>
      <c r="D69" s="34" t="s">
        <v>261</v>
      </c>
      <c r="E69" s="34">
        <v>79</v>
      </c>
      <c r="F69" s="33"/>
      <c r="G69" s="33"/>
      <c r="H69" s="33">
        <f>IF(INT(E69)&gt;='3월 등급 정보'!$C$3,1,IF(INT(E69)&gt;='3월 등급 정보'!$C$4,2,IF(INT(E69)&gt;='3월 등급 정보'!$C$5,3,IF(INT(E69)&gt;='3월 등급 정보'!$C$6,4,IF(INT(E69)&gt;='3월 등급 정보'!$C$7,5,IF(INT(E69)&gt;='3월 등급 정보'!$C$8,6,IF(INT(E69)&gt;='3월 등급 정보'!$C$9,7,IF(INT(E69)&gt;='3월 등급 정보'!$C$10,8,IF(INT(E69)&gt;='3월 등급 정보'!$C$11,9)))))))))</f>
        <v>2</v>
      </c>
      <c r="I69" s="34">
        <v>47</v>
      </c>
      <c r="J69" s="33"/>
      <c r="K69" s="33"/>
      <c r="L69" s="33">
        <f>IF(INT(I69)&gt;='3월 등급 정보'!$D$3,1,IF(INT(I69)&gt;='3월 등급 정보'!$D$4,2,IF(INT(I69)&gt;='3월 등급 정보'!$D$5,3,IF(INT(I69)&gt;='3월 등급 정보'!$D$6,4,IF(INT(I69)&gt;='3월 등급 정보'!$D$7,5,IF(INT(I69)&gt;='3월 등급 정보'!$D$8,6,IF(INT(I69)&gt;='3월 등급 정보'!$D$9,7,IF(INT(I69)&gt;='3월 등급 정보'!$D$10,8,IF(INT(I69)&gt;='3월 등급 정보'!$D$11,9)))))))))</f>
        <v>5</v>
      </c>
      <c r="M69" s="34">
        <v>80</v>
      </c>
      <c r="N69" s="33"/>
      <c r="O69" s="33"/>
      <c r="P69" s="33">
        <f>IF(INT(M69)&gt;='3월 등급 정보'!$E$3,1,IF(INT(M69)&gt;='3월 등급 정보'!$E$4,2,IF(INT(M69)&gt;='3월 등급 정보'!$E$5,3,IF(INT(M69)&gt;='3월 등급 정보'!$E$6,4,IF(INT(M69)&gt;='3월 등급 정보'!$E$7,5,IF(INT(M69)&gt;='3월 등급 정보'!$E$8,6,IF(INT(M69)&gt;='3월 등급 정보'!$E$9,7,IF(INT(M69)&gt;='3월 등급 정보'!$E$10,8,IF(INT(M69)&gt;='3월 등급 정보'!$E$11,9)))))))))</f>
        <v>2</v>
      </c>
      <c r="Q69" s="34">
        <v>30.5</v>
      </c>
      <c r="R69" s="33"/>
      <c r="S69" s="33"/>
      <c r="T69" s="33">
        <f>IF(INT(Q69)&gt;='3월 등급 정보'!$F$3,1,IF(INT(Q69)&gt;='3월 등급 정보'!$F$4,2,IF(INT(Q69)&gt;='3월 등급 정보'!$F$5,3,IF(INT(Q69)&gt;='3월 등급 정보'!$F$6,4,IF(INT(Q69)&gt;='3월 등급 정보'!$F$7,5,IF(INT(Q69)&gt;='3월 등급 정보'!$F$8,6,IF(INT(Q69)&gt;='3월 등급 정보'!$F$9,7,IF(INT(Q69)&gt;='3월 등급 정보'!$F$10,8,IF(INT(Q69)&gt;='3월 등급 정보'!$F$11,9)))))))))</f>
        <v>5</v>
      </c>
      <c r="U69" s="34">
        <v>34</v>
      </c>
      <c r="V69" s="33"/>
      <c r="W69" s="33"/>
      <c r="X69" s="33">
        <f>IF(INT(U69)&gt;='3월 등급 정보'!$G$3,1,IF(INT(U69)&gt;='3월 등급 정보'!$G$4,2,IF(INT(U69)&gt;='3월 등급 정보'!$G$5,3,IF(INT(U69)&gt;='3월 등급 정보'!$G$6,4,IF(INT(U69)&gt;='3월 등급 정보'!$G$7,5,IF(INT(U69)&gt;='3월 등급 정보'!$G$8,6,IF(INT(U69)&gt;='3월 등급 정보'!$G$9,7,IF(INT(U69)&gt;='3월 등급 정보'!$G$10,8,IF(INT(U69)&gt;='3월 등급 정보'!$G$11,9)))))))))</f>
        <v>3</v>
      </c>
      <c r="Y69" s="34">
        <v>36</v>
      </c>
      <c r="Z69" s="33"/>
      <c r="AA69" s="33"/>
      <c r="AB69" s="33">
        <f>IF(INT(Y69)&gt;='3월 등급 정보'!$H$3,1,IF(INT(Y69)&gt;='3월 등급 정보'!$H$4,2,IF(INT(Y69)&gt;='3월 등급 정보'!$H$5,3,IF(INT(Y69)&gt;='3월 등급 정보'!$H$6,4,IF(INT(Y69)&gt;='3월 등급 정보'!$H$7,5,IF(INT(Y69)&gt;='3월 등급 정보'!$H$8,6,IF(INT(Y69)&gt;='3월 등급 정보'!$H$9,7,IF(INT(Y69)&gt;='3월 등급 정보'!$H$10,8,IF(INT(Y69)&gt;='3월 등급 정보'!$H$11,9)))))))))</f>
        <v>2</v>
      </c>
      <c r="AC69" s="33">
        <f>E69+I69+M69+Q69+U69</f>
        <v>270.5</v>
      </c>
      <c r="AD69" s="33">
        <f>RANK(AC69,$AC$3:$AC$273)</f>
        <v>65</v>
      </c>
    </row>
    <row r="70" spans="1:30" ht="17.25" customHeight="1">
      <c r="A70" s="33" t="s">
        <v>26</v>
      </c>
      <c r="B70" s="34">
        <v>1</v>
      </c>
      <c r="C70" s="34">
        <v>1</v>
      </c>
      <c r="D70" s="34" t="s">
        <v>28</v>
      </c>
      <c r="E70" s="34">
        <v>73</v>
      </c>
      <c r="F70" s="33"/>
      <c r="G70" s="33"/>
      <c r="H70" s="33">
        <f>IF(INT(E70)&gt;='3월 등급 정보'!$C$3,1,IF(INT(E70)&gt;='3월 등급 정보'!$C$4,2,IF(INT(E70)&gt;='3월 등급 정보'!$C$5,3,IF(INT(E70)&gt;='3월 등급 정보'!$C$6,4,IF(INT(E70)&gt;='3월 등급 정보'!$C$7,5,IF(INT(E70)&gt;='3월 등급 정보'!$C$8,6,IF(INT(E70)&gt;='3월 등급 정보'!$C$9,7,IF(INT(E70)&gt;='3월 등급 정보'!$C$10,8,IF(INT(E70)&gt;='3월 등급 정보'!$C$11,9)))))))))</f>
        <v>3</v>
      </c>
      <c r="I70" s="34">
        <v>58</v>
      </c>
      <c r="J70" s="33"/>
      <c r="K70" s="33"/>
      <c r="L70" s="33">
        <f>IF(INT(I70)&gt;='3월 등급 정보'!$D$3,1,IF(INT(I70)&gt;='3월 등급 정보'!$D$4,2,IF(INT(I70)&gt;='3월 등급 정보'!$D$5,3,IF(INT(I70)&gt;='3월 등급 정보'!$D$6,4,IF(INT(I70)&gt;='3월 등급 정보'!$D$7,5,IF(INT(I70)&gt;='3월 등급 정보'!$D$8,6,IF(INT(I70)&gt;='3월 등급 정보'!$D$9,7,IF(INT(I70)&gt;='3월 등급 정보'!$D$10,8,IF(INT(I70)&gt;='3월 등급 정보'!$D$11,9)))))))))</f>
        <v>4</v>
      </c>
      <c r="M70" s="34">
        <v>75</v>
      </c>
      <c r="N70" s="33"/>
      <c r="O70" s="33"/>
      <c r="P70" s="33">
        <f>IF(INT(M70)&gt;='3월 등급 정보'!$E$3,1,IF(INT(M70)&gt;='3월 등급 정보'!$E$4,2,IF(INT(M70)&gt;='3월 등급 정보'!$E$5,3,IF(INT(M70)&gt;='3월 등급 정보'!$E$6,4,IF(INT(M70)&gt;='3월 등급 정보'!$E$7,5,IF(INT(M70)&gt;='3월 등급 정보'!$E$8,6,IF(INT(M70)&gt;='3월 등급 정보'!$E$9,7,IF(INT(M70)&gt;='3월 등급 정보'!$E$10,8,IF(INT(M70)&gt;='3월 등급 정보'!$E$11,9)))))))))</f>
        <v>3</v>
      </c>
      <c r="Q70" s="34">
        <v>34.5</v>
      </c>
      <c r="R70" s="33"/>
      <c r="S70" s="33"/>
      <c r="T70" s="33">
        <f>IF(INT(Q70)&gt;='3월 등급 정보'!$F$3,1,IF(INT(Q70)&gt;='3월 등급 정보'!$F$4,2,IF(INT(Q70)&gt;='3월 등급 정보'!$F$5,3,IF(INT(Q70)&gt;='3월 등급 정보'!$F$6,4,IF(INT(Q70)&gt;='3월 등급 정보'!$F$7,5,IF(INT(Q70)&gt;='3월 등급 정보'!$F$8,6,IF(INT(Q70)&gt;='3월 등급 정보'!$F$9,7,IF(INT(Q70)&gt;='3월 등급 정보'!$F$10,8,IF(INT(Q70)&gt;='3월 등급 정보'!$F$11,9)))))))))</f>
        <v>4</v>
      </c>
      <c r="U70" s="34">
        <v>29.5</v>
      </c>
      <c r="V70" s="33"/>
      <c r="W70" s="33"/>
      <c r="X70" s="33">
        <f>IF(INT(U70)&gt;='3월 등급 정보'!$G$3,1,IF(INT(U70)&gt;='3월 등급 정보'!$G$4,2,IF(INT(U70)&gt;='3월 등급 정보'!$G$5,3,IF(INT(U70)&gt;='3월 등급 정보'!$G$6,4,IF(INT(U70)&gt;='3월 등급 정보'!$G$7,5,IF(INT(U70)&gt;='3월 등급 정보'!$G$8,6,IF(INT(U70)&gt;='3월 등급 정보'!$G$9,7,IF(INT(U70)&gt;='3월 등급 정보'!$G$10,8,IF(INT(U70)&gt;='3월 등급 정보'!$G$11,9)))))))))</f>
        <v>4</v>
      </c>
      <c r="Y70" s="34">
        <v>44</v>
      </c>
      <c r="Z70" s="33"/>
      <c r="AA70" s="33"/>
      <c r="AB70" s="33">
        <f>IF(INT(Y70)&gt;='3월 등급 정보'!$H$3,1,IF(INT(Y70)&gt;='3월 등급 정보'!$H$4,2,IF(INT(Y70)&gt;='3월 등급 정보'!$H$5,3,IF(INT(Y70)&gt;='3월 등급 정보'!$H$6,4,IF(INT(Y70)&gt;='3월 등급 정보'!$H$7,5,IF(INT(Y70)&gt;='3월 등급 정보'!$H$8,6,IF(INT(Y70)&gt;='3월 등급 정보'!$H$9,7,IF(INT(Y70)&gt;='3월 등급 정보'!$H$10,8,IF(INT(Y70)&gt;='3월 등급 정보'!$H$11,9)))))))))</f>
        <v>1</v>
      </c>
      <c r="AC70" s="33">
        <f>E70+I70+M70+Q70+U70</f>
        <v>270</v>
      </c>
      <c r="AD70" s="33">
        <f>RANK(AC70,$AC$3:$AC$273)</f>
        <v>68</v>
      </c>
    </row>
    <row r="71" spans="1:30" ht="17.25" customHeight="1">
      <c r="A71" s="33" t="s">
        <v>26</v>
      </c>
      <c r="B71" s="34">
        <v>7</v>
      </c>
      <c r="C71" s="34">
        <v>12</v>
      </c>
      <c r="D71" s="34" t="s">
        <v>198</v>
      </c>
      <c r="E71" s="34">
        <v>76</v>
      </c>
      <c r="F71" s="33"/>
      <c r="G71" s="33"/>
      <c r="H71" s="33">
        <f>IF(INT(E71)&gt;='3월 등급 정보'!$C$3,1,IF(INT(E71)&gt;='3월 등급 정보'!$C$4,2,IF(INT(E71)&gt;='3월 등급 정보'!$C$5,3,IF(INT(E71)&gt;='3월 등급 정보'!$C$6,4,IF(INT(E71)&gt;='3월 등급 정보'!$C$7,5,IF(INT(E71)&gt;='3월 등급 정보'!$C$8,6,IF(INT(E71)&gt;='3월 등급 정보'!$C$9,7,IF(INT(E71)&gt;='3월 등급 정보'!$C$10,8,IF(INT(E71)&gt;='3월 등급 정보'!$C$11,9)))))))))</f>
        <v>3</v>
      </c>
      <c r="I71" s="34">
        <v>51</v>
      </c>
      <c r="J71" s="33"/>
      <c r="K71" s="33"/>
      <c r="L71" s="33">
        <f>IF(INT(I71)&gt;='3월 등급 정보'!$D$3,1,IF(INT(I71)&gt;='3월 등급 정보'!$D$4,2,IF(INT(I71)&gt;='3월 등급 정보'!$D$5,3,IF(INT(I71)&gt;='3월 등급 정보'!$D$6,4,IF(INT(I71)&gt;='3월 등급 정보'!$D$7,5,IF(INT(I71)&gt;='3월 등급 정보'!$D$8,6,IF(INT(I71)&gt;='3월 등급 정보'!$D$9,7,IF(INT(I71)&gt;='3월 등급 정보'!$D$10,8,IF(INT(I71)&gt;='3월 등급 정보'!$D$11,9)))))))))</f>
        <v>4</v>
      </c>
      <c r="M71" s="34">
        <v>72</v>
      </c>
      <c r="N71" s="33"/>
      <c r="O71" s="33"/>
      <c r="P71" s="33">
        <f>IF(INT(M71)&gt;='3월 등급 정보'!$E$3,1,IF(INT(M71)&gt;='3월 등급 정보'!$E$4,2,IF(INT(M71)&gt;='3월 등급 정보'!$E$5,3,IF(INT(M71)&gt;='3월 등급 정보'!$E$6,4,IF(INT(M71)&gt;='3월 등급 정보'!$E$7,5,IF(INT(M71)&gt;='3월 등급 정보'!$E$8,6,IF(INT(M71)&gt;='3월 등급 정보'!$E$9,7,IF(INT(M71)&gt;='3월 등급 정보'!$E$10,8,IF(INT(M71)&gt;='3월 등급 정보'!$E$11,9)))))))))</f>
        <v>3</v>
      </c>
      <c r="Q71" s="34">
        <v>38.5</v>
      </c>
      <c r="R71" s="33"/>
      <c r="S71" s="33"/>
      <c r="T71" s="33">
        <f>IF(INT(Q71)&gt;='3월 등급 정보'!$F$3,1,IF(INT(Q71)&gt;='3월 등급 정보'!$F$4,2,IF(INT(Q71)&gt;='3월 등급 정보'!$F$5,3,IF(INT(Q71)&gt;='3월 등급 정보'!$F$6,4,IF(INT(Q71)&gt;='3월 등급 정보'!$F$7,5,IF(INT(Q71)&gt;='3월 등급 정보'!$F$8,6,IF(INT(Q71)&gt;='3월 등급 정보'!$F$9,7,IF(INT(Q71)&gt;='3월 등급 정보'!$F$10,8,IF(INT(Q71)&gt;='3월 등급 정보'!$F$11,9)))))))))</f>
        <v>3</v>
      </c>
      <c r="U71" s="34">
        <v>32</v>
      </c>
      <c r="V71" s="33"/>
      <c r="W71" s="33"/>
      <c r="X71" s="33">
        <f>IF(INT(U71)&gt;='3월 등급 정보'!$G$3,1,IF(INT(U71)&gt;='3월 등급 정보'!$G$4,2,IF(INT(U71)&gt;='3월 등급 정보'!$G$5,3,IF(INT(U71)&gt;='3월 등급 정보'!$G$6,4,IF(INT(U71)&gt;='3월 등급 정보'!$G$7,5,IF(INT(U71)&gt;='3월 등급 정보'!$G$8,6,IF(INT(U71)&gt;='3월 등급 정보'!$G$9,7,IF(INT(U71)&gt;='3월 등급 정보'!$G$10,8,IF(INT(U71)&gt;='3월 등급 정보'!$G$11,9)))))))))</f>
        <v>3</v>
      </c>
      <c r="Y71" s="34">
        <v>32</v>
      </c>
      <c r="Z71" s="33"/>
      <c r="AA71" s="33"/>
      <c r="AB71" s="33">
        <f>IF(INT(Y71)&gt;='3월 등급 정보'!$H$3,1,IF(INT(Y71)&gt;='3월 등급 정보'!$H$4,2,IF(INT(Y71)&gt;='3월 등급 정보'!$H$5,3,IF(INT(Y71)&gt;='3월 등급 정보'!$H$6,4,IF(INT(Y71)&gt;='3월 등급 정보'!$H$7,5,IF(INT(Y71)&gt;='3월 등급 정보'!$H$8,6,IF(INT(Y71)&gt;='3월 등급 정보'!$H$9,7,IF(INT(Y71)&gt;='3월 등급 정보'!$H$10,8,IF(INT(Y71)&gt;='3월 등급 정보'!$H$11,9)))))))))</f>
        <v>3</v>
      </c>
      <c r="AC71" s="33">
        <f>E71+I71+M71+Q71+U71</f>
        <v>269.5</v>
      </c>
      <c r="AD71" s="33">
        <f>RANK(AC71,$AC$3:$AC$273)</f>
        <v>69</v>
      </c>
    </row>
    <row r="72" spans="1:30" ht="17.25" customHeight="1">
      <c r="A72" s="33" t="s">
        <v>26</v>
      </c>
      <c r="B72" s="34">
        <v>1</v>
      </c>
      <c r="C72" s="34">
        <v>21</v>
      </c>
      <c r="D72" s="34" t="s">
        <v>48</v>
      </c>
      <c r="E72" s="34">
        <v>68</v>
      </c>
      <c r="F72" s="33"/>
      <c r="G72" s="33"/>
      <c r="H72" s="33">
        <f>IF(INT(E72)&gt;='3월 등급 정보'!$C$3,1,IF(INT(E72)&gt;='3월 등급 정보'!$C$4,2,IF(INT(E72)&gt;='3월 등급 정보'!$C$5,3,IF(INT(E72)&gt;='3월 등급 정보'!$C$6,4,IF(INT(E72)&gt;='3월 등급 정보'!$C$7,5,IF(INT(E72)&gt;='3월 등급 정보'!$C$8,6,IF(INT(E72)&gt;='3월 등급 정보'!$C$9,7,IF(INT(E72)&gt;='3월 등급 정보'!$C$10,8,IF(INT(E72)&gt;='3월 등급 정보'!$C$11,9)))))))))</f>
        <v>4</v>
      </c>
      <c r="I72" s="34">
        <v>58</v>
      </c>
      <c r="J72" s="33"/>
      <c r="K72" s="33"/>
      <c r="L72" s="33">
        <f>IF(INT(I72)&gt;='3월 등급 정보'!$D$3,1,IF(INT(I72)&gt;='3월 등급 정보'!$D$4,2,IF(INT(I72)&gt;='3월 등급 정보'!$D$5,3,IF(INT(I72)&gt;='3월 등급 정보'!$D$6,4,IF(INT(I72)&gt;='3월 등급 정보'!$D$7,5,IF(INT(I72)&gt;='3월 등급 정보'!$D$8,6,IF(INT(I72)&gt;='3월 등급 정보'!$D$9,7,IF(INT(I72)&gt;='3월 등급 정보'!$D$10,8,IF(INT(I72)&gt;='3월 등급 정보'!$D$11,9)))))))))</f>
        <v>4</v>
      </c>
      <c r="M72" s="34">
        <v>71</v>
      </c>
      <c r="N72" s="33"/>
      <c r="O72" s="33"/>
      <c r="P72" s="33">
        <f>IF(INT(M72)&gt;='3월 등급 정보'!$E$3,1,IF(INT(M72)&gt;='3월 등급 정보'!$E$4,2,IF(INT(M72)&gt;='3월 등급 정보'!$E$5,3,IF(INT(M72)&gt;='3월 등급 정보'!$E$6,4,IF(INT(M72)&gt;='3월 등급 정보'!$E$7,5,IF(INT(M72)&gt;='3월 등급 정보'!$E$8,6,IF(INT(M72)&gt;='3월 등급 정보'!$E$9,7,IF(INT(M72)&gt;='3월 등급 정보'!$E$10,8,IF(INT(M72)&gt;='3월 등급 정보'!$E$11,9)))))))))</f>
        <v>3</v>
      </c>
      <c r="Q72" s="34">
        <v>42.5</v>
      </c>
      <c r="R72" s="33"/>
      <c r="S72" s="33"/>
      <c r="T72" s="33">
        <f>IF(INT(Q72)&gt;='3월 등급 정보'!$F$3,1,IF(INT(Q72)&gt;='3월 등급 정보'!$F$4,2,IF(INT(Q72)&gt;='3월 등급 정보'!$F$5,3,IF(INT(Q72)&gt;='3월 등급 정보'!$F$6,4,IF(INT(Q72)&gt;='3월 등급 정보'!$F$7,5,IF(INT(Q72)&gt;='3월 등급 정보'!$F$8,6,IF(INT(Q72)&gt;='3월 등급 정보'!$F$9,7,IF(INT(Q72)&gt;='3월 등급 정보'!$F$10,8,IF(INT(Q72)&gt;='3월 등급 정보'!$F$11,9)))))))))</f>
        <v>3</v>
      </c>
      <c r="U72" s="34">
        <v>29.5</v>
      </c>
      <c r="V72" s="33"/>
      <c r="W72" s="33"/>
      <c r="X72" s="33">
        <f>IF(INT(U72)&gt;='3월 등급 정보'!$G$3,1,IF(INT(U72)&gt;='3월 등급 정보'!$G$4,2,IF(INT(U72)&gt;='3월 등급 정보'!$G$5,3,IF(INT(U72)&gt;='3월 등급 정보'!$G$6,4,IF(INT(U72)&gt;='3월 등급 정보'!$G$7,5,IF(INT(U72)&gt;='3월 등급 정보'!$G$8,6,IF(INT(U72)&gt;='3월 등급 정보'!$G$9,7,IF(INT(U72)&gt;='3월 등급 정보'!$G$10,8,IF(INT(U72)&gt;='3월 등급 정보'!$G$11,9)))))))))</f>
        <v>4</v>
      </c>
      <c r="Y72" s="34">
        <v>45</v>
      </c>
      <c r="Z72" s="33"/>
      <c r="AA72" s="33"/>
      <c r="AB72" s="33">
        <f>IF(INT(Y72)&gt;='3월 등급 정보'!$H$3,1,IF(INT(Y72)&gt;='3월 등급 정보'!$H$4,2,IF(INT(Y72)&gt;='3월 등급 정보'!$H$5,3,IF(INT(Y72)&gt;='3월 등급 정보'!$H$6,4,IF(INT(Y72)&gt;='3월 등급 정보'!$H$7,5,IF(INT(Y72)&gt;='3월 등급 정보'!$H$8,6,IF(INT(Y72)&gt;='3월 등급 정보'!$H$9,7,IF(INT(Y72)&gt;='3월 등급 정보'!$H$10,8,IF(INT(Y72)&gt;='3월 등급 정보'!$H$11,9)))))))))</f>
        <v>1</v>
      </c>
      <c r="AC72" s="33">
        <f>E72+I72+M72+Q72+U72</f>
        <v>269</v>
      </c>
      <c r="AD72" s="33">
        <f>RANK(AC72,$AC$3:$AC$273)</f>
        <v>70</v>
      </c>
    </row>
    <row r="73" spans="1:30" ht="17.25" customHeight="1">
      <c r="A73" s="33" t="s">
        <v>26</v>
      </c>
      <c r="B73" s="34">
        <v>7</v>
      </c>
      <c r="C73" s="34">
        <v>24</v>
      </c>
      <c r="D73" s="34" t="s">
        <v>210</v>
      </c>
      <c r="E73" s="34">
        <v>76</v>
      </c>
      <c r="F73" s="33"/>
      <c r="G73" s="33"/>
      <c r="H73" s="33">
        <f>IF(INT(E73)&gt;='3월 등급 정보'!$C$3,1,IF(INT(E73)&gt;='3월 등급 정보'!$C$4,2,IF(INT(E73)&gt;='3월 등급 정보'!$C$5,3,IF(INT(E73)&gt;='3월 등급 정보'!$C$6,4,IF(INT(E73)&gt;='3월 등급 정보'!$C$7,5,IF(INT(E73)&gt;='3월 등급 정보'!$C$8,6,IF(INT(E73)&gt;='3월 등급 정보'!$C$9,7,IF(INT(E73)&gt;='3월 등급 정보'!$C$10,8,IF(INT(E73)&gt;='3월 등급 정보'!$C$11,9)))))))))</f>
        <v>3</v>
      </c>
      <c r="I73" s="34">
        <v>65</v>
      </c>
      <c r="J73" s="33"/>
      <c r="K73" s="33"/>
      <c r="L73" s="33">
        <f>IF(INT(I73)&gt;='3월 등급 정보'!$D$3,1,IF(INT(I73)&gt;='3월 등급 정보'!$D$4,2,IF(INT(I73)&gt;='3월 등급 정보'!$D$5,3,IF(INT(I73)&gt;='3월 등급 정보'!$D$6,4,IF(INT(I73)&gt;='3월 등급 정보'!$D$7,5,IF(INT(I73)&gt;='3월 등급 정보'!$D$8,6,IF(INT(I73)&gt;='3월 등급 정보'!$D$9,7,IF(INT(I73)&gt;='3월 등급 정보'!$D$10,8,IF(INT(I73)&gt;='3월 등급 정보'!$D$11,9)))))))))</f>
        <v>3</v>
      </c>
      <c r="M73" s="34">
        <v>68</v>
      </c>
      <c r="N73" s="33"/>
      <c r="O73" s="33"/>
      <c r="P73" s="33">
        <f>IF(INT(M73)&gt;='3월 등급 정보'!$E$3,1,IF(INT(M73)&gt;='3월 등급 정보'!$E$4,2,IF(INT(M73)&gt;='3월 등급 정보'!$E$5,3,IF(INT(M73)&gt;='3월 등급 정보'!$E$6,4,IF(INT(M73)&gt;='3월 등급 정보'!$E$7,5,IF(INT(M73)&gt;='3월 등급 정보'!$E$8,6,IF(INT(M73)&gt;='3월 등급 정보'!$E$9,7,IF(INT(M73)&gt;='3월 등급 정보'!$E$10,8,IF(INT(M73)&gt;='3월 등급 정보'!$E$11,9)))))))))</f>
        <v>4</v>
      </c>
      <c r="Q73" s="34">
        <v>28.5</v>
      </c>
      <c r="R73" s="33"/>
      <c r="S73" s="33"/>
      <c r="T73" s="33">
        <f>IF(INT(Q73)&gt;='3월 등급 정보'!$F$3,1,IF(INT(Q73)&gt;='3월 등급 정보'!$F$4,2,IF(INT(Q73)&gt;='3월 등급 정보'!$F$5,3,IF(INT(Q73)&gt;='3월 등급 정보'!$F$6,4,IF(INT(Q73)&gt;='3월 등급 정보'!$F$7,5,IF(INT(Q73)&gt;='3월 등급 정보'!$F$8,6,IF(INT(Q73)&gt;='3월 등급 정보'!$F$9,7,IF(INT(Q73)&gt;='3월 등급 정보'!$F$10,8,IF(INT(Q73)&gt;='3월 등급 정보'!$F$11,9)))))))))</f>
        <v>5</v>
      </c>
      <c r="U73" s="34">
        <v>30.5</v>
      </c>
      <c r="V73" s="33"/>
      <c r="W73" s="33"/>
      <c r="X73" s="33">
        <f>IF(INT(U73)&gt;='3월 등급 정보'!$G$3,1,IF(INT(U73)&gt;='3월 등급 정보'!$G$4,2,IF(INT(U73)&gt;='3월 등급 정보'!$G$5,3,IF(INT(U73)&gt;='3월 등급 정보'!$G$6,4,IF(INT(U73)&gt;='3월 등급 정보'!$G$7,5,IF(INT(U73)&gt;='3월 등급 정보'!$G$8,6,IF(INT(U73)&gt;='3월 등급 정보'!$G$9,7,IF(INT(U73)&gt;='3월 등급 정보'!$G$10,8,IF(INT(U73)&gt;='3월 등급 정보'!$G$11,9)))))))))</f>
        <v>4</v>
      </c>
      <c r="Y73" s="34">
        <v>44</v>
      </c>
      <c r="Z73" s="33"/>
      <c r="AA73" s="33"/>
      <c r="AB73" s="33">
        <f>IF(INT(Y73)&gt;='3월 등급 정보'!$H$3,1,IF(INT(Y73)&gt;='3월 등급 정보'!$H$4,2,IF(INT(Y73)&gt;='3월 등급 정보'!$H$5,3,IF(INT(Y73)&gt;='3월 등급 정보'!$H$6,4,IF(INT(Y73)&gt;='3월 등급 정보'!$H$7,5,IF(INT(Y73)&gt;='3월 등급 정보'!$H$8,6,IF(INT(Y73)&gt;='3월 등급 정보'!$H$9,7,IF(INT(Y73)&gt;='3월 등급 정보'!$H$10,8,IF(INT(Y73)&gt;='3월 등급 정보'!$H$11,9)))))))))</f>
        <v>1</v>
      </c>
      <c r="AC73" s="33">
        <f>E73+I73+M73+Q73+U73</f>
        <v>268</v>
      </c>
      <c r="AD73" s="33">
        <f>RANK(AC73,$AC$3:$AC$273)</f>
        <v>71</v>
      </c>
    </row>
    <row r="74" spans="1:30" ht="17.25" customHeight="1">
      <c r="A74" s="33" t="s">
        <v>26</v>
      </c>
      <c r="B74" s="34">
        <v>2</v>
      </c>
      <c r="C74" s="34">
        <v>3</v>
      </c>
      <c r="D74" s="34" t="s">
        <v>56</v>
      </c>
      <c r="E74" s="34">
        <v>63</v>
      </c>
      <c r="F74" s="33"/>
      <c r="G74" s="33"/>
      <c r="H74" s="33">
        <f>IF(INT(E74)&gt;='3월 등급 정보'!$C$3,1,IF(INT(E74)&gt;='3월 등급 정보'!$C$4,2,IF(INT(E74)&gt;='3월 등급 정보'!$C$5,3,IF(INT(E74)&gt;='3월 등급 정보'!$C$6,4,IF(INT(E74)&gt;='3월 등급 정보'!$C$7,5,IF(INT(E74)&gt;='3월 등급 정보'!$C$8,6,IF(INT(E74)&gt;='3월 등급 정보'!$C$9,7,IF(INT(E74)&gt;='3월 등급 정보'!$C$10,8,IF(INT(E74)&gt;='3월 등급 정보'!$C$11,9)))))))))</f>
        <v>4</v>
      </c>
      <c r="I74" s="34">
        <v>57</v>
      </c>
      <c r="J74" s="33"/>
      <c r="K74" s="33"/>
      <c r="L74" s="33">
        <f>IF(INT(I74)&gt;='3월 등급 정보'!$D$3,1,IF(INT(I74)&gt;='3월 등급 정보'!$D$4,2,IF(INT(I74)&gt;='3월 등급 정보'!$D$5,3,IF(INT(I74)&gt;='3월 등급 정보'!$D$6,4,IF(INT(I74)&gt;='3월 등급 정보'!$D$7,5,IF(INT(I74)&gt;='3월 등급 정보'!$D$8,6,IF(INT(I74)&gt;='3월 등급 정보'!$D$9,7,IF(INT(I74)&gt;='3월 등급 정보'!$D$10,8,IF(INT(I74)&gt;='3월 등급 정보'!$D$11,9)))))))))</f>
        <v>4</v>
      </c>
      <c r="M74" s="34">
        <v>64</v>
      </c>
      <c r="N74" s="33"/>
      <c r="O74" s="33"/>
      <c r="P74" s="33">
        <f>IF(INT(M74)&gt;='3월 등급 정보'!$E$3,1,IF(INT(M74)&gt;='3월 등급 정보'!$E$4,2,IF(INT(M74)&gt;='3월 등급 정보'!$E$5,3,IF(INT(M74)&gt;='3월 등급 정보'!$E$6,4,IF(INT(M74)&gt;='3월 등급 정보'!$E$7,5,IF(INT(M74)&gt;='3월 등급 정보'!$E$8,6,IF(INT(M74)&gt;='3월 등급 정보'!$E$9,7,IF(INT(M74)&gt;='3월 등급 정보'!$E$10,8,IF(INT(M74)&gt;='3월 등급 정보'!$E$11,9)))))))))</f>
        <v>4</v>
      </c>
      <c r="Q74" s="34">
        <v>45.5</v>
      </c>
      <c r="R74" s="33"/>
      <c r="S74" s="33"/>
      <c r="T74" s="33">
        <f>IF(INT(Q74)&gt;='3월 등급 정보'!$F$3,1,IF(INT(Q74)&gt;='3월 등급 정보'!$F$4,2,IF(INT(Q74)&gt;='3월 등급 정보'!$F$5,3,IF(INT(Q74)&gt;='3월 등급 정보'!$F$6,4,IF(INT(Q74)&gt;='3월 등급 정보'!$F$7,5,IF(INT(Q74)&gt;='3월 등급 정보'!$F$8,6,IF(INT(Q74)&gt;='3월 등급 정보'!$F$9,7,IF(INT(Q74)&gt;='3월 등급 정보'!$F$10,8,IF(INT(Q74)&gt;='3월 등급 정보'!$F$11,9)))))))))</f>
        <v>2</v>
      </c>
      <c r="U74" s="34">
        <v>38</v>
      </c>
      <c r="V74" s="33"/>
      <c r="W74" s="33"/>
      <c r="X74" s="33">
        <f>IF(INT(U74)&gt;='3월 등급 정보'!$G$3,1,IF(INT(U74)&gt;='3월 등급 정보'!$G$4,2,IF(INT(U74)&gt;='3월 등급 정보'!$G$5,3,IF(INT(U74)&gt;='3월 등급 정보'!$G$6,4,IF(INT(U74)&gt;='3월 등급 정보'!$G$7,5,IF(INT(U74)&gt;='3월 등급 정보'!$G$8,6,IF(INT(U74)&gt;='3월 등급 정보'!$G$9,7,IF(INT(U74)&gt;='3월 등급 정보'!$G$10,8,IF(INT(U74)&gt;='3월 등급 정보'!$G$11,9)))))))))</f>
        <v>2</v>
      </c>
      <c r="Y74" s="34">
        <v>38</v>
      </c>
      <c r="Z74" s="33"/>
      <c r="AA74" s="33"/>
      <c r="AB74" s="33">
        <f>IF(INT(Y74)&gt;='3월 등급 정보'!$H$3,1,IF(INT(Y74)&gt;='3월 등급 정보'!$H$4,2,IF(INT(Y74)&gt;='3월 등급 정보'!$H$5,3,IF(INT(Y74)&gt;='3월 등급 정보'!$H$6,4,IF(INT(Y74)&gt;='3월 등급 정보'!$H$7,5,IF(INT(Y74)&gt;='3월 등급 정보'!$H$8,6,IF(INT(Y74)&gt;='3월 등급 정보'!$H$9,7,IF(INT(Y74)&gt;='3월 등급 정보'!$H$10,8,IF(INT(Y74)&gt;='3월 등급 정보'!$H$11,9)))))))))</f>
        <v>2</v>
      </c>
      <c r="AC74" s="33">
        <f>E74+I74+M74+Q74+U74</f>
        <v>267.5</v>
      </c>
      <c r="AD74" s="33">
        <f>RANK(AC74,$AC$3:$AC$273)</f>
        <v>72</v>
      </c>
    </row>
    <row r="75" spans="1:30" ht="17.25" customHeight="1">
      <c r="A75" s="33" t="s">
        <v>26</v>
      </c>
      <c r="B75" s="34">
        <v>7</v>
      </c>
      <c r="C75" s="34">
        <v>25</v>
      </c>
      <c r="D75" s="34" t="s">
        <v>211</v>
      </c>
      <c r="E75" s="34">
        <v>61</v>
      </c>
      <c r="F75" s="33"/>
      <c r="G75" s="33"/>
      <c r="H75" s="33">
        <f>IF(INT(E75)&gt;='3월 등급 정보'!$C$3,1,IF(INT(E75)&gt;='3월 등급 정보'!$C$4,2,IF(INT(E75)&gt;='3월 등급 정보'!$C$5,3,IF(INT(E75)&gt;='3월 등급 정보'!$C$6,4,IF(INT(E75)&gt;='3월 등급 정보'!$C$7,5,IF(INT(E75)&gt;='3월 등급 정보'!$C$8,6,IF(INT(E75)&gt;='3월 등급 정보'!$C$9,7,IF(INT(E75)&gt;='3월 등급 정보'!$C$10,8,IF(INT(E75)&gt;='3월 등급 정보'!$C$11,9)))))))))</f>
        <v>4</v>
      </c>
      <c r="I75" s="34">
        <v>69</v>
      </c>
      <c r="J75" s="33"/>
      <c r="K75" s="33"/>
      <c r="L75" s="33">
        <f>IF(INT(I75)&gt;='3월 등급 정보'!$D$3,1,IF(INT(I75)&gt;='3월 등급 정보'!$D$4,2,IF(INT(I75)&gt;='3월 등급 정보'!$D$5,3,IF(INT(I75)&gt;='3월 등급 정보'!$D$6,4,IF(INT(I75)&gt;='3월 등급 정보'!$D$7,5,IF(INT(I75)&gt;='3월 등급 정보'!$D$8,6,IF(INT(I75)&gt;='3월 등급 정보'!$D$9,7,IF(INT(I75)&gt;='3월 등급 정보'!$D$10,8,IF(INT(I75)&gt;='3월 등급 정보'!$D$11,9)))))))))</f>
        <v>3</v>
      </c>
      <c r="M75" s="34">
        <v>82</v>
      </c>
      <c r="N75" s="33"/>
      <c r="O75" s="33"/>
      <c r="P75" s="33">
        <f>IF(INT(M75)&gt;='3월 등급 정보'!$E$3,1,IF(INT(M75)&gt;='3월 등급 정보'!$E$4,2,IF(INT(M75)&gt;='3월 등급 정보'!$E$5,3,IF(INT(M75)&gt;='3월 등급 정보'!$E$6,4,IF(INT(M75)&gt;='3월 등급 정보'!$E$7,5,IF(INT(M75)&gt;='3월 등급 정보'!$E$8,6,IF(INT(M75)&gt;='3월 등급 정보'!$E$9,7,IF(INT(M75)&gt;='3월 등급 정보'!$E$10,8,IF(INT(M75)&gt;='3월 등급 정보'!$E$11,9)))))))))</f>
        <v>2</v>
      </c>
      <c r="Q75" s="34">
        <v>32</v>
      </c>
      <c r="R75" s="33"/>
      <c r="S75" s="33"/>
      <c r="T75" s="33">
        <f>IF(INT(Q75)&gt;='3월 등급 정보'!$F$3,1,IF(INT(Q75)&gt;='3월 등급 정보'!$F$4,2,IF(INT(Q75)&gt;='3월 등급 정보'!$F$5,3,IF(INT(Q75)&gt;='3월 등급 정보'!$F$6,4,IF(INT(Q75)&gt;='3월 등급 정보'!$F$7,5,IF(INT(Q75)&gt;='3월 등급 정보'!$F$8,6,IF(INT(Q75)&gt;='3월 등급 정보'!$F$9,7,IF(INT(Q75)&gt;='3월 등급 정보'!$F$10,8,IF(INT(Q75)&gt;='3월 등급 정보'!$F$11,9)))))))))</f>
        <v>5</v>
      </c>
      <c r="U75" s="34">
        <v>23</v>
      </c>
      <c r="V75" s="33"/>
      <c r="W75" s="33"/>
      <c r="X75" s="33">
        <f>IF(INT(U75)&gt;='3월 등급 정보'!$G$3,1,IF(INT(U75)&gt;='3월 등급 정보'!$G$4,2,IF(INT(U75)&gt;='3월 등급 정보'!$G$5,3,IF(INT(U75)&gt;='3월 등급 정보'!$G$6,4,IF(INT(U75)&gt;='3월 등급 정보'!$G$7,5,IF(INT(U75)&gt;='3월 등급 정보'!$G$8,6,IF(INT(U75)&gt;='3월 등급 정보'!$G$9,7,IF(INT(U75)&gt;='3월 등급 정보'!$G$10,8,IF(INT(U75)&gt;='3월 등급 정보'!$G$11,9)))))))))</f>
        <v>5</v>
      </c>
      <c r="Y75" s="34">
        <v>19</v>
      </c>
      <c r="Z75" s="33"/>
      <c r="AA75" s="33"/>
      <c r="AB75" s="33">
        <f>IF(INT(Y75)&gt;='3월 등급 정보'!$H$3,1,IF(INT(Y75)&gt;='3월 등급 정보'!$H$4,2,IF(INT(Y75)&gt;='3월 등급 정보'!$H$5,3,IF(INT(Y75)&gt;='3월 등급 정보'!$H$6,4,IF(INT(Y75)&gt;='3월 등급 정보'!$H$7,5,IF(INT(Y75)&gt;='3월 등급 정보'!$H$8,6,IF(INT(Y75)&gt;='3월 등급 정보'!$H$9,7,IF(INT(Y75)&gt;='3월 등급 정보'!$H$10,8,IF(INT(Y75)&gt;='3월 등급 정보'!$H$11,9)))))))))</f>
        <v>6</v>
      </c>
      <c r="AC75" s="33">
        <f>E75+I75+M75+Q75+U75</f>
        <v>267</v>
      </c>
      <c r="AD75" s="33">
        <f>RANK(AC75,$AC$3:$AC$273)</f>
        <v>73</v>
      </c>
    </row>
    <row r="76" spans="1:30" ht="17.25" customHeight="1">
      <c r="A76" s="33" t="s">
        <v>26</v>
      </c>
      <c r="B76" s="34">
        <v>4</v>
      </c>
      <c r="C76" s="34">
        <v>7</v>
      </c>
      <c r="D76" s="34" t="s">
        <v>112</v>
      </c>
      <c r="E76" s="34">
        <v>66</v>
      </c>
      <c r="F76" s="33"/>
      <c r="G76" s="33"/>
      <c r="H76" s="33">
        <f>IF(INT(E76)&gt;='3월 등급 정보'!$C$3,1,IF(INT(E76)&gt;='3월 등급 정보'!$C$4,2,IF(INT(E76)&gt;='3월 등급 정보'!$C$5,3,IF(INT(E76)&gt;='3월 등급 정보'!$C$6,4,IF(INT(E76)&gt;='3월 등급 정보'!$C$7,5,IF(INT(E76)&gt;='3월 등급 정보'!$C$8,6,IF(INT(E76)&gt;='3월 등급 정보'!$C$9,7,IF(INT(E76)&gt;='3월 등급 정보'!$C$10,8,IF(INT(E76)&gt;='3월 등급 정보'!$C$11,9)))))))))</f>
        <v>4</v>
      </c>
      <c r="I76" s="34">
        <v>65</v>
      </c>
      <c r="J76" s="33"/>
      <c r="K76" s="33"/>
      <c r="L76" s="33">
        <f>IF(INT(I76)&gt;='3월 등급 정보'!$D$3,1,IF(INT(I76)&gt;='3월 등급 정보'!$D$4,2,IF(INT(I76)&gt;='3월 등급 정보'!$D$5,3,IF(INT(I76)&gt;='3월 등급 정보'!$D$6,4,IF(INT(I76)&gt;='3월 등급 정보'!$D$7,5,IF(INT(I76)&gt;='3월 등급 정보'!$D$8,6,IF(INT(I76)&gt;='3월 등급 정보'!$D$9,7,IF(INT(I76)&gt;='3월 등급 정보'!$D$10,8,IF(INT(I76)&gt;='3월 등급 정보'!$D$11,9)))))))))</f>
        <v>3</v>
      </c>
      <c r="M76" s="34">
        <v>71</v>
      </c>
      <c r="N76" s="33"/>
      <c r="O76" s="33"/>
      <c r="P76" s="33">
        <f>IF(INT(M76)&gt;='3월 등급 정보'!$E$3,1,IF(INT(M76)&gt;='3월 등급 정보'!$E$4,2,IF(INT(M76)&gt;='3월 등급 정보'!$E$5,3,IF(INT(M76)&gt;='3월 등급 정보'!$E$6,4,IF(INT(M76)&gt;='3월 등급 정보'!$E$7,5,IF(INT(M76)&gt;='3월 등급 정보'!$E$8,6,IF(INT(M76)&gt;='3월 등급 정보'!$E$9,7,IF(INT(M76)&gt;='3월 등급 정보'!$E$10,8,IF(INT(M76)&gt;='3월 등급 정보'!$E$11,9)))))))))</f>
        <v>3</v>
      </c>
      <c r="Q76" s="34">
        <v>44</v>
      </c>
      <c r="R76" s="33"/>
      <c r="S76" s="33"/>
      <c r="T76" s="33">
        <f>IF(INT(Q76)&gt;='3월 등급 정보'!$F$3,1,IF(INT(Q76)&gt;='3월 등급 정보'!$F$4,2,IF(INT(Q76)&gt;='3월 등급 정보'!$F$5,3,IF(INT(Q76)&gt;='3월 등급 정보'!$F$6,4,IF(INT(Q76)&gt;='3월 등급 정보'!$F$7,5,IF(INT(Q76)&gt;='3월 등급 정보'!$F$8,6,IF(INT(Q76)&gt;='3월 등급 정보'!$F$9,7,IF(INT(Q76)&gt;='3월 등급 정보'!$F$10,8,IF(INT(Q76)&gt;='3월 등급 정보'!$F$11,9)))))))))</f>
        <v>2</v>
      </c>
      <c r="U76" s="34">
        <v>20.5</v>
      </c>
      <c r="V76" s="33"/>
      <c r="W76" s="33"/>
      <c r="X76" s="33">
        <f>IF(INT(U76)&gt;='3월 등급 정보'!$G$3,1,IF(INT(U76)&gt;='3월 등급 정보'!$G$4,2,IF(INT(U76)&gt;='3월 등급 정보'!$G$5,3,IF(INT(U76)&gt;='3월 등급 정보'!$G$6,4,IF(INT(U76)&gt;='3월 등급 정보'!$G$7,5,IF(INT(U76)&gt;='3월 등급 정보'!$G$8,6,IF(INT(U76)&gt;='3월 등급 정보'!$G$9,7,IF(INT(U76)&gt;='3월 등급 정보'!$G$10,8,IF(INT(U76)&gt;='3월 등급 정보'!$G$11,9)))))))))</f>
        <v>5</v>
      </c>
      <c r="Y76" s="34">
        <v>39</v>
      </c>
      <c r="Z76" s="33"/>
      <c r="AA76" s="33"/>
      <c r="AB76" s="33">
        <f>IF(INT(Y76)&gt;='3월 등급 정보'!$H$3,1,IF(INT(Y76)&gt;='3월 등급 정보'!$H$4,2,IF(INT(Y76)&gt;='3월 등급 정보'!$H$5,3,IF(INT(Y76)&gt;='3월 등급 정보'!$H$6,4,IF(INT(Y76)&gt;='3월 등급 정보'!$H$7,5,IF(INT(Y76)&gt;='3월 등급 정보'!$H$8,6,IF(INT(Y76)&gt;='3월 등급 정보'!$H$9,7,IF(INT(Y76)&gt;='3월 등급 정보'!$H$10,8,IF(INT(Y76)&gt;='3월 등급 정보'!$H$11,9)))))))))</f>
        <v>2</v>
      </c>
      <c r="AC76" s="33">
        <f>E76+I76+M76+Q76+U76</f>
        <v>266.5</v>
      </c>
      <c r="AD76" s="33">
        <f>RANK(AC76,$AC$3:$AC$273)</f>
        <v>74</v>
      </c>
    </row>
    <row r="77" spans="1:30" ht="17.25" customHeight="1">
      <c r="A77" s="33" t="s">
        <v>26</v>
      </c>
      <c r="B77" s="34">
        <v>2</v>
      </c>
      <c r="C77" s="34">
        <v>18</v>
      </c>
      <c r="D77" s="34" t="s">
        <v>70</v>
      </c>
      <c r="E77" s="34">
        <v>73</v>
      </c>
      <c r="F77" s="33"/>
      <c r="G77" s="33"/>
      <c r="H77" s="33">
        <f>IF(INT(E77)&gt;='3월 등급 정보'!$C$3,1,IF(INT(E77)&gt;='3월 등급 정보'!$C$4,2,IF(INT(E77)&gt;='3월 등급 정보'!$C$5,3,IF(INT(E77)&gt;='3월 등급 정보'!$C$6,4,IF(INT(E77)&gt;='3월 등급 정보'!$C$7,5,IF(INT(E77)&gt;='3월 등급 정보'!$C$8,6,IF(INT(E77)&gt;='3월 등급 정보'!$C$9,7,IF(INT(E77)&gt;='3월 등급 정보'!$C$10,8,IF(INT(E77)&gt;='3월 등급 정보'!$C$11,9)))))))))</f>
        <v>3</v>
      </c>
      <c r="I77" s="34">
        <v>67</v>
      </c>
      <c r="J77" s="33"/>
      <c r="K77" s="33"/>
      <c r="L77" s="33">
        <f>IF(INT(I77)&gt;='3월 등급 정보'!$D$3,1,IF(INT(I77)&gt;='3월 등급 정보'!$D$4,2,IF(INT(I77)&gt;='3월 등급 정보'!$D$5,3,IF(INT(I77)&gt;='3월 등급 정보'!$D$6,4,IF(INT(I77)&gt;='3월 등급 정보'!$D$7,5,IF(INT(I77)&gt;='3월 등급 정보'!$D$8,6,IF(INT(I77)&gt;='3월 등급 정보'!$D$9,7,IF(INT(I77)&gt;='3월 등급 정보'!$D$10,8,IF(INT(I77)&gt;='3월 등급 정보'!$D$11,9)))))))))</f>
        <v>3</v>
      </c>
      <c r="M77" s="34">
        <v>74</v>
      </c>
      <c r="N77" s="33"/>
      <c r="O77" s="33"/>
      <c r="P77" s="33">
        <f>IF(INT(M77)&gt;='3월 등급 정보'!$E$3,1,IF(INT(M77)&gt;='3월 등급 정보'!$E$4,2,IF(INT(M77)&gt;='3월 등급 정보'!$E$5,3,IF(INT(M77)&gt;='3월 등급 정보'!$E$6,4,IF(INT(M77)&gt;='3월 등급 정보'!$E$7,5,IF(INT(M77)&gt;='3월 등급 정보'!$E$8,6,IF(INT(M77)&gt;='3월 등급 정보'!$E$9,7,IF(INT(M77)&gt;='3월 등급 정보'!$E$10,8,IF(INT(M77)&gt;='3월 등급 정보'!$E$11,9)))))))))</f>
        <v>3</v>
      </c>
      <c r="Q77" s="34">
        <v>31.5</v>
      </c>
      <c r="R77" s="33"/>
      <c r="S77" s="33"/>
      <c r="T77" s="33">
        <f>IF(INT(Q77)&gt;='3월 등급 정보'!$F$3,1,IF(INT(Q77)&gt;='3월 등급 정보'!$F$4,2,IF(INT(Q77)&gt;='3월 등급 정보'!$F$5,3,IF(INT(Q77)&gt;='3월 등급 정보'!$F$6,4,IF(INT(Q77)&gt;='3월 등급 정보'!$F$7,5,IF(INT(Q77)&gt;='3월 등급 정보'!$F$8,6,IF(INT(Q77)&gt;='3월 등급 정보'!$F$9,7,IF(INT(Q77)&gt;='3월 등급 정보'!$F$10,8,IF(INT(Q77)&gt;='3월 등급 정보'!$F$11,9)))))))))</f>
        <v>5</v>
      </c>
      <c r="U77" s="34">
        <v>20.5</v>
      </c>
      <c r="V77" s="33"/>
      <c r="W77" s="33"/>
      <c r="X77" s="33">
        <f>IF(INT(U77)&gt;='3월 등급 정보'!$G$3,1,IF(INT(U77)&gt;='3월 등급 정보'!$G$4,2,IF(INT(U77)&gt;='3월 등급 정보'!$G$5,3,IF(INT(U77)&gt;='3월 등급 정보'!$G$6,4,IF(INT(U77)&gt;='3월 등급 정보'!$G$7,5,IF(INT(U77)&gt;='3월 등급 정보'!$G$8,6,IF(INT(U77)&gt;='3월 등급 정보'!$G$9,7,IF(INT(U77)&gt;='3월 등급 정보'!$G$10,8,IF(INT(U77)&gt;='3월 등급 정보'!$G$11,9)))))))))</f>
        <v>5</v>
      </c>
      <c r="Y77" s="34">
        <v>28</v>
      </c>
      <c r="Z77" s="33"/>
      <c r="AA77" s="33"/>
      <c r="AB77" s="33">
        <f>IF(INT(Y77)&gt;='3월 등급 정보'!$H$3,1,IF(INT(Y77)&gt;='3월 등급 정보'!$H$4,2,IF(INT(Y77)&gt;='3월 등급 정보'!$H$5,3,IF(INT(Y77)&gt;='3월 등급 정보'!$H$6,4,IF(INT(Y77)&gt;='3월 등급 정보'!$H$7,5,IF(INT(Y77)&gt;='3월 등급 정보'!$H$8,6,IF(INT(Y77)&gt;='3월 등급 정보'!$H$9,7,IF(INT(Y77)&gt;='3월 등급 정보'!$H$10,8,IF(INT(Y77)&gt;='3월 등급 정보'!$H$11,9)))))))))</f>
        <v>4</v>
      </c>
      <c r="AC77" s="33">
        <f>E77+I77+M77+Q77+U77</f>
        <v>266</v>
      </c>
      <c r="AD77" s="33">
        <f>RANK(AC77,$AC$3:$AC$273)</f>
        <v>75</v>
      </c>
    </row>
    <row r="78" spans="1:30" ht="17.25" customHeight="1">
      <c r="A78" s="33" t="s">
        <v>26</v>
      </c>
      <c r="B78" s="34">
        <v>9</v>
      </c>
      <c r="C78" s="34">
        <v>11</v>
      </c>
      <c r="D78" s="34" t="s">
        <v>248</v>
      </c>
      <c r="E78" s="34">
        <v>71</v>
      </c>
      <c r="F78" s="33"/>
      <c r="G78" s="33"/>
      <c r="H78" s="33">
        <f>IF(INT(E78)&gt;='3월 등급 정보'!$C$3,1,IF(INT(E78)&gt;='3월 등급 정보'!$C$4,2,IF(INT(E78)&gt;='3월 등급 정보'!$C$5,3,IF(INT(E78)&gt;='3월 등급 정보'!$C$6,4,IF(INT(E78)&gt;='3월 등급 정보'!$C$7,5,IF(INT(E78)&gt;='3월 등급 정보'!$C$8,6,IF(INT(E78)&gt;='3월 등급 정보'!$C$9,7,IF(INT(E78)&gt;='3월 등급 정보'!$C$10,8,IF(INT(E78)&gt;='3월 등급 정보'!$C$11,9)))))))))</f>
        <v>3</v>
      </c>
      <c r="I78" s="34">
        <v>48</v>
      </c>
      <c r="J78" s="33"/>
      <c r="K78" s="33"/>
      <c r="L78" s="33">
        <f>IF(INT(I78)&gt;='3월 등급 정보'!$D$3,1,IF(INT(I78)&gt;='3월 등급 정보'!$D$4,2,IF(INT(I78)&gt;='3월 등급 정보'!$D$5,3,IF(INT(I78)&gt;='3월 등급 정보'!$D$6,4,IF(INT(I78)&gt;='3월 등급 정보'!$D$7,5,IF(INT(I78)&gt;='3월 등급 정보'!$D$8,6,IF(INT(I78)&gt;='3월 등급 정보'!$D$9,7,IF(INT(I78)&gt;='3월 등급 정보'!$D$10,8,IF(INT(I78)&gt;='3월 등급 정보'!$D$11,9)))))))))</f>
        <v>5</v>
      </c>
      <c r="M78" s="34">
        <v>77</v>
      </c>
      <c r="N78" s="33"/>
      <c r="O78" s="33"/>
      <c r="P78" s="33">
        <f>IF(INT(M78)&gt;='3월 등급 정보'!$E$3,1,IF(INT(M78)&gt;='3월 등급 정보'!$E$4,2,IF(INT(M78)&gt;='3월 등급 정보'!$E$5,3,IF(INT(M78)&gt;='3월 등급 정보'!$E$6,4,IF(INT(M78)&gt;='3월 등급 정보'!$E$7,5,IF(INT(M78)&gt;='3월 등급 정보'!$E$8,6,IF(INT(M78)&gt;='3월 등급 정보'!$E$9,7,IF(INT(M78)&gt;='3월 등급 정보'!$E$10,8,IF(INT(M78)&gt;='3월 등급 정보'!$E$11,9)))))))))</f>
        <v>3</v>
      </c>
      <c r="Q78" s="34">
        <v>35.5</v>
      </c>
      <c r="R78" s="33"/>
      <c r="S78" s="33"/>
      <c r="T78" s="33">
        <f>IF(INT(Q78)&gt;='3월 등급 정보'!$F$3,1,IF(INT(Q78)&gt;='3월 등급 정보'!$F$4,2,IF(INT(Q78)&gt;='3월 등급 정보'!$F$5,3,IF(INT(Q78)&gt;='3월 등급 정보'!$F$6,4,IF(INT(Q78)&gt;='3월 등급 정보'!$F$7,5,IF(INT(Q78)&gt;='3월 등급 정보'!$F$8,6,IF(INT(Q78)&gt;='3월 등급 정보'!$F$9,7,IF(INT(Q78)&gt;='3월 등급 정보'!$F$10,8,IF(INT(Q78)&gt;='3월 등급 정보'!$F$11,9)))))))))</f>
        <v>4</v>
      </c>
      <c r="U78" s="34">
        <v>32.5</v>
      </c>
      <c r="V78" s="33"/>
      <c r="W78" s="33"/>
      <c r="X78" s="33">
        <f>IF(INT(U78)&gt;='3월 등급 정보'!$G$3,1,IF(INT(U78)&gt;='3월 등급 정보'!$G$4,2,IF(INT(U78)&gt;='3월 등급 정보'!$G$5,3,IF(INT(U78)&gt;='3월 등급 정보'!$G$6,4,IF(INT(U78)&gt;='3월 등급 정보'!$G$7,5,IF(INT(U78)&gt;='3월 등급 정보'!$G$8,6,IF(INT(U78)&gt;='3월 등급 정보'!$G$9,7,IF(INT(U78)&gt;='3월 등급 정보'!$G$10,8,IF(INT(U78)&gt;='3월 등급 정보'!$G$11,9)))))))))</f>
        <v>3</v>
      </c>
      <c r="Y78" s="34">
        <v>40</v>
      </c>
      <c r="Z78" s="33"/>
      <c r="AA78" s="33"/>
      <c r="AB78" s="33">
        <f>IF(INT(Y78)&gt;='3월 등급 정보'!$H$3,1,IF(INT(Y78)&gt;='3월 등급 정보'!$H$4,2,IF(INT(Y78)&gt;='3월 등급 정보'!$H$5,3,IF(INT(Y78)&gt;='3월 등급 정보'!$H$6,4,IF(INT(Y78)&gt;='3월 등급 정보'!$H$7,5,IF(INT(Y78)&gt;='3월 등급 정보'!$H$8,6,IF(INT(Y78)&gt;='3월 등급 정보'!$H$9,7,IF(INT(Y78)&gt;='3월 등급 정보'!$H$10,8,IF(INT(Y78)&gt;='3월 등급 정보'!$H$11,9)))))))))</f>
        <v>1</v>
      </c>
      <c r="AC78" s="33">
        <f>E78+I78+M78+Q78+U78</f>
        <v>264</v>
      </c>
      <c r="AD78" s="33">
        <f>RANK(AC78,$AC$3:$AC$273)</f>
        <v>76</v>
      </c>
    </row>
    <row r="79" spans="1:30" ht="17.25" customHeight="1">
      <c r="A79" s="33" t="s">
        <v>26</v>
      </c>
      <c r="B79" s="34">
        <v>3</v>
      </c>
      <c r="C79" s="34">
        <v>28</v>
      </c>
      <c r="D79" s="34" t="s">
        <v>105</v>
      </c>
      <c r="E79" s="34">
        <v>72</v>
      </c>
      <c r="F79" s="33"/>
      <c r="G79" s="33"/>
      <c r="H79" s="33">
        <f>IF(INT(E79)&gt;='3월 등급 정보'!$C$3,1,IF(INT(E79)&gt;='3월 등급 정보'!$C$4,2,IF(INT(E79)&gt;='3월 등급 정보'!$C$5,3,IF(INT(E79)&gt;='3월 등급 정보'!$C$6,4,IF(INT(E79)&gt;='3월 등급 정보'!$C$7,5,IF(INT(E79)&gt;='3월 등급 정보'!$C$8,6,IF(INT(E79)&gt;='3월 등급 정보'!$C$9,7,IF(INT(E79)&gt;='3월 등급 정보'!$C$10,8,IF(INT(E79)&gt;='3월 등급 정보'!$C$11,9)))))))))</f>
        <v>3</v>
      </c>
      <c r="I79" s="34">
        <v>42</v>
      </c>
      <c r="J79" s="33"/>
      <c r="K79" s="33"/>
      <c r="L79" s="33">
        <f>IF(INT(I79)&gt;='3월 등급 정보'!$D$3,1,IF(INT(I79)&gt;='3월 등급 정보'!$D$4,2,IF(INT(I79)&gt;='3월 등급 정보'!$D$5,3,IF(INT(I79)&gt;='3월 등급 정보'!$D$6,4,IF(INT(I79)&gt;='3월 등급 정보'!$D$7,5,IF(INT(I79)&gt;='3월 등급 정보'!$D$8,6,IF(INT(I79)&gt;='3월 등급 정보'!$D$9,7,IF(INT(I79)&gt;='3월 등급 정보'!$D$10,8,IF(INT(I79)&gt;='3월 등급 정보'!$D$11,9)))))))))</f>
        <v>5</v>
      </c>
      <c r="M79" s="34">
        <v>71</v>
      </c>
      <c r="N79" s="33"/>
      <c r="O79" s="33"/>
      <c r="P79" s="33">
        <f>IF(INT(M79)&gt;='3월 등급 정보'!$E$3,1,IF(INT(M79)&gt;='3월 등급 정보'!$E$4,2,IF(INT(M79)&gt;='3월 등급 정보'!$E$5,3,IF(INT(M79)&gt;='3월 등급 정보'!$E$6,4,IF(INT(M79)&gt;='3월 등급 정보'!$E$7,5,IF(INT(M79)&gt;='3월 등급 정보'!$E$8,6,IF(INT(M79)&gt;='3월 등급 정보'!$E$9,7,IF(INT(M79)&gt;='3월 등급 정보'!$E$10,8,IF(INT(M79)&gt;='3월 등급 정보'!$E$11,9)))))))))</f>
        <v>3</v>
      </c>
      <c r="Q79" s="34">
        <v>38</v>
      </c>
      <c r="R79" s="33"/>
      <c r="S79" s="33"/>
      <c r="T79" s="33">
        <f>IF(INT(Q79)&gt;='3월 등급 정보'!$F$3,1,IF(INT(Q79)&gt;='3월 등급 정보'!$F$4,2,IF(INT(Q79)&gt;='3월 등급 정보'!$F$5,3,IF(INT(Q79)&gt;='3월 등급 정보'!$F$6,4,IF(INT(Q79)&gt;='3월 등급 정보'!$F$7,5,IF(INT(Q79)&gt;='3월 등급 정보'!$F$8,6,IF(INT(Q79)&gt;='3월 등급 정보'!$F$9,7,IF(INT(Q79)&gt;='3월 등급 정보'!$F$10,8,IF(INT(Q79)&gt;='3월 등급 정보'!$F$11,9)))))))))</f>
        <v>3</v>
      </c>
      <c r="U79" s="34">
        <v>40.5</v>
      </c>
      <c r="V79" s="33"/>
      <c r="W79" s="33"/>
      <c r="X79" s="33">
        <f>IF(INT(U79)&gt;='3월 등급 정보'!$G$3,1,IF(INT(U79)&gt;='3월 등급 정보'!$G$4,2,IF(INT(U79)&gt;='3월 등급 정보'!$G$5,3,IF(INT(U79)&gt;='3월 등급 정보'!$G$6,4,IF(INT(U79)&gt;='3월 등급 정보'!$G$7,5,IF(INT(U79)&gt;='3월 등급 정보'!$G$8,6,IF(INT(U79)&gt;='3월 등급 정보'!$G$9,7,IF(INT(U79)&gt;='3월 등급 정보'!$G$10,8,IF(INT(U79)&gt;='3월 등급 정보'!$G$11,9)))))))))</f>
        <v>2</v>
      </c>
      <c r="Y79" s="34">
        <v>42</v>
      </c>
      <c r="Z79" s="33"/>
      <c r="AA79" s="33"/>
      <c r="AB79" s="33">
        <f>IF(INT(Y79)&gt;='3월 등급 정보'!$H$3,1,IF(INT(Y79)&gt;='3월 등급 정보'!$H$4,2,IF(INT(Y79)&gt;='3월 등급 정보'!$H$5,3,IF(INT(Y79)&gt;='3월 등급 정보'!$H$6,4,IF(INT(Y79)&gt;='3월 등급 정보'!$H$7,5,IF(INT(Y79)&gt;='3월 등급 정보'!$H$8,6,IF(INT(Y79)&gt;='3월 등급 정보'!$H$9,7,IF(INT(Y79)&gt;='3월 등급 정보'!$H$10,8,IF(INT(Y79)&gt;='3월 등급 정보'!$H$11,9)))))))))</f>
        <v>1</v>
      </c>
      <c r="AC79" s="33">
        <f>E79+I79+M79+Q79+U79</f>
        <v>263.5</v>
      </c>
      <c r="AD79" s="33">
        <f>RANK(AC79,$AC$3:$AC$273)</f>
        <v>77</v>
      </c>
    </row>
    <row r="80" spans="1:30" ht="17.25" customHeight="1">
      <c r="A80" s="33" t="s">
        <v>26</v>
      </c>
      <c r="B80" s="34">
        <v>10</v>
      </c>
      <c r="C80" s="34">
        <v>24</v>
      </c>
      <c r="D80" s="34" t="s">
        <v>286</v>
      </c>
      <c r="E80" s="34">
        <v>67</v>
      </c>
      <c r="F80" s="33"/>
      <c r="G80" s="33"/>
      <c r="H80" s="33">
        <f>IF(INT(E80)&gt;='3월 등급 정보'!$C$3,1,IF(INT(E80)&gt;='3월 등급 정보'!$C$4,2,IF(INT(E80)&gt;='3월 등급 정보'!$C$5,3,IF(INT(E80)&gt;='3월 등급 정보'!$C$6,4,IF(INT(E80)&gt;='3월 등급 정보'!$C$7,5,IF(INT(E80)&gt;='3월 등급 정보'!$C$8,6,IF(INT(E80)&gt;='3월 등급 정보'!$C$9,7,IF(INT(E80)&gt;='3월 등급 정보'!$C$10,8,IF(INT(E80)&gt;='3월 등급 정보'!$C$11,9)))))))))</f>
        <v>4</v>
      </c>
      <c r="I80" s="34">
        <v>55</v>
      </c>
      <c r="J80" s="33"/>
      <c r="K80" s="33"/>
      <c r="L80" s="33">
        <f>IF(INT(I80)&gt;='3월 등급 정보'!$D$3,1,IF(INT(I80)&gt;='3월 등급 정보'!$D$4,2,IF(INT(I80)&gt;='3월 등급 정보'!$D$5,3,IF(INT(I80)&gt;='3월 등급 정보'!$D$6,4,IF(INT(I80)&gt;='3월 등급 정보'!$D$7,5,IF(INT(I80)&gt;='3월 등급 정보'!$D$8,6,IF(INT(I80)&gt;='3월 등급 정보'!$D$9,7,IF(INT(I80)&gt;='3월 등급 정보'!$D$10,8,IF(INT(I80)&gt;='3월 등급 정보'!$D$11,9)))))))))</f>
        <v>4</v>
      </c>
      <c r="M80" s="34">
        <v>69</v>
      </c>
      <c r="N80" s="33"/>
      <c r="O80" s="33"/>
      <c r="P80" s="33">
        <f>IF(INT(M80)&gt;='3월 등급 정보'!$E$3,1,IF(INT(M80)&gt;='3월 등급 정보'!$E$4,2,IF(INT(M80)&gt;='3월 등급 정보'!$E$5,3,IF(INT(M80)&gt;='3월 등급 정보'!$E$6,4,IF(INT(M80)&gt;='3월 등급 정보'!$E$7,5,IF(INT(M80)&gt;='3월 등급 정보'!$E$8,6,IF(INT(M80)&gt;='3월 등급 정보'!$E$9,7,IF(INT(M80)&gt;='3월 등급 정보'!$E$10,8,IF(INT(M80)&gt;='3월 등급 정보'!$E$11,9)))))))))</f>
        <v>4</v>
      </c>
      <c r="Q80" s="34">
        <v>36</v>
      </c>
      <c r="R80" s="33"/>
      <c r="S80" s="33"/>
      <c r="T80" s="33">
        <f>IF(INT(Q80)&gt;='3월 등급 정보'!$F$3,1,IF(INT(Q80)&gt;='3월 등급 정보'!$F$4,2,IF(INT(Q80)&gt;='3월 등급 정보'!$F$5,3,IF(INT(Q80)&gt;='3월 등급 정보'!$F$6,4,IF(INT(Q80)&gt;='3월 등급 정보'!$F$7,5,IF(INT(Q80)&gt;='3월 등급 정보'!$F$8,6,IF(INT(Q80)&gt;='3월 등급 정보'!$F$9,7,IF(INT(Q80)&gt;='3월 등급 정보'!$F$10,8,IF(INT(Q80)&gt;='3월 등급 정보'!$F$11,9)))))))))</f>
        <v>4</v>
      </c>
      <c r="U80" s="34">
        <v>35</v>
      </c>
      <c r="V80" s="33"/>
      <c r="W80" s="33"/>
      <c r="X80" s="33">
        <f>IF(INT(U80)&gt;='3월 등급 정보'!$G$3,1,IF(INT(U80)&gt;='3월 등급 정보'!$G$4,2,IF(INT(U80)&gt;='3월 등급 정보'!$G$5,3,IF(INT(U80)&gt;='3월 등급 정보'!$G$6,4,IF(INT(U80)&gt;='3월 등급 정보'!$G$7,5,IF(INT(U80)&gt;='3월 등급 정보'!$G$8,6,IF(INT(U80)&gt;='3월 등급 정보'!$G$9,7,IF(INT(U80)&gt;='3월 등급 정보'!$G$10,8,IF(INT(U80)&gt;='3월 등급 정보'!$G$11,9)))))))))</f>
        <v>3</v>
      </c>
      <c r="Y80" s="34">
        <v>35</v>
      </c>
      <c r="Z80" s="33"/>
      <c r="AA80" s="33"/>
      <c r="AB80" s="33">
        <f>IF(INT(Y80)&gt;='3월 등급 정보'!$H$3,1,IF(INT(Y80)&gt;='3월 등급 정보'!$H$4,2,IF(INT(Y80)&gt;='3월 등급 정보'!$H$5,3,IF(INT(Y80)&gt;='3월 등급 정보'!$H$6,4,IF(INT(Y80)&gt;='3월 등급 정보'!$H$7,5,IF(INT(Y80)&gt;='3월 등급 정보'!$H$8,6,IF(INT(Y80)&gt;='3월 등급 정보'!$H$9,7,IF(INT(Y80)&gt;='3월 등급 정보'!$H$10,8,IF(INT(Y80)&gt;='3월 등급 정보'!$H$11,9)))))))))</f>
        <v>2</v>
      </c>
      <c r="AC80" s="33">
        <f>E80+I80+M80+Q80+U80</f>
        <v>262</v>
      </c>
      <c r="AD80" s="33">
        <f>RANK(AC80,$AC$3:$AC$273)</f>
        <v>78</v>
      </c>
    </row>
    <row r="81" spans="1:30" ht="17.25" customHeight="1">
      <c r="A81" s="33" t="s">
        <v>26</v>
      </c>
      <c r="B81" s="34">
        <v>6</v>
      </c>
      <c r="C81" s="34">
        <v>10</v>
      </c>
      <c r="D81" s="34" t="s">
        <v>168</v>
      </c>
      <c r="E81" s="34">
        <v>77</v>
      </c>
      <c r="F81" s="33"/>
      <c r="G81" s="33"/>
      <c r="H81" s="33">
        <f>IF(INT(E81)&gt;='3월 등급 정보'!$C$3,1,IF(INT(E81)&gt;='3월 등급 정보'!$C$4,2,IF(INT(E81)&gt;='3월 등급 정보'!$C$5,3,IF(INT(E81)&gt;='3월 등급 정보'!$C$6,4,IF(INT(E81)&gt;='3월 등급 정보'!$C$7,5,IF(INT(E81)&gt;='3월 등급 정보'!$C$8,6,IF(INT(E81)&gt;='3월 등급 정보'!$C$9,7,IF(INT(E81)&gt;='3월 등급 정보'!$C$10,8,IF(INT(E81)&gt;='3월 등급 정보'!$C$11,9)))))))))</f>
        <v>3</v>
      </c>
      <c r="I81" s="34">
        <v>47</v>
      </c>
      <c r="J81" s="33"/>
      <c r="K81" s="33"/>
      <c r="L81" s="33">
        <f>IF(INT(I81)&gt;='3월 등급 정보'!$D$3,1,IF(INT(I81)&gt;='3월 등급 정보'!$D$4,2,IF(INT(I81)&gt;='3월 등급 정보'!$D$5,3,IF(INT(I81)&gt;='3월 등급 정보'!$D$6,4,IF(INT(I81)&gt;='3월 등급 정보'!$D$7,5,IF(INT(I81)&gt;='3월 등급 정보'!$D$8,6,IF(INT(I81)&gt;='3월 등급 정보'!$D$9,7,IF(INT(I81)&gt;='3월 등급 정보'!$D$10,8,IF(INT(I81)&gt;='3월 등급 정보'!$D$11,9)))))))))</f>
        <v>5</v>
      </c>
      <c r="M81" s="34">
        <v>81</v>
      </c>
      <c r="N81" s="33"/>
      <c r="O81" s="33"/>
      <c r="P81" s="33">
        <f>IF(INT(M81)&gt;='3월 등급 정보'!$E$3,1,IF(INT(M81)&gt;='3월 등급 정보'!$E$4,2,IF(INT(M81)&gt;='3월 등급 정보'!$E$5,3,IF(INT(M81)&gt;='3월 등급 정보'!$E$6,4,IF(INT(M81)&gt;='3월 등급 정보'!$E$7,5,IF(INT(M81)&gt;='3월 등급 정보'!$E$8,6,IF(INT(M81)&gt;='3월 등급 정보'!$E$9,7,IF(INT(M81)&gt;='3월 등급 정보'!$E$10,8,IF(INT(M81)&gt;='3월 등급 정보'!$E$11,9)))))))))</f>
        <v>2</v>
      </c>
      <c r="Q81" s="34">
        <v>25</v>
      </c>
      <c r="R81" s="33"/>
      <c r="S81" s="33"/>
      <c r="T81" s="33">
        <f>IF(INT(Q81)&gt;='3월 등급 정보'!$F$3,1,IF(INT(Q81)&gt;='3월 등급 정보'!$F$4,2,IF(INT(Q81)&gt;='3월 등급 정보'!$F$5,3,IF(INT(Q81)&gt;='3월 등급 정보'!$F$6,4,IF(INT(Q81)&gt;='3월 등급 정보'!$F$7,5,IF(INT(Q81)&gt;='3월 등급 정보'!$F$8,6,IF(INT(Q81)&gt;='3월 등급 정보'!$F$9,7,IF(INT(Q81)&gt;='3월 등급 정보'!$F$10,8,IF(INT(Q81)&gt;='3월 등급 정보'!$F$11,9)))))))))</f>
        <v>6</v>
      </c>
      <c r="U81" s="34">
        <v>31.5</v>
      </c>
      <c r="V81" s="33"/>
      <c r="W81" s="33"/>
      <c r="X81" s="33">
        <f>IF(INT(U81)&gt;='3월 등급 정보'!$G$3,1,IF(INT(U81)&gt;='3월 등급 정보'!$G$4,2,IF(INT(U81)&gt;='3월 등급 정보'!$G$5,3,IF(INT(U81)&gt;='3월 등급 정보'!$G$6,4,IF(INT(U81)&gt;='3월 등급 정보'!$G$7,5,IF(INT(U81)&gt;='3월 등급 정보'!$G$8,6,IF(INT(U81)&gt;='3월 등급 정보'!$G$9,7,IF(INT(U81)&gt;='3월 등급 정보'!$G$10,8,IF(INT(U81)&gt;='3월 등급 정보'!$G$11,9)))))))))</f>
        <v>4</v>
      </c>
      <c r="Y81" s="34">
        <v>10</v>
      </c>
      <c r="Z81" s="33"/>
      <c r="AA81" s="33"/>
      <c r="AB81" s="33">
        <f>IF(INT(Y81)&gt;='3월 등급 정보'!$H$3,1,IF(INT(Y81)&gt;='3월 등급 정보'!$H$4,2,IF(INT(Y81)&gt;='3월 등급 정보'!$H$5,3,IF(INT(Y81)&gt;='3월 등급 정보'!$H$6,4,IF(INT(Y81)&gt;='3월 등급 정보'!$H$7,5,IF(INT(Y81)&gt;='3월 등급 정보'!$H$8,6,IF(INT(Y81)&gt;='3월 등급 정보'!$H$9,7,IF(INT(Y81)&gt;='3월 등급 정보'!$H$10,8,IF(INT(Y81)&gt;='3월 등급 정보'!$H$11,9)))))))))</f>
        <v>7</v>
      </c>
      <c r="AC81" s="33">
        <f>E81+I81+M81+Q81+U81</f>
        <v>261.5</v>
      </c>
      <c r="AD81" s="33">
        <f>RANK(AC81,$AC$3:$AC$273)</f>
        <v>79</v>
      </c>
    </row>
    <row r="82" spans="1:30" ht="17.25" customHeight="1">
      <c r="A82" s="33" t="s">
        <v>26</v>
      </c>
      <c r="B82" s="34">
        <v>3</v>
      </c>
      <c r="C82" s="34">
        <v>14</v>
      </c>
      <c r="D82" s="34" t="s">
        <v>92</v>
      </c>
      <c r="E82" s="34">
        <v>81</v>
      </c>
      <c r="F82" s="33"/>
      <c r="G82" s="33"/>
      <c r="H82" s="33">
        <f>IF(INT(E82)&gt;='3월 등급 정보'!$C$3,1,IF(INT(E82)&gt;='3월 등급 정보'!$C$4,2,IF(INT(E82)&gt;='3월 등급 정보'!$C$5,3,IF(INT(E82)&gt;='3월 등급 정보'!$C$6,4,IF(INT(E82)&gt;='3월 등급 정보'!$C$7,5,IF(INT(E82)&gt;='3월 등급 정보'!$C$8,6,IF(INT(E82)&gt;='3월 등급 정보'!$C$9,7,IF(INT(E82)&gt;='3월 등급 정보'!$C$10,8,IF(INT(E82)&gt;='3월 등급 정보'!$C$11,9)))))))))</f>
        <v>2</v>
      </c>
      <c r="I82" s="34">
        <v>56</v>
      </c>
      <c r="J82" s="33"/>
      <c r="K82" s="33"/>
      <c r="L82" s="33">
        <f>IF(INT(I82)&gt;='3월 등급 정보'!$D$3,1,IF(INT(I82)&gt;='3월 등급 정보'!$D$4,2,IF(INT(I82)&gt;='3월 등급 정보'!$D$5,3,IF(INT(I82)&gt;='3월 등급 정보'!$D$6,4,IF(INT(I82)&gt;='3월 등급 정보'!$D$7,5,IF(INT(I82)&gt;='3월 등급 정보'!$D$8,6,IF(INT(I82)&gt;='3월 등급 정보'!$D$9,7,IF(INT(I82)&gt;='3월 등급 정보'!$D$10,8,IF(INT(I82)&gt;='3월 등급 정보'!$D$11,9)))))))))</f>
        <v>4</v>
      </c>
      <c r="M82" s="34">
        <v>60</v>
      </c>
      <c r="N82" s="33"/>
      <c r="O82" s="33"/>
      <c r="P82" s="33">
        <f>IF(INT(M82)&gt;='3월 등급 정보'!$E$3,1,IF(INT(M82)&gt;='3월 등급 정보'!$E$4,2,IF(INT(M82)&gt;='3월 등급 정보'!$E$5,3,IF(INT(M82)&gt;='3월 등급 정보'!$E$6,4,IF(INT(M82)&gt;='3월 등급 정보'!$E$7,5,IF(INT(M82)&gt;='3월 등급 정보'!$E$8,6,IF(INT(M82)&gt;='3월 등급 정보'!$E$9,7,IF(INT(M82)&gt;='3월 등급 정보'!$E$10,8,IF(INT(M82)&gt;='3월 등급 정보'!$E$11,9)))))))))</f>
        <v>4</v>
      </c>
      <c r="Q82" s="34">
        <v>39</v>
      </c>
      <c r="R82" s="33"/>
      <c r="S82" s="33"/>
      <c r="T82" s="33">
        <f>IF(INT(Q82)&gt;='3월 등급 정보'!$F$3,1,IF(INT(Q82)&gt;='3월 등급 정보'!$F$4,2,IF(INT(Q82)&gt;='3월 등급 정보'!$F$5,3,IF(INT(Q82)&gt;='3월 등급 정보'!$F$6,4,IF(INT(Q82)&gt;='3월 등급 정보'!$F$7,5,IF(INT(Q82)&gt;='3월 등급 정보'!$F$8,6,IF(INT(Q82)&gt;='3월 등급 정보'!$F$9,7,IF(INT(Q82)&gt;='3월 등급 정보'!$F$10,8,IF(INT(Q82)&gt;='3월 등급 정보'!$F$11,9)))))))))</f>
        <v>3</v>
      </c>
      <c r="U82" s="34">
        <v>24</v>
      </c>
      <c r="V82" s="33"/>
      <c r="W82" s="33"/>
      <c r="X82" s="33">
        <f>IF(INT(U82)&gt;='3월 등급 정보'!$G$3,1,IF(INT(U82)&gt;='3월 등급 정보'!$G$4,2,IF(INT(U82)&gt;='3월 등급 정보'!$G$5,3,IF(INT(U82)&gt;='3월 등급 정보'!$G$6,4,IF(INT(U82)&gt;='3월 등급 정보'!$G$7,5,IF(INT(U82)&gt;='3월 등급 정보'!$G$8,6,IF(INT(U82)&gt;='3월 등급 정보'!$G$9,7,IF(INT(U82)&gt;='3월 등급 정보'!$G$10,8,IF(INT(U82)&gt;='3월 등급 정보'!$G$11,9)))))))))</f>
        <v>5</v>
      </c>
      <c r="Y82" s="34">
        <v>34</v>
      </c>
      <c r="Z82" s="33"/>
      <c r="AA82" s="33"/>
      <c r="AB82" s="33">
        <f>IF(INT(Y82)&gt;='3월 등급 정보'!$H$3,1,IF(INT(Y82)&gt;='3월 등급 정보'!$H$4,2,IF(INT(Y82)&gt;='3월 등급 정보'!$H$5,3,IF(INT(Y82)&gt;='3월 등급 정보'!$H$6,4,IF(INT(Y82)&gt;='3월 등급 정보'!$H$7,5,IF(INT(Y82)&gt;='3월 등급 정보'!$H$8,6,IF(INT(Y82)&gt;='3월 등급 정보'!$H$9,7,IF(INT(Y82)&gt;='3월 등급 정보'!$H$10,8,IF(INT(Y82)&gt;='3월 등급 정보'!$H$11,9)))))))))</f>
        <v>3</v>
      </c>
      <c r="AC82" s="33">
        <f>E82+I82+M82+Q82+U82</f>
        <v>260</v>
      </c>
      <c r="AD82" s="33">
        <f>RANK(AC82,$AC$3:$AC$273)</f>
        <v>80</v>
      </c>
    </row>
    <row r="83" spans="1:30" ht="17.25" customHeight="1">
      <c r="A83" s="33" t="s">
        <v>26</v>
      </c>
      <c r="B83" s="34">
        <v>5</v>
      </c>
      <c r="C83" s="34">
        <v>17</v>
      </c>
      <c r="D83" s="34" t="s">
        <v>147</v>
      </c>
      <c r="E83" s="34">
        <v>78</v>
      </c>
      <c r="F83" s="33"/>
      <c r="G83" s="33"/>
      <c r="H83" s="33">
        <f>IF(INT(E83)&gt;='3월 등급 정보'!$C$3,1,IF(INT(E83)&gt;='3월 등급 정보'!$C$4,2,IF(INT(E83)&gt;='3월 등급 정보'!$C$5,3,IF(INT(E83)&gt;='3월 등급 정보'!$C$6,4,IF(INT(E83)&gt;='3월 등급 정보'!$C$7,5,IF(INT(E83)&gt;='3월 등급 정보'!$C$8,6,IF(INT(E83)&gt;='3월 등급 정보'!$C$9,7,IF(INT(E83)&gt;='3월 등급 정보'!$C$10,8,IF(INT(E83)&gt;='3월 등급 정보'!$C$11,9)))))))))</f>
        <v>3</v>
      </c>
      <c r="I83" s="34">
        <v>54</v>
      </c>
      <c r="J83" s="33"/>
      <c r="K83" s="33"/>
      <c r="L83" s="33">
        <f>IF(INT(I83)&gt;='3월 등급 정보'!$D$3,1,IF(INT(I83)&gt;='3월 등급 정보'!$D$4,2,IF(INT(I83)&gt;='3월 등급 정보'!$D$5,3,IF(INT(I83)&gt;='3월 등급 정보'!$D$6,4,IF(INT(I83)&gt;='3월 등급 정보'!$D$7,5,IF(INT(I83)&gt;='3월 등급 정보'!$D$8,6,IF(INT(I83)&gt;='3월 등급 정보'!$D$9,7,IF(INT(I83)&gt;='3월 등급 정보'!$D$10,8,IF(INT(I83)&gt;='3월 등급 정보'!$D$11,9)))))))))</f>
        <v>4</v>
      </c>
      <c r="M83" s="34">
        <v>50</v>
      </c>
      <c r="N83" s="33"/>
      <c r="O83" s="33"/>
      <c r="P83" s="33">
        <f>IF(INT(M83)&gt;='3월 등급 정보'!$E$3,1,IF(INT(M83)&gt;='3월 등급 정보'!$E$4,2,IF(INT(M83)&gt;='3월 등급 정보'!$E$5,3,IF(INT(M83)&gt;='3월 등급 정보'!$E$6,4,IF(INT(M83)&gt;='3월 등급 정보'!$E$7,5,IF(INT(M83)&gt;='3월 등급 정보'!$E$8,6,IF(INT(M83)&gt;='3월 등급 정보'!$E$9,7,IF(INT(M83)&gt;='3월 등급 정보'!$E$10,8,IF(INT(M83)&gt;='3월 등급 정보'!$E$11,9)))))))))</f>
        <v>5</v>
      </c>
      <c r="Q83" s="34">
        <v>41.5</v>
      </c>
      <c r="R83" s="33"/>
      <c r="S83" s="33"/>
      <c r="T83" s="33">
        <f>IF(INT(Q83)&gt;='3월 등급 정보'!$F$3,1,IF(INT(Q83)&gt;='3월 등급 정보'!$F$4,2,IF(INT(Q83)&gt;='3월 등급 정보'!$F$5,3,IF(INT(Q83)&gt;='3월 등급 정보'!$F$6,4,IF(INT(Q83)&gt;='3월 등급 정보'!$F$7,5,IF(INT(Q83)&gt;='3월 등급 정보'!$F$8,6,IF(INT(Q83)&gt;='3월 등급 정보'!$F$9,7,IF(INT(Q83)&gt;='3월 등급 정보'!$F$10,8,IF(INT(Q83)&gt;='3월 등급 정보'!$F$11,9)))))))))</f>
        <v>3</v>
      </c>
      <c r="U83" s="34">
        <v>36</v>
      </c>
      <c r="V83" s="33"/>
      <c r="W83" s="33"/>
      <c r="X83" s="33">
        <f>IF(INT(U83)&gt;='3월 등급 정보'!$G$3,1,IF(INT(U83)&gt;='3월 등급 정보'!$G$4,2,IF(INT(U83)&gt;='3월 등급 정보'!$G$5,3,IF(INT(U83)&gt;='3월 등급 정보'!$G$6,4,IF(INT(U83)&gt;='3월 등급 정보'!$G$7,5,IF(INT(U83)&gt;='3월 등급 정보'!$G$8,6,IF(INT(U83)&gt;='3월 등급 정보'!$G$9,7,IF(INT(U83)&gt;='3월 등급 정보'!$G$10,8,IF(INT(U83)&gt;='3월 등급 정보'!$G$11,9)))))))))</f>
        <v>3</v>
      </c>
      <c r="Y83" s="34">
        <v>47</v>
      </c>
      <c r="Z83" s="33"/>
      <c r="AA83" s="33"/>
      <c r="AB83" s="33">
        <f>IF(INT(Y83)&gt;='3월 등급 정보'!$H$3,1,IF(INT(Y83)&gt;='3월 등급 정보'!$H$4,2,IF(INT(Y83)&gt;='3월 등급 정보'!$H$5,3,IF(INT(Y83)&gt;='3월 등급 정보'!$H$6,4,IF(INT(Y83)&gt;='3월 등급 정보'!$H$7,5,IF(INT(Y83)&gt;='3월 등급 정보'!$H$8,6,IF(INT(Y83)&gt;='3월 등급 정보'!$H$9,7,IF(INT(Y83)&gt;='3월 등급 정보'!$H$10,8,IF(INT(Y83)&gt;='3월 등급 정보'!$H$11,9)))))))))</f>
        <v>1</v>
      </c>
      <c r="AC83" s="33">
        <f>E83+I83+M83+Q83+U83</f>
        <v>259.5</v>
      </c>
      <c r="AD83" s="33">
        <f>RANK(AC83,$AC$3:$AC$273)</f>
        <v>81</v>
      </c>
    </row>
    <row r="84" spans="1:30" ht="17.25" customHeight="1">
      <c r="A84" s="33" t="s">
        <v>26</v>
      </c>
      <c r="B84" s="34">
        <v>8</v>
      </c>
      <c r="C84" s="34">
        <v>3</v>
      </c>
      <c r="D84" s="34" t="s">
        <v>32</v>
      </c>
      <c r="E84" s="34">
        <v>71</v>
      </c>
      <c r="F84" s="33"/>
      <c r="G84" s="33"/>
      <c r="H84" s="33">
        <f>IF(INT(E84)&gt;='3월 등급 정보'!$C$3,1,IF(INT(E84)&gt;='3월 등급 정보'!$C$4,2,IF(INT(E84)&gt;='3월 등급 정보'!$C$5,3,IF(INT(E84)&gt;='3월 등급 정보'!$C$6,4,IF(INT(E84)&gt;='3월 등급 정보'!$C$7,5,IF(INT(E84)&gt;='3월 등급 정보'!$C$8,6,IF(INT(E84)&gt;='3월 등급 정보'!$C$9,7,IF(INT(E84)&gt;='3월 등급 정보'!$C$10,8,IF(INT(E84)&gt;='3월 등급 정보'!$C$11,9)))))))))</f>
        <v>3</v>
      </c>
      <c r="I84" s="34">
        <v>46</v>
      </c>
      <c r="J84" s="33"/>
      <c r="K84" s="33"/>
      <c r="L84" s="33">
        <f>IF(INT(I84)&gt;='3월 등급 정보'!$D$3,1,IF(INT(I84)&gt;='3월 등급 정보'!$D$4,2,IF(INT(I84)&gt;='3월 등급 정보'!$D$5,3,IF(INT(I84)&gt;='3월 등급 정보'!$D$6,4,IF(INT(I84)&gt;='3월 등급 정보'!$D$7,5,IF(INT(I84)&gt;='3월 등급 정보'!$D$8,6,IF(INT(I84)&gt;='3월 등급 정보'!$D$9,7,IF(INT(I84)&gt;='3월 등급 정보'!$D$10,8,IF(INT(I84)&gt;='3월 등급 정보'!$D$11,9)))))))))</f>
        <v>5</v>
      </c>
      <c r="M84" s="34">
        <v>69</v>
      </c>
      <c r="N84" s="33"/>
      <c r="O84" s="33"/>
      <c r="P84" s="33">
        <f>IF(INT(M84)&gt;='3월 등급 정보'!$E$3,1,IF(INT(M84)&gt;='3월 등급 정보'!$E$4,2,IF(INT(M84)&gt;='3월 등급 정보'!$E$5,3,IF(INT(M84)&gt;='3월 등급 정보'!$E$6,4,IF(INT(M84)&gt;='3월 등급 정보'!$E$7,5,IF(INT(M84)&gt;='3월 등급 정보'!$E$8,6,IF(INT(M84)&gt;='3월 등급 정보'!$E$9,7,IF(INT(M84)&gt;='3월 등급 정보'!$E$10,8,IF(INT(M84)&gt;='3월 등급 정보'!$E$11,9)))))))))</f>
        <v>4</v>
      </c>
      <c r="Q84" s="34">
        <v>41.5</v>
      </c>
      <c r="R84" s="33"/>
      <c r="S84" s="33"/>
      <c r="T84" s="33">
        <f>IF(INT(Q84)&gt;='3월 등급 정보'!$F$3,1,IF(INT(Q84)&gt;='3월 등급 정보'!$F$4,2,IF(INT(Q84)&gt;='3월 등급 정보'!$F$5,3,IF(INT(Q84)&gt;='3월 등급 정보'!$F$6,4,IF(INT(Q84)&gt;='3월 등급 정보'!$F$7,5,IF(INT(Q84)&gt;='3월 등급 정보'!$F$8,6,IF(INT(Q84)&gt;='3월 등급 정보'!$F$9,7,IF(INT(Q84)&gt;='3월 등급 정보'!$F$10,8,IF(INT(Q84)&gt;='3월 등급 정보'!$F$11,9)))))))))</f>
        <v>3</v>
      </c>
      <c r="U84" s="34">
        <v>32</v>
      </c>
      <c r="V84" s="33"/>
      <c r="W84" s="33"/>
      <c r="X84" s="33">
        <f>IF(INT(U84)&gt;='3월 등급 정보'!$G$3,1,IF(INT(U84)&gt;='3월 등급 정보'!$G$4,2,IF(INT(U84)&gt;='3월 등급 정보'!$G$5,3,IF(INT(U84)&gt;='3월 등급 정보'!$G$6,4,IF(INT(U84)&gt;='3월 등급 정보'!$G$7,5,IF(INT(U84)&gt;='3월 등급 정보'!$G$8,6,IF(INT(U84)&gt;='3월 등급 정보'!$G$9,7,IF(INT(U84)&gt;='3월 등급 정보'!$G$10,8,IF(INT(U84)&gt;='3월 등급 정보'!$G$11,9)))))))))</f>
        <v>3</v>
      </c>
      <c r="Y84" s="34">
        <v>31</v>
      </c>
      <c r="Z84" s="33"/>
      <c r="AA84" s="33"/>
      <c r="AB84" s="33">
        <f>IF(INT(Y84)&gt;='3월 등급 정보'!$H$3,1,IF(INT(Y84)&gt;='3월 등급 정보'!$H$4,2,IF(INT(Y84)&gt;='3월 등급 정보'!$H$5,3,IF(INT(Y84)&gt;='3월 등급 정보'!$H$6,4,IF(INT(Y84)&gt;='3월 등급 정보'!$H$7,5,IF(INT(Y84)&gt;='3월 등급 정보'!$H$8,6,IF(INT(Y84)&gt;='3월 등급 정보'!$H$9,7,IF(INT(Y84)&gt;='3월 등급 정보'!$H$10,8,IF(INT(Y84)&gt;='3월 등급 정보'!$H$11,9)))))))))</f>
        <v>3</v>
      </c>
      <c r="AC84" s="33">
        <f>E84+I84+M84+Q84+U84</f>
        <v>259.5</v>
      </c>
      <c r="AD84" s="33">
        <f>RANK(AC84,$AC$3:$AC$273)</f>
        <v>81</v>
      </c>
    </row>
    <row r="85" spans="1:30" ht="17.25" customHeight="1">
      <c r="A85" s="33" t="s">
        <v>26</v>
      </c>
      <c r="B85" s="34">
        <v>1</v>
      </c>
      <c r="C85" s="34">
        <v>7</v>
      </c>
      <c r="D85" s="34" t="s">
        <v>34</v>
      </c>
      <c r="E85" s="34">
        <v>71</v>
      </c>
      <c r="F85" s="33"/>
      <c r="G85" s="33"/>
      <c r="H85" s="33">
        <f>IF(INT(E85)&gt;='3월 등급 정보'!$C$3,1,IF(INT(E85)&gt;='3월 등급 정보'!$C$4,2,IF(INT(E85)&gt;='3월 등급 정보'!$C$5,3,IF(INT(E85)&gt;='3월 등급 정보'!$C$6,4,IF(INT(E85)&gt;='3월 등급 정보'!$C$7,5,IF(INT(E85)&gt;='3월 등급 정보'!$C$8,6,IF(INT(E85)&gt;='3월 등급 정보'!$C$9,7,IF(INT(E85)&gt;='3월 등급 정보'!$C$10,8,IF(INT(E85)&gt;='3월 등급 정보'!$C$11,9)))))))))</f>
        <v>3</v>
      </c>
      <c r="I85" s="34">
        <v>54</v>
      </c>
      <c r="J85" s="33"/>
      <c r="K85" s="33"/>
      <c r="L85" s="33">
        <f>IF(INT(I85)&gt;='3월 등급 정보'!$D$3,1,IF(INT(I85)&gt;='3월 등급 정보'!$D$4,2,IF(INT(I85)&gt;='3월 등급 정보'!$D$5,3,IF(INT(I85)&gt;='3월 등급 정보'!$D$6,4,IF(INT(I85)&gt;='3월 등급 정보'!$D$7,5,IF(INT(I85)&gt;='3월 등급 정보'!$D$8,6,IF(INT(I85)&gt;='3월 등급 정보'!$D$9,7,IF(INT(I85)&gt;='3월 등급 정보'!$D$10,8,IF(INT(I85)&gt;='3월 등급 정보'!$D$11,9)))))))))</f>
        <v>4</v>
      </c>
      <c r="M85" s="34">
        <v>83</v>
      </c>
      <c r="N85" s="33"/>
      <c r="O85" s="33"/>
      <c r="P85" s="33">
        <f>IF(INT(M85)&gt;='3월 등급 정보'!$E$3,1,IF(INT(M85)&gt;='3월 등급 정보'!$E$4,2,IF(INT(M85)&gt;='3월 등급 정보'!$E$5,3,IF(INT(M85)&gt;='3월 등급 정보'!$E$6,4,IF(INT(M85)&gt;='3월 등급 정보'!$E$7,5,IF(INT(M85)&gt;='3월 등급 정보'!$E$8,6,IF(INT(M85)&gt;='3월 등급 정보'!$E$9,7,IF(INT(M85)&gt;='3월 등급 정보'!$E$10,8,IF(INT(M85)&gt;='3월 등급 정보'!$E$11,9)))))))))</f>
        <v>2</v>
      </c>
      <c r="Q85" s="34">
        <v>27.5</v>
      </c>
      <c r="R85" s="33"/>
      <c r="S85" s="33"/>
      <c r="T85" s="33">
        <f>IF(INT(Q85)&gt;='3월 등급 정보'!$F$3,1,IF(INT(Q85)&gt;='3월 등급 정보'!$F$4,2,IF(INT(Q85)&gt;='3월 등급 정보'!$F$5,3,IF(INT(Q85)&gt;='3월 등급 정보'!$F$6,4,IF(INT(Q85)&gt;='3월 등급 정보'!$F$7,5,IF(INT(Q85)&gt;='3월 등급 정보'!$F$8,6,IF(INT(Q85)&gt;='3월 등급 정보'!$F$9,7,IF(INT(Q85)&gt;='3월 등급 정보'!$F$10,8,IF(INT(Q85)&gt;='3월 등급 정보'!$F$11,9)))))))))</f>
        <v>5</v>
      </c>
      <c r="U85" s="34">
        <v>23</v>
      </c>
      <c r="V85" s="33"/>
      <c r="W85" s="33"/>
      <c r="X85" s="33">
        <f>IF(INT(U85)&gt;='3월 등급 정보'!$G$3,1,IF(INT(U85)&gt;='3월 등급 정보'!$G$4,2,IF(INT(U85)&gt;='3월 등급 정보'!$G$5,3,IF(INT(U85)&gt;='3월 등급 정보'!$G$6,4,IF(INT(U85)&gt;='3월 등급 정보'!$G$7,5,IF(INT(U85)&gt;='3월 등급 정보'!$G$8,6,IF(INT(U85)&gt;='3월 등급 정보'!$G$9,7,IF(INT(U85)&gt;='3월 등급 정보'!$G$10,8,IF(INT(U85)&gt;='3월 등급 정보'!$G$11,9)))))))))</f>
        <v>5</v>
      </c>
      <c r="Y85" s="34">
        <v>18</v>
      </c>
      <c r="Z85" s="33"/>
      <c r="AA85" s="33"/>
      <c r="AB85" s="33">
        <f>IF(INT(Y85)&gt;='3월 등급 정보'!$H$3,1,IF(INT(Y85)&gt;='3월 등급 정보'!$H$4,2,IF(INT(Y85)&gt;='3월 등급 정보'!$H$5,3,IF(INT(Y85)&gt;='3월 등급 정보'!$H$6,4,IF(INT(Y85)&gt;='3월 등급 정보'!$H$7,5,IF(INT(Y85)&gt;='3월 등급 정보'!$H$8,6,IF(INT(Y85)&gt;='3월 등급 정보'!$H$9,7,IF(INT(Y85)&gt;='3월 등급 정보'!$H$10,8,IF(INT(Y85)&gt;='3월 등급 정보'!$H$11,9)))))))))</f>
        <v>6</v>
      </c>
      <c r="AC85" s="33">
        <f>E85+I85+M85+Q85+U85</f>
        <v>258.5</v>
      </c>
      <c r="AD85" s="33">
        <f>RANK(AC85,$AC$3:$AC$273)</f>
        <v>83</v>
      </c>
    </row>
    <row r="86" spans="1:30" ht="17.25" customHeight="1">
      <c r="A86" s="33" t="s">
        <v>26</v>
      </c>
      <c r="B86" s="34">
        <v>5</v>
      </c>
      <c r="C86" s="34">
        <v>6</v>
      </c>
      <c r="D86" s="34" t="s">
        <v>137</v>
      </c>
      <c r="E86" s="34">
        <v>66</v>
      </c>
      <c r="F86" s="33"/>
      <c r="G86" s="33"/>
      <c r="H86" s="33">
        <f>IF(INT(E86)&gt;='3월 등급 정보'!$C$3,1,IF(INT(E86)&gt;='3월 등급 정보'!$C$4,2,IF(INT(E86)&gt;='3월 등급 정보'!$C$5,3,IF(INT(E86)&gt;='3월 등급 정보'!$C$6,4,IF(INT(E86)&gt;='3월 등급 정보'!$C$7,5,IF(INT(E86)&gt;='3월 등급 정보'!$C$8,6,IF(INT(E86)&gt;='3월 등급 정보'!$C$9,7,IF(INT(E86)&gt;='3월 등급 정보'!$C$10,8,IF(INT(E86)&gt;='3월 등급 정보'!$C$11,9)))))))))</f>
        <v>4</v>
      </c>
      <c r="I86" s="34">
        <v>68</v>
      </c>
      <c r="J86" s="33"/>
      <c r="K86" s="33"/>
      <c r="L86" s="33">
        <f>IF(INT(I86)&gt;='3월 등급 정보'!$D$3,1,IF(INT(I86)&gt;='3월 등급 정보'!$D$4,2,IF(INT(I86)&gt;='3월 등급 정보'!$D$5,3,IF(INT(I86)&gt;='3월 등급 정보'!$D$6,4,IF(INT(I86)&gt;='3월 등급 정보'!$D$7,5,IF(INT(I86)&gt;='3월 등급 정보'!$D$8,6,IF(INT(I86)&gt;='3월 등급 정보'!$D$9,7,IF(INT(I86)&gt;='3월 등급 정보'!$D$10,8,IF(INT(I86)&gt;='3월 등급 정보'!$D$11,9)))))))))</f>
        <v>3</v>
      </c>
      <c r="M86" s="34">
        <v>65</v>
      </c>
      <c r="N86" s="33"/>
      <c r="O86" s="33"/>
      <c r="P86" s="33">
        <f>IF(INT(M86)&gt;='3월 등급 정보'!$E$3,1,IF(INT(M86)&gt;='3월 등급 정보'!$E$4,2,IF(INT(M86)&gt;='3월 등급 정보'!$E$5,3,IF(INT(M86)&gt;='3월 등급 정보'!$E$6,4,IF(INT(M86)&gt;='3월 등급 정보'!$E$7,5,IF(INT(M86)&gt;='3월 등급 정보'!$E$8,6,IF(INT(M86)&gt;='3월 등급 정보'!$E$9,7,IF(INT(M86)&gt;='3월 등급 정보'!$E$10,8,IF(INT(M86)&gt;='3월 등급 정보'!$E$11,9)))))))))</f>
        <v>4</v>
      </c>
      <c r="Q86" s="34">
        <v>35</v>
      </c>
      <c r="R86" s="33"/>
      <c r="S86" s="33"/>
      <c r="T86" s="33">
        <f>IF(INT(Q86)&gt;='3월 등급 정보'!$F$3,1,IF(INT(Q86)&gt;='3월 등급 정보'!$F$4,2,IF(INT(Q86)&gt;='3월 등급 정보'!$F$5,3,IF(INT(Q86)&gt;='3월 등급 정보'!$F$6,4,IF(INT(Q86)&gt;='3월 등급 정보'!$F$7,5,IF(INT(Q86)&gt;='3월 등급 정보'!$F$8,6,IF(INT(Q86)&gt;='3월 등급 정보'!$F$9,7,IF(INT(Q86)&gt;='3월 등급 정보'!$F$10,8,IF(INT(Q86)&gt;='3월 등급 정보'!$F$11,9)))))))))</f>
        <v>4</v>
      </c>
      <c r="U86" s="34">
        <v>24.5</v>
      </c>
      <c r="V86" s="33"/>
      <c r="W86" s="33"/>
      <c r="X86" s="33">
        <f>IF(INT(U86)&gt;='3월 등급 정보'!$G$3,1,IF(INT(U86)&gt;='3월 등급 정보'!$G$4,2,IF(INT(U86)&gt;='3월 등급 정보'!$G$5,3,IF(INT(U86)&gt;='3월 등급 정보'!$G$6,4,IF(INT(U86)&gt;='3월 등급 정보'!$G$7,5,IF(INT(U86)&gt;='3월 등급 정보'!$G$8,6,IF(INT(U86)&gt;='3월 등급 정보'!$G$9,7,IF(INT(U86)&gt;='3월 등급 정보'!$G$10,8,IF(INT(U86)&gt;='3월 등급 정보'!$G$11,9)))))))))</f>
        <v>5</v>
      </c>
      <c r="Y86" s="34">
        <v>30</v>
      </c>
      <c r="Z86" s="33"/>
      <c r="AA86" s="33"/>
      <c r="AB86" s="33">
        <f>IF(INT(Y86)&gt;='3월 등급 정보'!$H$3,1,IF(INT(Y86)&gt;='3월 등급 정보'!$H$4,2,IF(INT(Y86)&gt;='3월 등급 정보'!$H$5,3,IF(INT(Y86)&gt;='3월 등급 정보'!$H$6,4,IF(INT(Y86)&gt;='3월 등급 정보'!$H$7,5,IF(INT(Y86)&gt;='3월 등급 정보'!$H$8,6,IF(INT(Y86)&gt;='3월 등급 정보'!$H$9,7,IF(INT(Y86)&gt;='3월 등급 정보'!$H$10,8,IF(INT(Y86)&gt;='3월 등급 정보'!$H$11,9)))))))))</f>
        <v>3</v>
      </c>
      <c r="AC86" s="33">
        <f>E86+I86+M86+Q86+U86</f>
        <v>258.5</v>
      </c>
      <c r="AD86" s="33">
        <f>RANK(AC86,$AC$3:$AC$273)</f>
        <v>83</v>
      </c>
    </row>
    <row r="87" spans="1:30" ht="17.25" customHeight="1">
      <c r="A87" s="33" t="s">
        <v>26</v>
      </c>
      <c r="B87" s="34">
        <v>4</v>
      </c>
      <c r="C87" s="34">
        <v>5</v>
      </c>
      <c r="D87" s="34" t="s">
        <v>110</v>
      </c>
      <c r="E87" s="34">
        <v>54</v>
      </c>
      <c r="F87" s="33"/>
      <c r="G87" s="33"/>
      <c r="H87" s="33">
        <f>IF(INT(E87)&gt;='3월 등급 정보'!$C$3,1,IF(INT(E87)&gt;='3월 등급 정보'!$C$4,2,IF(INT(E87)&gt;='3월 등급 정보'!$C$5,3,IF(INT(E87)&gt;='3월 등급 정보'!$C$6,4,IF(INT(E87)&gt;='3월 등급 정보'!$C$7,5,IF(INT(E87)&gt;='3월 등급 정보'!$C$8,6,IF(INT(E87)&gt;='3월 등급 정보'!$C$9,7,IF(INT(E87)&gt;='3월 등급 정보'!$C$10,8,IF(INT(E87)&gt;='3월 등급 정보'!$C$11,9)))))))))</f>
        <v>5</v>
      </c>
      <c r="I87" s="34">
        <v>64</v>
      </c>
      <c r="J87" s="33"/>
      <c r="K87" s="33"/>
      <c r="L87" s="33">
        <f>IF(INT(I87)&gt;='3월 등급 정보'!$D$3,1,IF(INT(I87)&gt;='3월 등급 정보'!$D$4,2,IF(INT(I87)&gt;='3월 등급 정보'!$D$5,3,IF(INT(I87)&gt;='3월 등급 정보'!$D$6,4,IF(INT(I87)&gt;='3월 등급 정보'!$D$7,5,IF(INT(I87)&gt;='3월 등급 정보'!$D$8,6,IF(INT(I87)&gt;='3월 등급 정보'!$D$9,7,IF(INT(I87)&gt;='3월 등급 정보'!$D$10,8,IF(INT(I87)&gt;='3월 등급 정보'!$D$11,9)))))))))</f>
        <v>3</v>
      </c>
      <c r="M87" s="34">
        <v>62</v>
      </c>
      <c r="N87" s="33"/>
      <c r="O87" s="33"/>
      <c r="P87" s="33">
        <f>IF(INT(M87)&gt;='3월 등급 정보'!$E$3,1,IF(INT(M87)&gt;='3월 등급 정보'!$E$4,2,IF(INT(M87)&gt;='3월 등급 정보'!$E$5,3,IF(INT(M87)&gt;='3월 등급 정보'!$E$6,4,IF(INT(M87)&gt;='3월 등급 정보'!$E$7,5,IF(INT(M87)&gt;='3월 등급 정보'!$E$8,6,IF(INT(M87)&gt;='3월 등급 정보'!$E$9,7,IF(INT(M87)&gt;='3월 등급 정보'!$E$10,8,IF(INT(M87)&gt;='3월 등급 정보'!$E$11,9)))))))))</f>
        <v>4</v>
      </c>
      <c r="Q87" s="34">
        <v>45.5</v>
      </c>
      <c r="R87" s="33"/>
      <c r="S87" s="33"/>
      <c r="T87" s="33">
        <f>IF(INT(Q87)&gt;='3월 등급 정보'!$F$3,1,IF(INT(Q87)&gt;='3월 등급 정보'!$F$4,2,IF(INT(Q87)&gt;='3월 등급 정보'!$F$5,3,IF(INT(Q87)&gt;='3월 등급 정보'!$F$6,4,IF(INT(Q87)&gt;='3월 등급 정보'!$F$7,5,IF(INT(Q87)&gt;='3월 등급 정보'!$F$8,6,IF(INT(Q87)&gt;='3월 등급 정보'!$F$9,7,IF(INT(Q87)&gt;='3월 등급 정보'!$F$10,8,IF(INT(Q87)&gt;='3월 등급 정보'!$F$11,9)))))))))</f>
        <v>2</v>
      </c>
      <c r="U87" s="34">
        <v>32</v>
      </c>
      <c r="V87" s="33"/>
      <c r="W87" s="33"/>
      <c r="X87" s="33">
        <f>IF(INT(U87)&gt;='3월 등급 정보'!$G$3,1,IF(INT(U87)&gt;='3월 등급 정보'!$G$4,2,IF(INT(U87)&gt;='3월 등급 정보'!$G$5,3,IF(INT(U87)&gt;='3월 등급 정보'!$G$6,4,IF(INT(U87)&gt;='3월 등급 정보'!$G$7,5,IF(INT(U87)&gt;='3월 등급 정보'!$G$8,6,IF(INT(U87)&gt;='3월 등급 정보'!$G$9,7,IF(INT(U87)&gt;='3월 등급 정보'!$G$10,8,IF(INT(U87)&gt;='3월 등급 정보'!$G$11,9)))))))))</f>
        <v>3</v>
      </c>
      <c r="Y87" s="34">
        <v>21</v>
      </c>
      <c r="Z87" s="33"/>
      <c r="AA87" s="33"/>
      <c r="AB87" s="33">
        <f>IF(INT(Y87)&gt;='3월 등급 정보'!$H$3,1,IF(INT(Y87)&gt;='3월 등급 정보'!$H$4,2,IF(INT(Y87)&gt;='3월 등급 정보'!$H$5,3,IF(INT(Y87)&gt;='3월 등급 정보'!$H$6,4,IF(INT(Y87)&gt;='3월 등급 정보'!$H$7,5,IF(INT(Y87)&gt;='3월 등급 정보'!$H$8,6,IF(INT(Y87)&gt;='3월 등급 정보'!$H$9,7,IF(INT(Y87)&gt;='3월 등급 정보'!$H$10,8,IF(INT(Y87)&gt;='3월 등급 정보'!$H$11,9)))))))))</f>
        <v>5</v>
      </c>
      <c r="AC87" s="33">
        <f>E87+I87+M87+Q87+U87</f>
        <v>257.5</v>
      </c>
      <c r="AD87" s="33">
        <f>RANK(AC87,$AC$3:$AC$273)</f>
        <v>85</v>
      </c>
    </row>
    <row r="88" spans="1:30" ht="17.25" customHeight="1">
      <c r="A88" s="33" t="s">
        <v>26</v>
      </c>
      <c r="B88" s="34">
        <v>1</v>
      </c>
      <c r="C88" s="34">
        <v>17</v>
      </c>
      <c r="D88" s="34" t="s">
        <v>44</v>
      </c>
      <c r="E88" s="34">
        <v>59</v>
      </c>
      <c r="F88" s="33"/>
      <c r="G88" s="33"/>
      <c r="H88" s="33">
        <f>IF(INT(E88)&gt;='3월 등급 정보'!$C$3,1,IF(INT(E88)&gt;='3월 등급 정보'!$C$4,2,IF(INT(E88)&gt;='3월 등급 정보'!$C$5,3,IF(INT(E88)&gt;='3월 등급 정보'!$C$6,4,IF(INT(E88)&gt;='3월 등급 정보'!$C$7,5,IF(INT(E88)&gt;='3월 등급 정보'!$C$8,6,IF(INT(E88)&gt;='3월 등급 정보'!$C$9,7,IF(INT(E88)&gt;='3월 등급 정보'!$C$10,8,IF(INT(E88)&gt;='3월 등급 정보'!$C$11,9)))))))))</f>
        <v>5</v>
      </c>
      <c r="I88" s="34">
        <v>66</v>
      </c>
      <c r="J88" s="33"/>
      <c r="K88" s="33"/>
      <c r="L88" s="33">
        <f>IF(INT(I88)&gt;='3월 등급 정보'!$D$3,1,IF(INT(I88)&gt;='3월 등급 정보'!$D$4,2,IF(INT(I88)&gt;='3월 등급 정보'!$D$5,3,IF(INT(I88)&gt;='3월 등급 정보'!$D$6,4,IF(INT(I88)&gt;='3월 등급 정보'!$D$7,5,IF(INT(I88)&gt;='3월 등급 정보'!$D$8,6,IF(INT(I88)&gt;='3월 등급 정보'!$D$9,7,IF(INT(I88)&gt;='3월 등급 정보'!$D$10,8,IF(INT(I88)&gt;='3월 등급 정보'!$D$11,9)))))))))</f>
        <v>3</v>
      </c>
      <c r="M88" s="34">
        <v>61</v>
      </c>
      <c r="N88" s="33"/>
      <c r="O88" s="33"/>
      <c r="P88" s="33">
        <f>IF(INT(M88)&gt;='3월 등급 정보'!$E$3,1,IF(INT(M88)&gt;='3월 등급 정보'!$E$4,2,IF(INT(M88)&gt;='3월 등급 정보'!$E$5,3,IF(INT(M88)&gt;='3월 등급 정보'!$E$6,4,IF(INT(M88)&gt;='3월 등급 정보'!$E$7,5,IF(INT(M88)&gt;='3월 등급 정보'!$E$8,6,IF(INT(M88)&gt;='3월 등급 정보'!$E$9,7,IF(INT(M88)&gt;='3월 등급 정보'!$E$10,8,IF(INT(M88)&gt;='3월 등급 정보'!$E$11,9)))))))))</f>
        <v>4</v>
      </c>
      <c r="Q88" s="34">
        <v>36</v>
      </c>
      <c r="R88" s="33"/>
      <c r="S88" s="33"/>
      <c r="T88" s="33">
        <f>IF(INT(Q88)&gt;='3월 등급 정보'!$F$3,1,IF(INT(Q88)&gt;='3월 등급 정보'!$F$4,2,IF(INT(Q88)&gt;='3월 등급 정보'!$F$5,3,IF(INT(Q88)&gt;='3월 등급 정보'!$F$6,4,IF(INT(Q88)&gt;='3월 등급 정보'!$F$7,5,IF(INT(Q88)&gt;='3월 등급 정보'!$F$8,6,IF(INT(Q88)&gt;='3월 등급 정보'!$F$9,7,IF(INT(Q88)&gt;='3월 등급 정보'!$F$10,8,IF(INT(Q88)&gt;='3월 등급 정보'!$F$11,9)))))))))</f>
        <v>4</v>
      </c>
      <c r="U88" s="34">
        <v>35</v>
      </c>
      <c r="V88" s="33"/>
      <c r="W88" s="33"/>
      <c r="X88" s="33">
        <f>IF(INT(U88)&gt;='3월 등급 정보'!$G$3,1,IF(INT(U88)&gt;='3월 등급 정보'!$G$4,2,IF(INT(U88)&gt;='3월 등급 정보'!$G$5,3,IF(INT(U88)&gt;='3월 등급 정보'!$G$6,4,IF(INT(U88)&gt;='3월 등급 정보'!$G$7,5,IF(INT(U88)&gt;='3월 등급 정보'!$G$8,6,IF(INT(U88)&gt;='3월 등급 정보'!$G$9,7,IF(INT(U88)&gt;='3월 등급 정보'!$G$10,8,IF(INT(U88)&gt;='3월 등급 정보'!$G$11,9)))))))))</f>
        <v>3</v>
      </c>
      <c r="Y88" s="34">
        <v>42</v>
      </c>
      <c r="Z88" s="33"/>
      <c r="AA88" s="33"/>
      <c r="AB88" s="33">
        <f>IF(INT(Y88)&gt;='3월 등급 정보'!$H$3,1,IF(INT(Y88)&gt;='3월 등급 정보'!$H$4,2,IF(INT(Y88)&gt;='3월 등급 정보'!$H$5,3,IF(INT(Y88)&gt;='3월 등급 정보'!$H$6,4,IF(INT(Y88)&gt;='3월 등급 정보'!$H$7,5,IF(INT(Y88)&gt;='3월 등급 정보'!$H$8,6,IF(INT(Y88)&gt;='3월 등급 정보'!$H$9,7,IF(INT(Y88)&gt;='3월 등급 정보'!$H$10,8,IF(INT(Y88)&gt;='3월 등급 정보'!$H$11,9)))))))))</f>
        <v>1</v>
      </c>
      <c r="AC88" s="33">
        <f>E88+I88+M88+Q88+U88</f>
        <v>257</v>
      </c>
      <c r="AD88" s="33">
        <f>RANK(AC88,$AC$3:$AC$273)</f>
        <v>86</v>
      </c>
    </row>
    <row r="89" spans="1:30" ht="17.25" customHeight="1">
      <c r="A89" s="33" t="s">
        <v>26</v>
      </c>
      <c r="B89" s="34">
        <v>4</v>
      </c>
      <c r="C89" s="34">
        <v>14</v>
      </c>
      <c r="D89" s="34" t="s">
        <v>119</v>
      </c>
      <c r="E89" s="34">
        <v>66</v>
      </c>
      <c r="F89" s="33"/>
      <c r="G89" s="33"/>
      <c r="H89" s="33">
        <f>IF(INT(E89)&gt;='3월 등급 정보'!$C$3,1,IF(INT(E89)&gt;='3월 등급 정보'!$C$4,2,IF(INT(E89)&gt;='3월 등급 정보'!$C$5,3,IF(INT(E89)&gt;='3월 등급 정보'!$C$6,4,IF(INT(E89)&gt;='3월 등급 정보'!$C$7,5,IF(INT(E89)&gt;='3월 등급 정보'!$C$8,6,IF(INT(E89)&gt;='3월 등급 정보'!$C$9,7,IF(INT(E89)&gt;='3월 등급 정보'!$C$10,8,IF(INT(E89)&gt;='3월 등급 정보'!$C$11,9)))))))))</f>
        <v>4</v>
      </c>
      <c r="I89" s="34">
        <v>55</v>
      </c>
      <c r="J89" s="33"/>
      <c r="K89" s="33"/>
      <c r="L89" s="33">
        <f>IF(INT(I89)&gt;='3월 등급 정보'!$D$3,1,IF(INT(I89)&gt;='3월 등급 정보'!$D$4,2,IF(INT(I89)&gt;='3월 등급 정보'!$D$5,3,IF(INT(I89)&gt;='3월 등급 정보'!$D$6,4,IF(INT(I89)&gt;='3월 등급 정보'!$D$7,5,IF(INT(I89)&gt;='3월 등급 정보'!$D$8,6,IF(INT(I89)&gt;='3월 등급 정보'!$D$9,7,IF(INT(I89)&gt;='3월 등급 정보'!$D$10,8,IF(INT(I89)&gt;='3월 등급 정보'!$D$11,9)))))))))</f>
        <v>4</v>
      </c>
      <c r="M89" s="34">
        <v>61</v>
      </c>
      <c r="N89" s="33"/>
      <c r="O89" s="33"/>
      <c r="P89" s="33">
        <f>IF(INT(M89)&gt;='3월 등급 정보'!$E$3,1,IF(INT(M89)&gt;='3월 등급 정보'!$E$4,2,IF(INT(M89)&gt;='3월 등급 정보'!$E$5,3,IF(INT(M89)&gt;='3월 등급 정보'!$E$6,4,IF(INT(M89)&gt;='3월 등급 정보'!$E$7,5,IF(INT(M89)&gt;='3월 등급 정보'!$E$8,6,IF(INT(M89)&gt;='3월 등급 정보'!$E$9,7,IF(INT(M89)&gt;='3월 등급 정보'!$E$10,8,IF(INT(M89)&gt;='3월 등급 정보'!$E$11,9)))))))))</f>
        <v>4</v>
      </c>
      <c r="Q89" s="34">
        <v>35.5</v>
      </c>
      <c r="R89" s="33"/>
      <c r="S89" s="33"/>
      <c r="T89" s="33">
        <f>IF(INT(Q89)&gt;='3월 등급 정보'!$F$3,1,IF(INT(Q89)&gt;='3월 등급 정보'!$F$4,2,IF(INT(Q89)&gt;='3월 등급 정보'!$F$5,3,IF(INT(Q89)&gt;='3월 등급 정보'!$F$6,4,IF(INT(Q89)&gt;='3월 등급 정보'!$F$7,5,IF(INT(Q89)&gt;='3월 등급 정보'!$F$8,6,IF(INT(Q89)&gt;='3월 등급 정보'!$F$9,7,IF(INT(Q89)&gt;='3월 등급 정보'!$F$10,8,IF(INT(Q89)&gt;='3월 등급 정보'!$F$11,9)))))))))</f>
        <v>4</v>
      </c>
      <c r="U89" s="34">
        <v>39.5</v>
      </c>
      <c r="V89" s="33"/>
      <c r="W89" s="33"/>
      <c r="X89" s="33">
        <f>IF(INT(U89)&gt;='3월 등급 정보'!$G$3,1,IF(INT(U89)&gt;='3월 등급 정보'!$G$4,2,IF(INT(U89)&gt;='3월 등급 정보'!$G$5,3,IF(INT(U89)&gt;='3월 등급 정보'!$G$6,4,IF(INT(U89)&gt;='3월 등급 정보'!$G$7,5,IF(INT(U89)&gt;='3월 등급 정보'!$G$8,6,IF(INT(U89)&gt;='3월 등급 정보'!$G$9,7,IF(INT(U89)&gt;='3월 등급 정보'!$G$10,8,IF(INT(U89)&gt;='3월 등급 정보'!$G$11,9)))))))))</f>
        <v>2</v>
      </c>
      <c r="Y89" s="34">
        <v>45</v>
      </c>
      <c r="Z89" s="33"/>
      <c r="AA89" s="33"/>
      <c r="AB89" s="33">
        <f>IF(INT(Y89)&gt;='3월 등급 정보'!$H$3,1,IF(INT(Y89)&gt;='3월 등급 정보'!$H$4,2,IF(INT(Y89)&gt;='3월 등급 정보'!$H$5,3,IF(INT(Y89)&gt;='3월 등급 정보'!$H$6,4,IF(INT(Y89)&gt;='3월 등급 정보'!$H$7,5,IF(INT(Y89)&gt;='3월 등급 정보'!$H$8,6,IF(INT(Y89)&gt;='3월 등급 정보'!$H$9,7,IF(INT(Y89)&gt;='3월 등급 정보'!$H$10,8,IF(INT(Y89)&gt;='3월 등급 정보'!$H$11,9)))))))))</f>
        <v>1</v>
      </c>
      <c r="AC89" s="33">
        <f>E89+I89+M89+Q89+U89</f>
        <v>257</v>
      </c>
      <c r="AD89" s="33">
        <f>RANK(AC89,$AC$3:$AC$273)</f>
        <v>86</v>
      </c>
    </row>
    <row r="90" spans="1:30" ht="17.25" customHeight="1">
      <c r="A90" s="33" t="s">
        <v>26</v>
      </c>
      <c r="B90" s="34">
        <v>7</v>
      </c>
      <c r="C90" s="34">
        <v>13</v>
      </c>
      <c r="D90" s="34" t="s">
        <v>199</v>
      </c>
      <c r="E90" s="34">
        <v>65</v>
      </c>
      <c r="F90" s="33"/>
      <c r="G90" s="33"/>
      <c r="H90" s="33">
        <f>IF(INT(E90)&gt;='3월 등급 정보'!$C$3,1,IF(INT(E90)&gt;='3월 등급 정보'!$C$4,2,IF(INT(E90)&gt;='3월 등급 정보'!$C$5,3,IF(INT(E90)&gt;='3월 등급 정보'!$C$6,4,IF(INT(E90)&gt;='3월 등급 정보'!$C$7,5,IF(INT(E90)&gt;='3월 등급 정보'!$C$8,6,IF(INT(E90)&gt;='3월 등급 정보'!$C$9,7,IF(INT(E90)&gt;='3월 등급 정보'!$C$10,8,IF(INT(E90)&gt;='3월 등급 정보'!$C$11,9)))))))))</f>
        <v>4</v>
      </c>
      <c r="I90" s="34">
        <v>62</v>
      </c>
      <c r="J90" s="33"/>
      <c r="K90" s="33"/>
      <c r="L90" s="33">
        <f>IF(INT(I90)&gt;='3월 등급 정보'!$D$3,1,IF(INT(I90)&gt;='3월 등급 정보'!$D$4,2,IF(INT(I90)&gt;='3월 등급 정보'!$D$5,3,IF(INT(I90)&gt;='3월 등급 정보'!$D$6,4,IF(INT(I90)&gt;='3월 등급 정보'!$D$7,5,IF(INT(I90)&gt;='3월 등급 정보'!$D$8,6,IF(INT(I90)&gt;='3월 등급 정보'!$D$9,7,IF(INT(I90)&gt;='3월 등급 정보'!$D$10,8,IF(INT(I90)&gt;='3월 등급 정보'!$D$11,9)))))))))</f>
        <v>3</v>
      </c>
      <c r="M90" s="34">
        <v>56</v>
      </c>
      <c r="N90" s="33"/>
      <c r="O90" s="33"/>
      <c r="P90" s="33">
        <f>IF(INT(M90)&gt;='3월 등급 정보'!$E$3,1,IF(INT(M90)&gt;='3월 등급 정보'!$E$4,2,IF(INT(M90)&gt;='3월 등급 정보'!$E$5,3,IF(INT(M90)&gt;='3월 등급 정보'!$E$6,4,IF(INT(M90)&gt;='3월 등급 정보'!$E$7,5,IF(INT(M90)&gt;='3월 등급 정보'!$E$8,6,IF(INT(M90)&gt;='3월 등급 정보'!$E$9,7,IF(INT(M90)&gt;='3월 등급 정보'!$E$10,8,IF(INT(M90)&gt;='3월 등급 정보'!$E$11,9)))))))))</f>
        <v>5</v>
      </c>
      <c r="Q90" s="34">
        <v>42</v>
      </c>
      <c r="R90" s="33"/>
      <c r="S90" s="33"/>
      <c r="T90" s="33">
        <f>IF(INT(Q90)&gt;='3월 등급 정보'!$F$3,1,IF(INT(Q90)&gt;='3월 등급 정보'!$F$4,2,IF(INT(Q90)&gt;='3월 등급 정보'!$F$5,3,IF(INT(Q90)&gt;='3월 등급 정보'!$F$6,4,IF(INT(Q90)&gt;='3월 등급 정보'!$F$7,5,IF(INT(Q90)&gt;='3월 등급 정보'!$F$8,6,IF(INT(Q90)&gt;='3월 등급 정보'!$F$9,7,IF(INT(Q90)&gt;='3월 등급 정보'!$F$10,8,IF(INT(Q90)&gt;='3월 등급 정보'!$F$11,9)))))))))</f>
        <v>3</v>
      </c>
      <c r="U90" s="34">
        <v>32</v>
      </c>
      <c r="V90" s="33"/>
      <c r="W90" s="33"/>
      <c r="X90" s="33">
        <f>IF(INT(U90)&gt;='3월 등급 정보'!$G$3,1,IF(INT(U90)&gt;='3월 등급 정보'!$G$4,2,IF(INT(U90)&gt;='3월 등급 정보'!$G$5,3,IF(INT(U90)&gt;='3월 등급 정보'!$G$6,4,IF(INT(U90)&gt;='3월 등급 정보'!$G$7,5,IF(INT(U90)&gt;='3월 등급 정보'!$G$8,6,IF(INT(U90)&gt;='3월 등급 정보'!$G$9,7,IF(INT(U90)&gt;='3월 등급 정보'!$G$10,8,IF(INT(U90)&gt;='3월 등급 정보'!$G$11,9)))))))))</f>
        <v>3</v>
      </c>
      <c r="Y90" s="34">
        <v>17</v>
      </c>
      <c r="Z90" s="33"/>
      <c r="AA90" s="33"/>
      <c r="AB90" s="33">
        <f>IF(INT(Y90)&gt;='3월 등급 정보'!$H$3,1,IF(INT(Y90)&gt;='3월 등급 정보'!$H$4,2,IF(INT(Y90)&gt;='3월 등급 정보'!$H$5,3,IF(INT(Y90)&gt;='3월 등급 정보'!$H$6,4,IF(INT(Y90)&gt;='3월 등급 정보'!$H$7,5,IF(INT(Y90)&gt;='3월 등급 정보'!$H$8,6,IF(INT(Y90)&gt;='3월 등급 정보'!$H$9,7,IF(INT(Y90)&gt;='3월 등급 정보'!$H$10,8,IF(INT(Y90)&gt;='3월 등급 정보'!$H$11,9)))))))))</f>
        <v>6</v>
      </c>
      <c r="AC90" s="33">
        <f>E90+I90+M90+Q90+U90</f>
        <v>257</v>
      </c>
      <c r="AD90" s="33">
        <f>RANK(AC90,$AC$3:$AC$273)</f>
        <v>86</v>
      </c>
    </row>
    <row r="91" spans="1:30" ht="17.25" customHeight="1">
      <c r="A91" s="33" t="s">
        <v>26</v>
      </c>
      <c r="B91" s="34">
        <v>9</v>
      </c>
      <c r="C91" s="34">
        <v>21</v>
      </c>
      <c r="D91" s="34" t="s">
        <v>258</v>
      </c>
      <c r="E91" s="34">
        <v>62</v>
      </c>
      <c r="F91" s="33"/>
      <c r="G91" s="33"/>
      <c r="H91" s="33">
        <f>IF(INT(E91)&gt;='3월 등급 정보'!$C$3,1,IF(INT(E91)&gt;='3월 등급 정보'!$C$4,2,IF(INT(E91)&gt;='3월 등급 정보'!$C$5,3,IF(INT(E91)&gt;='3월 등급 정보'!$C$6,4,IF(INT(E91)&gt;='3월 등급 정보'!$C$7,5,IF(INT(E91)&gt;='3월 등급 정보'!$C$8,6,IF(INT(E91)&gt;='3월 등급 정보'!$C$9,7,IF(INT(E91)&gt;='3월 등급 정보'!$C$10,8,IF(INT(E91)&gt;='3월 등급 정보'!$C$11,9)))))))))</f>
        <v>4</v>
      </c>
      <c r="I91" s="34">
        <v>61</v>
      </c>
      <c r="J91" s="33"/>
      <c r="K91" s="33"/>
      <c r="L91" s="33">
        <f>IF(INT(I91)&gt;='3월 등급 정보'!$D$3,1,IF(INT(I91)&gt;='3월 등급 정보'!$D$4,2,IF(INT(I91)&gt;='3월 등급 정보'!$D$5,3,IF(INT(I91)&gt;='3월 등급 정보'!$D$6,4,IF(INT(I91)&gt;='3월 등급 정보'!$D$7,5,IF(INT(I91)&gt;='3월 등급 정보'!$D$8,6,IF(INT(I91)&gt;='3월 등급 정보'!$D$9,7,IF(INT(I91)&gt;='3월 등급 정보'!$D$10,8,IF(INT(I91)&gt;='3월 등급 정보'!$D$11,9)))))))))</f>
        <v>3</v>
      </c>
      <c r="M91" s="34">
        <v>65</v>
      </c>
      <c r="N91" s="33"/>
      <c r="O91" s="33"/>
      <c r="P91" s="33">
        <f>IF(INT(M91)&gt;='3월 등급 정보'!$E$3,1,IF(INT(M91)&gt;='3월 등급 정보'!$E$4,2,IF(INT(M91)&gt;='3월 등급 정보'!$E$5,3,IF(INT(M91)&gt;='3월 등급 정보'!$E$6,4,IF(INT(M91)&gt;='3월 등급 정보'!$E$7,5,IF(INT(M91)&gt;='3월 등급 정보'!$E$8,6,IF(INT(M91)&gt;='3월 등급 정보'!$E$9,7,IF(INT(M91)&gt;='3월 등급 정보'!$E$10,8,IF(INT(M91)&gt;='3월 등급 정보'!$E$11,9)))))))))</f>
        <v>4</v>
      </c>
      <c r="Q91" s="34">
        <v>34</v>
      </c>
      <c r="R91" s="33"/>
      <c r="S91" s="33"/>
      <c r="T91" s="33">
        <f>IF(INT(Q91)&gt;='3월 등급 정보'!$F$3,1,IF(INT(Q91)&gt;='3월 등급 정보'!$F$4,2,IF(INT(Q91)&gt;='3월 등급 정보'!$F$5,3,IF(INT(Q91)&gt;='3월 등급 정보'!$F$6,4,IF(INT(Q91)&gt;='3월 등급 정보'!$F$7,5,IF(INT(Q91)&gt;='3월 등급 정보'!$F$8,6,IF(INT(Q91)&gt;='3월 등급 정보'!$F$9,7,IF(INT(Q91)&gt;='3월 등급 정보'!$F$10,8,IF(INT(Q91)&gt;='3월 등급 정보'!$F$11,9)))))))))</f>
        <v>4</v>
      </c>
      <c r="U91" s="34">
        <v>33</v>
      </c>
      <c r="V91" s="33"/>
      <c r="W91" s="33"/>
      <c r="X91" s="33">
        <f>IF(INT(U91)&gt;='3월 등급 정보'!$G$3,1,IF(INT(U91)&gt;='3월 등급 정보'!$G$4,2,IF(INT(U91)&gt;='3월 등급 정보'!$G$5,3,IF(INT(U91)&gt;='3월 등급 정보'!$G$6,4,IF(INT(U91)&gt;='3월 등급 정보'!$G$7,5,IF(INT(U91)&gt;='3월 등급 정보'!$G$8,6,IF(INT(U91)&gt;='3월 등급 정보'!$G$9,7,IF(INT(U91)&gt;='3월 등급 정보'!$G$10,8,IF(INT(U91)&gt;='3월 등급 정보'!$G$11,9)))))))))</f>
        <v>3</v>
      </c>
      <c r="Y91" s="34">
        <v>26</v>
      </c>
      <c r="Z91" s="33"/>
      <c r="AA91" s="33"/>
      <c r="AB91" s="33">
        <f>IF(INT(Y91)&gt;='3월 등급 정보'!$H$3,1,IF(INT(Y91)&gt;='3월 등급 정보'!$H$4,2,IF(INT(Y91)&gt;='3월 등급 정보'!$H$5,3,IF(INT(Y91)&gt;='3월 등급 정보'!$H$6,4,IF(INT(Y91)&gt;='3월 등급 정보'!$H$7,5,IF(INT(Y91)&gt;='3월 등급 정보'!$H$8,6,IF(INT(Y91)&gt;='3월 등급 정보'!$H$9,7,IF(INT(Y91)&gt;='3월 등급 정보'!$H$10,8,IF(INT(Y91)&gt;='3월 등급 정보'!$H$11,9)))))))))</f>
        <v>4</v>
      </c>
      <c r="AC91" s="33">
        <f>E91+I91+M91+Q91+U91</f>
        <v>255</v>
      </c>
      <c r="AD91" s="33">
        <f>RANK(AC91,$AC$3:$AC$273)</f>
        <v>89</v>
      </c>
    </row>
    <row r="92" spans="1:30" ht="17.25" customHeight="1">
      <c r="A92" s="33" t="s">
        <v>26</v>
      </c>
      <c r="B92" s="34">
        <v>1</v>
      </c>
      <c r="C92" s="34">
        <v>9</v>
      </c>
      <c r="D92" s="34" t="s">
        <v>36</v>
      </c>
      <c r="E92" s="34">
        <v>53</v>
      </c>
      <c r="F92" s="33"/>
      <c r="G92" s="33"/>
      <c r="H92" s="33">
        <f>IF(INT(E92)&gt;='3월 등급 정보'!$C$3,1,IF(INT(E92)&gt;='3월 등급 정보'!$C$4,2,IF(INT(E92)&gt;='3월 등급 정보'!$C$5,3,IF(INT(E92)&gt;='3월 등급 정보'!$C$6,4,IF(INT(E92)&gt;='3월 등급 정보'!$C$7,5,IF(INT(E92)&gt;='3월 등급 정보'!$C$8,6,IF(INT(E92)&gt;='3월 등급 정보'!$C$9,7,IF(INT(E92)&gt;='3월 등급 정보'!$C$10,8,IF(INT(E92)&gt;='3월 등급 정보'!$C$11,9)))))))))</f>
        <v>5</v>
      </c>
      <c r="I92" s="34">
        <v>66</v>
      </c>
      <c r="J92" s="33"/>
      <c r="K92" s="33"/>
      <c r="L92" s="33">
        <f>IF(INT(I92)&gt;='3월 등급 정보'!$D$3,1,IF(INT(I92)&gt;='3월 등급 정보'!$D$4,2,IF(INT(I92)&gt;='3월 등급 정보'!$D$5,3,IF(INT(I92)&gt;='3월 등급 정보'!$D$6,4,IF(INT(I92)&gt;='3월 등급 정보'!$D$7,5,IF(INT(I92)&gt;='3월 등급 정보'!$D$8,6,IF(INT(I92)&gt;='3월 등급 정보'!$D$9,7,IF(INT(I92)&gt;='3월 등급 정보'!$D$10,8,IF(INT(I92)&gt;='3월 등급 정보'!$D$11,9)))))))))</f>
        <v>3</v>
      </c>
      <c r="M92" s="34">
        <v>53</v>
      </c>
      <c r="N92" s="33"/>
      <c r="O92" s="33"/>
      <c r="P92" s="33">
        <f>IF(INT(M92)&gt;='3월 등급 정보'!$E$3,1,IF(INT(M92)&gt;='3월 등급 정보'!$E$4,2,IF(INT(M92)&gt;='3월 등급 정보'!$E$5,3,IF(INT(M92)&gt;='3월 등급 정보'!$E$6,4,IF(INT(M92)&gt;='3월 등급 정보'!$E$7,5,IF(INT(M92)&gt;='3월 등급 정보'!$E$8,6,IF(INT(M92)&gt;='3월 등급 정보'!$E$9,7,IF(INT(M92)&gt;='3월 등급 정보'!$E$10,8,IF(INT(M92)&gt;='3월 등급 정보'!$E$11,9)))))))))</f>
        <v>5</v>
      </c>
      <c r="Q92" s="34">
        <v>45.5</v>
      </c>
      <c r="R92" s="33"/>
      <c r="S92" s="33"/>
      <c r="T92" s="33">
        <f>IF(INT(Q92)&gt;='3월 등급 정보'!$F$3,1,IF(INT(Q92)&gt;='3월 등급 정보'!$F$4,2,IF(INT(Q92)&gt;='3월 등급 정보'!$F$5,3,IF(INT(Q92)&gt;='3월 등급 정보'!$F$6,4,IF(INT(Q92)&gt;='3월 등급 정보'!$F$7,5,IF(INT(Q92)&gt;='3월 등급 정보'!$F$8,6,IF(INT(Q92)&gt;='3월 등급 정보'!$F$9,7,IF(INT(Q92)&gt;='3월 등급 정보'!$F$10,8,IF(INT(Q92)&gt;='3월 등급 정보'!$F$11,9)))))))))</f>
        <v>2</v>
      </c>
      <c r="U92" s="34">
        <v>35.5</v>
      </c>
      <c r="V92" s="33"/>
      <c r="W92" s="33"/>
      <c r="X92" s="33">
        <f>IF(INT(U92)&gt;='3월 등급 정보'!$G$3,1,IF(INT(U92)&gt;='3월 등급 정보'!$G$4,2,IF(INT(U92)&gt;='3월 등급 정보'!$G$5,3,IF(INT(U92)&gt;='3월 등급 정보'!$G$6,4,IF(INT(U92)&gt;='3월 등급 정보'!$G$7,5,IF(INT(U92)&gt;='3월 등급 정보'!$G$8,6,IF(INT(U92)&gt;='3월 등급 정보'!$G$9,7,IF(INT(U92)&gt;='3월 등급 정보'!$G$10,8,IF(INT(U92)&gt;='3월 등급 정보'!$G$11,9)))))))))</f>
        <v>3</v>
      </c>
      <c r="Y92" s="34">
        <v>37</v>
      </c>
      <c r="Z92" s="33"/>
      <c r="AA92" s="33"/>
      <c r="AB92" s="33">
        <f>IF(INT(Y92)&gt;='3월 등급 정보'!$H$3,1,IF(INT(Y92)&gt;='3월 등급 정보'!$H$4,2,IF(INT(Y92)&gt;='3월 등급 정보'!$H$5,3,IF(INT(Y92)&gt;='3월 등급 정보'!$H$6,4,IF(INT(Y92)&gt;='3월 등급 정보'!$H$7,5,IF(INT(Y92)&gt;='3월 등급 정보'!$H$8,6,IF(INT(Y92)&gt;='3월 등급 정보'!$H$9,7,IF(INT(Y92)&gt;='3월 등급 정보'!$H$10,8,IF(INT(Y92)&gt;='3월 등급 정보'!$H$11,9)))))))))</f>
        <v>2</v>
      </c>
      <c r="AC92" s="33">
        <f>E92+I92+M92+Q92+U92</f>
        <v>253</v>
      </c>
      <c r="AD92" s="33">
        <f>RANK(AC92,$AC$3:$AC$273)</f>
        <v>90</v>
      </c>
    </row>
    <row r="93" spans="1:30" ht="17.25" customHeight="1">
      <c r="A93" s="33" t="s">
        <v>26</v>
      </c>
      <c r="B93" s="34">
        <v>2</v>
      </c>
      <c r="C93" s="34">
        <v>2</v>
      </c>
      <c r="D93" s="34" t="s">
        <v>55</v>
      </c>
      <c r="E93" s="34">
        <v>44</v>
      </c>
      <c r="F93" s="33"/>
      <c r="G93" s="33"/>
      <c r="H93" s="33">
        <f>IF(INT(E93)&gt;='3월 등급 정보'!$C$3,1,IF(INT(E93)&gt;='3월 등급 정보'!$C$4,2,IF(INT(E93)&gt;='3월 등급 정보'!$C$5,3,IF(INT(E93)&gt;='3월 등급 정보'!$C$6,4,IF(INT(E93)&gt;='3월 등급 정보'!$C$7,5,IF(INT(E93)&gt;='3월 등급 정보'!$C$8,6,IF(INT(E93)&gt;='3월 등급 정보'!$C$9,7,IF(INT(E93)&gt;='3월 등급 정보'!$C$10,8,IF(INT(E93)&gt;='3월 등급 정보'!$C$11,9)))))))))</f>
        <v>6</v>
      </c>
      <c r="I93" s="34">
        <v>76</v>
      </c>
      <c r="J93" s="33"/>
      <c r="K93" s="33"/>
      <c r="L93" s="33">
        <f>IF(INT(I93)&gt;='3월 등급 정보'!$D$3,1,IF(INT(I93)&gt;='3월 등급 정보'!$D$4,2,IF(INT(I93)&gt;='3월 등급 정보'!$D$5,3,IF(INT(I93)&gt;='3월 등급 정보'!$D$6,4,IF(INT(I93)&gt;='3월 등급 정보'!$D$7,5,IF(INT(I93)&gt;='3월 등급 정보'!$D$8,6,IF(INT(I93)&gt;='3월 등급 정보'!$D$9,7,IF(INT(I93)&gt;='3월 등급 정보'!$D$10,8,IF(INT(I93)&gt;='3월 등급 정보'!$D$11,9)))))))))</f>
        <v>2</v>
      </c>
      <c r="M93" s="34">
        <v>60</v>
      </c>
      <c r="N93" s="33"/>
      <c r="O93" s="33"/>
      <c r="P93" s="33">
        <f>IF(INT(M93)&gt;='3월 등급 정보'!$E$3,1,IF(INT(M93)&gt;='3월 등급 정보'!$E$4,2,IF(INT(M93)&gt;='3월 등급 정보'!$E$5,3,IF(INT(M93)&gt;='3월 등급 정보'!$E$6,4,IF(INT(M93)&gt;='3월 등급 정보'!$E$7,5,IF(INT(M93)&gt;='3월 등급 정보'!$E$8,6,IF(INT(M93)&gt;='3월 등급 정보'!$E$9,7,IF(INT(M93)&gt;='3월 등급 정보'!$E$10,8,IF(INT(M93)&gt;='3월 등급 정보'!$E$11,9)))))))))</f>
        <v>4</v>
      </c>
      <c r="Q93" s="34">
        <v>37</v>
      </c>
      <c r="R93" s="33"/>
      <c r="S93" s="33"/>
      <c r="T93" s="33">
        <f>IF(INT(Q93)&gt;='3월 등급 정보'!$F$3,1,IF(INT(Q93)&gt;='3월 등급 정보'!$F$4,2,IF(INT(Q93)&gt;='3월 등급 정보'!$F$5,3,IF(INT(Q93)&gt;='3월 등급 정보'!$F$6,4,IF(INT(Q93)&gt;='3월 등급 정보'!$F$7,5,IF(INT(Q93)&gt;='3월 등급 정보'!$F$8,6,IF(INT(Q93)&gt;='3월 등급 정보'!$F$9,7,IF(INT(Q93)&gt;='3월 등급 정보'!$F$10,8,IF(INT(Q93)&gt;='3월 등급 정보'!$F$11,9)))))))))</f>
        <v>4</v>
      </c>
      <c r="U93" s="34">
        <v>35</v>
      </c>
      <c r="V93" s="33"/>
      <c r="W93" s="33"/>
      <c r="X93" s="33">
        <f>IF(INT(U93)&gt;='3월 등급 정보'!$G$3,1,IF(INT(U93)&gt;='3월 등급 정보'!$G$4,2,IF(INT(U93)&gt;='3월 등급 정보'!$G$5,3,IF(INT(U93)&gt;='3월 등급 정보'!$G$6,4,IF(INT(U93)&gt;='3월 등급 정보'!$G$7,5,IF(INT(U93)&gt;='3월 등급 정보'!$G$8,6,IF(INT(U93)&gt;='3월 등급 정보'!$G$9,7,IF(INT(U93)&gt;='3월 등급 정보'!$G$10,8,IF(INT(U93)&gt;='3월 등급 정보'!$G$11,9)))))))))</f>
        <v>3</v>
      </c>
      <c r="Y93" s="34">
        <v>35</v>
      </c>
      <c r="Z93" s="33"/>
      <c r="AA93" s="33"/>
      <c r="AB93" s="33">
        <f>IF(INT(Y93)&gt;='3월 등급 정보'!$H$3,1,IF(INT(Y93)&gt;='3월 등급 정보'!$H$4,2,IF(INT(Y93)&gt;='3월 등급 정보'!$H$5,3,IF(INT(Y93)&gt;='3월 등급 정보'!$H$6,4,IF(INT(Y93)&gt;='3월 등급 정보'!$H$7,5,IF(INT(Y93)&gt;='3월 등급 정보'!$H$8,6,IF(INT(Y93)&gt;='3월 등급 정보'!$H$9,7,IF(INT(Y93)&gt;='3월 등급 정보'!$H$10,8,IF(INT(Y93)&gt;='3월 등급 정보'!$H$11,9)))))))))</f>
        <v>2</v>
      </c>
      <c r="AC93" s="33">
        <f>E93+I93+M93+Q93+U93</f>
        <v>252</v>
      </c>
      <c r="AD93" s="33">
        <f>RANK(AC93,$AC$3:$AC$273)</f>
        <v>91</v>
      </c>
    </row>
    <row r="94" spans="1:30" ht="17.25" customHeight="1">
      <c r="A94" s="33" t="s">
        <v>26</v>
      </c>
      <c r="B94" s="34">
        <v>7</v>
      </c>
      <c r="C94" s="34">
        <v>14</v>
      </c>
      <c r="D94" s="34" t="s">
        <v>200</v>
      </c>
      <c r="E94" s="34">
        <v>69</v>
      </c>
      <c r="F94" s="33"/>
      <c r="G94" s="33"/>
      <c r="H94" s="33">
        <f>IF(INT(E94)&gt;='3월 등급 정보'!$C$3,1,IF(INT(E94)&gt;='3월 등급 정보'!$C$4,2,IF(INT(E94)&gt;='3월 등급 정보'!$C$5,3,IF(INT(E94)&gt;='3월 등급 정보'!$C$6,4,IF(INT(E94)&gt;='3월 등급 정보'!$C$7,5,IF(INT(E94)&gt;='3월 등급 정보'!$C$8,6,IF(INT(E94)&gt;='3월 등급 정보'!$C$9,7,IF(INT(E94)&gt;='3월 등급 정보'!$C$10,8,IF(INT(E94)&gt;='3월 등급 정보'!$C$11,9)))))))))</f>
        <v>4</v>
      </c>
      <c r="I94" s="34">
        <v>52</v>
      </c>
      <c r="J94" s="33"/>
      <c r="K94" s="33"/>
      <c r="L94" s="33">
        <f>IF(INT(I94)&gt;='3월 등급 정보'!$D$3,1,IF(INT(I94)&gt;='3월 등급 정보'!$D$4,2,IF(INT(I94)&gt;='3월 등급 정보'!$D$5,3,IF(INT(I94)&gt;='3월 등급 정보'!$D$6,4,IF(INT(I94)&gt;='3월 등급 정보'!$D$7,5,IF(INT(I94)&gt;='3월 등급 정보'!$D$8,6,IF(INT(I94)&gt;='3월 등급 정보'!$D$9,7,IF(INT(I94)&gt;='3월 등급 정보'!$D$10,8,IF(INT(I94)&gt;='3월 등급 정보'!$D$11,9)))))))))</f>
        <v>4</v>
      </c>
      <c r="M94" s="34">
        <v>59</v>
      </c>
      <c r="N94" s="33"/>
      <c r="O94" s="33"/>
      <c r="P94" s="33">
        <f>IF(INT(M94)&gt;='3월 등급 정보'!$E$3,1,IF(INT(M94)&gt;='3월 등급 정보'!$E$4,2,IF(INT(M94)&gt;='3월 등급 정보'!$E$5,3,IF(INT(M94)&gt;='3월 등급 정보'!$E$6,4,IF(INT(M94)&gt;='3월 등급 정보'!$E$7,5,IF(INT(M94)&gt;='3월 등급 정보'!$E$8,6,IF(INT(M94)&gt;='3월 등급 정보'!$E$9,7,IF(INT(M94)&gt;='3월 등급 정보'!$E$10,8,IF(INT(M94)&gt;='3월 등급 정보'!$E$11,9)))))))))</f>
        <v>5</v>
      </c>
      <c r="Q94" s="34">
        <v>39</v>
      </c>
      <c r="R94" s="33"/>
      <c r="S94" s="33"/>
      <c r="T94" s="33">
        <f>IF(INT(Q94)&gt;='3월 등급 정보'!$F$3,1,IF(INT(Q94)&gt;='3월 등급 정보'!$F$4,2,IF(INT(Q94)&gt;='3월 등급 정보'!$F$5,3,IF(INT(Q94)&gt;='3월 등급 정보'!$F$6,4,IF(INT(Q94)&gt;='3월 등급 정보'!$F$7,5,IF(INT(Q94)&gt;='3월 등급 정보'!$F$8,6,IF(INT(Q94)&gt;='3월 등급 정보'!$F$9,7,IF(INT(Q94)&gt;='3월 등급 정보'!$F$10,8,IF(INT(Q94)&gt;='3월 등급 정보'!$F$11,9)))))))))</f>
        <v>3</v>
      </c>
      <c r="U94" s="34">
        <v>33</v>
      </c>
      <c r="V94" s="33"/>
      <c r="W94" s="33"/>
      <c r="X94" s="33">
        <f>IF(INT(U94)&gt;='3월 등급 정보'!$G$3,1,IF(INT(U94)&gt;='3월 등급 정보'!$G$4,2,IF(INT(U94)&gt;='3월 등급 정보'!$G$5,3,IF(INT(U94)&gt;='3월 등급 정보'!$G$6,4,IF(INT(U94)&gt;='3월 등급 정보'!$G$7,5,IF(INT(U94)&gt;='3월 등급 정보'!$G$8,6,IF(INT(U94)&gt;='3월 등급 정보'!$G$9,7,IF(INT(U94)&gt;='3월 등급 정보'!$G$10,8,IF(INT(U94)&gt;='3월 등급 정보'!$G$11,9)))))))))</f>
        <v>3</v>
      </c>
      <c r="Y94" s="34">
        <v>24</v>
      </c>
      <c r="Z94" s="33"/>
      <c r="AA94" s="33"/>
      <c r="AB94" s="33">
        <f>IF(INT(Y94)&gt;='3월 등급 정보'!$H$3,1,IF(INT(Y94)&gt;='3월 등급 정보'!$H$4,2,IF(INT(Y94)&gt;='3월 등급 정보'!$H$5,3,IF(INT(Y94)&gt;='3월 등급 정보'!$H$6,4,IF(INT(Y94)&gt;='3월 등급 정보'!$H$7,5,IF(INT(Y94)&gt;='3월 등급 정보'!$H$8,6,IF(INT(Y94)&gt;='3월 등급 정보'!$H$9,7,IF(INT(Y94)&gt;='3월 등급 정보'!$H$10,8,IF(INT(Y94)&gt;='3월 등급 정보'!$H$11,9)))))))))</f>
        <v>5</v>
      </c>
      <c r="AC94" s="33">
        <f>E94+I94+M94+Q94+U94</f>
        <v>252</v>
      </c>
      <c r="AD94" s="33">
        <f>RANK(AC94,$AC$3:$AC$273)</f>
        <v>91</v>
      </c>
    </row>
    <row r="95" spans="1:30" ht="17.25" customHeight="1">
      <c r="A95" s="33" t="s">
        <v>26</v>
      </c>
      <c r="B95" s="34">
        <v>2</v>
      </c>
      <c r="C95" s="34">
        <v>26</v>
      </c>
      <c r="D95" s="34" t="s">
        <v>77</v>
      </c>
      <c r="E95" s="34">
        <v>64</v>
      </c>
      <c r="F95" s="33"/>
      <c r="G95" s="33"/>
      <c r="H95" s="33">
        <f>IF(INT(E95)&gt;='3월 등급 정보'!$C$3,1,IF(INT(E95)&gt;='3월 등급 정보'!$C$4,2,IF(INT(E95)&gt;='3월 등급 정보'!$C$5,3,IF(INT(E95)&gt;='3월 등급 정보'!$C$6,4,IF(INT(E95)&gt;='3월 등급 정보'!$C$7,5,IF(INT(E95)&gt;='3월 등급 정보'!$C$8,6,IF(INT(E95)&gt;='3월 등급 정보'!$C$9,7,IF(INT(E95)&gt;='3월 등급 정보'!$C$10,8,IF(INT(E95)&gt;='3월 등급 정보'!$C$11,9)))))))))</f>
        <v>4</v>
      </c>
      <c r="I95" s="34">
        <v>65</v>
      </c>
      <c r="J95" s="33"/>
      <c r="K95" s="33"/>
      <c r="L95" s="33">
        <f>IF(INT(I95)&gt;='3월 등급 정보'!$D$3,1,IF(INT(I95)&gt;='3월 등급 정보'!$D$4,2,IF(INT(I95)&gt;='3월 등급 정보'!$D$5,3,IF(INT(I95)&gt;='3월 등급 정보'!$D$6,4,IF(INT(I95)&gt;='3월 등급 정보'!$D$7,5,IF(INT(I95)&gt;='3월 등급 정보'!$D$8,6,IF(INT(I95)&gt;='3월 등급 정보'!$D$9,7,IF(INT(I95)&gt;='3월 등급 정보'!$D$10,8,IF(INT(I95)&gt;='3월 등급 정보'!$D$11,9)))))))))</f>
        <v>3</v>
      </c>
      <c r="M95" s="34">
        <v>77</v>
      </c>
      <c r="N95" s="33"/>
      <c r="O95" s="33"/>
      <c r="P95" s="33">
        <f>IF(INT(M95)&gt;='3월 등급 정보'!$E$3,1,IF(INT(M95)&gt;='3월 등급 정보'!$E$4,2,IF(INT(M95)&gt;='3월 등급 정보'!$E$5,3,IF(INT(M95)&gt;='3월 등급 정보'!$E$6,4,IF(INT(M95)&gt;='3월 등급 정보'!$E$7,5,IF(INT(M95)&gt;='3월 등급 정보'!$E$8,6,IF(INT(M95)&gt;='3월 등급 정보'!$E$9,7,IF(INT(M95)&gt;='3월 등급 정보'!$E$10,8,IF(INT(M95)&gt;='3월 등급 정보'!$E$11,9)))))))))</f>
        <v>3</v>
      </c>
      <c r="Q95" s="34">
        <v>31</v>
      </c>
      <c r="R95" s="33"/>
      <c r="S95" s="33"/>
      <c r="T95" s="33">
        <f>IF(INT(Q95)&gt;='3월 등급 정보'!$F$3,1,IF(INT(Q95)&gt;='3월 등급 정보'!$F$4,2,IF(INT(Q95)&gt;='3월 등급 정보'!$F$5,3,IF(INT(Q95)&gt;='3월 등급 정보'!$F$6,4,IF(INT(Q95)&gt;='3월 등급 정보'!$F$7,5,IF(INT(Q95)&gt;='3월 등급 정보'!$F$8,6,IF(INT(Q95)&gt;='3월 등급 정보'!$F$9,7,IF(INT(Q95)&gt;='3월 등급 정보'!$F$10,8,IF(INT(Q95)&gt;='3월 등급 정보'!$F$11,9)))))))))</f>
        <v>5</v>
      </c>
      <c r="U95" s="34">
        <v>14</v>
      </c>
      <c r="V95" s="33"/>
      <c r="W95" s="33"/>
      <c r="X95" s="33">
        <f>IF(INT(U95)&gt;='3월 등급 정보'!$G$3,1,IF(INT(U95)&gt;='3월 등급 정보'!$G$4,2,IF(INT(U95)&gt;='3월 등급 정보'!$G$5,3,IF(INT(U95)&gt;='3월 등급 정보'!$G$6,4,IF(INT(U95)&gt;='3월 등급 정보'!$G$7,5,IF(INT(U95)&gt;='3월 등급 정보'!$G$8,6,IF(INT(U95)&gt;='3월 등급 정보'!$G$9,7,IF(INT(U95)&gt;='3월 등급 정보'!$G$10,8,IF(INT(U95)&gt;='3월 등급 정보'!$G$11,9)))))))))</f>
        <v>6</v>
      </c>
      <c r="Y95" s="34">
        <v>8</v>
      </c>
      <c r="Z95" s="33"/>
      <c r="AA95" s="33"/>
      <c r="AB95" s="33">
        <f>IF(INT(Y95)&gt;='3월 등급 정보'!$H$3,1,IF(INT(Y95)&gt;='3월 등급 정보'!$H$4,2,IF(INT(Y95)&gt;='3월 등급 정보'!$H$5,3,IF(INT(Y95)&gt;='3월 등급 정보'!$H$6,4,IF(INT(Y95)&gt;='3월 등급 정보'!$H$7,5,IF(INT(Y95)&gt;='3월 등급 정보'!$H$8,6,IF(INT(Y95)&gt;='3월 등급 정보'!$H$9,7,IF(INT(Y95)&gt;='3월 등급 정보'!$H$10,8,IF(INT(Y95)&gt;='3월 등급 정보'!$H$11,9)))))))))</f>
        <v>8</v>
      </c>
      <c r="AC95" s="33">
        <f>E95+I95+M95+Q95+U95</f>
        <v>251</v>
      </c>
      <c r="AD95" s="33">
        <f>RANK(AC95,$AC$3:$AC$273)</f>
        <v>93</v>
      </c>
    </row>
    <row r="96" spans="1:30" ht="17.25" customHeight="1">
      <c r="A96" s="33" t="s">
        <v>26</v>
      </c>
      <c r="B96" s="34">
        <v>9</v>
      </c>
      <c r="C96" s="34">
        <v>18</v>
      </c>
      <c r="D96" s="34" t="s">
        <v>255</v>
      </c>
      <c r="E96" s="34">
        <v>68</v>
      </c>
      <c r="F96" s="33"/>
      <c r="G96" s="33"/>
      <c r="H96" s="33">
        <f>IF(INT(E96)&gt;='3월 등급 정보'!$C$3,1,IF(INT(E96)&gt;='3월 등급 정보'!$C$4,2,IF(INT(E96)&gt;='3월 등급 정보'!$C$5,3,IF(INT(E96)&gt;='3월 등급 정보'!$C$6,4,IF(INT(E96)&gt;='3월 등급 정보'!$C$7,5,IF(INT(E96)&gt;='3월 등급 정보'!$C$8,6,IF(INT(E96)&gt;='3월 등급 정보'!$C$9,7,IF(INT(E96)&gt;='3월 등급 정보'!$C$10,8,IF(INT(E96)&gt;='3월 등급 정보'!$C$11,9)))))))))</f>
        <v>4</v>
      </c>
      <c r="I96" s="34">
        <v>43</v>
      </c>
      <c r="J96" s="33"/>
      <c r="K96" s="33"/>
      <c r="L96" s="33">
        <f>IF(INT(I96)&gt;='3월 등급 정보'!$D$3,1,IF(INT(I96)&gt;='3월 등급 정보'!$D$4,2,IF(INT(I96)&gt;='3월 등급 정보'!$D$5,3,IF(INT(I96)&gt;='3월 등급 정보'!$D$6,4,IF(INT(I96)&gt;='3월 등급 정보'!$D$7,5,IF(INT(I96)&gt;='3월 등급 정보'!$D$8,6,IF(INT(I96)&gt;='3월 등급 정보'!$D$9,7,IF(INT(I96)&gt;='3월 등급 정보'!$D$10,8,IF(INT(I96)&gt;='3월 등급 정보'!$D$11,9)))))))))</f>
        <v>5</v>
      </c>
      <c r="M96" s="34">
        <v>63</v>
      </c>
      <c r="N96" s="33"/>
      <c r="O96" s="33"/>
      <c r="P96" s="33">
        <f>IF(INT(M96)&gt;='3월 등급 정보'!$E$3,1,IF(INT(M96)&gt;='3월 등급 정보'!$E$4,2,IF(INT(M96)&gt;='3월 등급 정보'!$E$5,3,IF(INT(M96)&gt;='3월 등급 정보'!$E$6,4,IF(INT(M96)&gt;='3월 등급 정보'!$E$7,5,IF(INT(M96)&gt;='3월 등급 정보'!$E$8,6,IF(INT(M96)&gt;='3월 등급 정보'!$E$9,7,IF(INT(M96)&gt;='3월 등급 정보'!$E$10,8,IF(INT(M96)&gt;='3월 등급 정보'!$E$11,9)))))))))</f>
        <v>4</v>
      </c>
      <c r="Q96" s="34">
        <v>37.5</v>
      </c>
      <c r="R96" s="33"/>
      <c r="S96" s="33"/>
      <c r="T96" s="33">
        <f>IF(INT(Q96)&gt;='3월 등급 정보'!$F$3,1,IF(INT(Q96)&gt;='3월 등급 정보'!$F$4,2,IF(INT(Q96)&gt;='3월 등급 정보'!$F$5,3,IF(INT(Q96)&gt;='3월 등급 정보'!$F$6,4,IF(INT(Q96)&gt;='3월 등급 정보'!$F$7,5,IF(INT(Q96)&gt;='3월 등급 정보'!$F$8,6,IF(INT(Q96)&gt;='3월 등급 정보'!$F$9,7,IF(INT(Q96)&gt;='3월 등급 정보'!$F$10,8,IF(INT(Q96)&gt;='3월 등급 정보'!$F$11,9)))))))))</f>
        <v>4</v>
      </c>
      <c r="U96" s="34">
        <v>39.5</v>
      </c>
      <c r="V96" s="33"/>
      <c r="W96" s="33"/>
      <c r="X96" s="33">
        <f>IF(INT(U96)&gt;='3월 등급 정보'!$G$3,1,IF(INT(U96)&gt;='3월 등급 정보'!$G$4,2,IF(INT(U96)&gt;='3월 등급 정보'!$G$5,3,IF(INT(U96)&gt;='3월 등급 정보'!$G$6,4,IF(INT(U96)&gt;='3월 등급 정보'!$G$7,5,IF(INT(U96)&gt;='3월 등급 정보'!$G$8,6,IF(INT(U96)&gt;='3월 등급 정보'!$G$9,7,IF(INT(U96)&gt;='3월 등급 정보'!$G$10,8,IF(INT(U96)&gt;='3월 등급 정보'!$G$11,9)))))))))</f>
        <v>2</v>
      </c>
      <c r="Y96" s="34">
        <v>32</v>
      </c>
      <c r="Z96" s="33"/>
      <c r="AA96" s="33"/>
      <c r="AB96" s="33">
        <f>IF(INT(Y96)&gt;='3월 등급 정보'!$H$3,1,IF(INT(Y96)&gt;='3월 등급 정보'!$H$4,2,IF(INT(Y96)&gt;='3월 등급 정보'!$H$5,3,IF(INT(Y96)&gt;='3월 등급 정보'!$H$6,4,IF(INT(Y96)&gt;='3월 등급 정보'!$H$7,5,IF(INT(Y96)&gt;='3월 등급 정보'!$H$8,6,IF(INT(Y96)&gt;='3월 등급 정보'!$H$9,7,IF(INT(Y96)&gt;='3월 등급 정보'!$H$10,8,IF(INT(Y96)&gt;='3월 등급 정보'!$H$11,9)))))))))</f>
        <v>3</v>
      </c>
      <c r="AC96" s="33">
        <f>E96+I96+M96+Q96+U96</f>
        <v>251</v>
      </c>
      <c r="AD96" s="33">
        <f>RANK(AC96,$AC$3:$AC$273)</f>
        <v>93</v>
      </c>
    </row>
    <row r="97" spans="1:30" ht="17.25" customHeight="1">
      <c r="A97" s="33" t="s">
        <v>26</v>
      </c>
      <c r="B97" s="34">
        <v>3</v>
      </c>
      <c r="C97" s="34">
        <v>5</v>
      </c>
      <c r="D97" s="34" t="s">
        <v>84</v>
      </c>
      <c r="E97" s="34">
        <v>69</v>
      </c>
      <c r="F97" s="33"/>
      <c r="G97" s="33"/>
      <c r="H97" s="33">
        <f>IF(INT(E97)&gt;='3월 등급 정보'!$C$3,1,IF(INT(E97)&gt;='3월 등급 정보'!$C$4,2,IF(INT(E97)&gt;='3월 등급 정보'!$C$5,3,IF(INT(E97)&gt;='3월 등급 정보'!$C$6,4,IF(INT(E97)&gt;='3월 등급 정보'!$C$7,5,IF(INT(E97)&gt;='3월 등급 정보'!$C$8,6,IF(INT(E97)&gt;='3월 등급 정보'!$C$9,7,IF(INT(E97)&gt;='3월 등급 정보'!$C$10,8,IF(INT(E97)&gt;='3월 등급 정보'!$C$11,9)))))))))</f>
        <v>4</v>
      </c>
      <c r="I97" s="34">
        <v>57</v>
      </c>
      <c r="J97" s="33"/>
      <c r="K97" s="33"/>
      <c r="L97" s="33">
        <f>IF(INT(I97)&gt;='3월 등급 정보'!$D$3,1,IF(INT(I97)&gt;='3월 등급 정보'!$D$4,2,IF(INT(I97)&gt;='3월 등급 정보'!$D$5,3,IF(INT(I97)&gt;='3월 등급 정보'!$D$6,4,IF(INT(I97)&gt;='3월 등급 정보'!$D$7,5,IF(INT(I97)&gt;='3월 등급 정보'!$D$8,6,IF(INT(I97)&gt;='3월 등급 정보'!$D$9,7,IF(INT(I97)&gt;='3월 등급 정보'!$D$10,8,IF(INT(I97)&gt;='3월 등급 정보'!$D$11,9)))))))))</f>
        <v>4</v>
      </c>
      <c r="M97" s="34">
        <v>65</v>
      </c>
      <c r="N97" s="33"/>
      <c r="O97" s="33"/>
      <c r="P97" s="33">
        <f>IF(INT(M97)&gt;='3월 등급 정보'!$E$3,1,IF(INT(M97)&gt;='3월 등급 정보'!$E$4,2,IF(INT(M97)&gt;='3월 등급 정보'!$E$5,3,IF(INT(M97)&gt;='3월 등급 정보'!$E$6,4,IF(INT(M97)&gt;='3월 등급 정보'!$E$7,5,IF(INT(M97)&gt;='3월 등급 정보'!$E$8,6,IF(INT(M97)&gt;='3월 등급 정보'!$E$9,7,IF(INT(M97)&gt;='3월 등급 정보'!$E$10,8,IF(INT(M97)&gt;='3월 등급 정보'!$E$11,9)))))))))</f>
        <v>4</v>
      </c>
      <c r="Q97" s="34">
        <v>41</v>
      </c>
      <c r="R97" s="33"/>
      <c r="S97" s="33"/>
      <c r="T97" s="33">
        <f>IF(INT(Q97)&gt;='3월 등급 정보'!$F$3,1,IF(INT(Q97)&gt;='3월 등급 정보'!$F$4,2,IF(INT(Q97)&gt;='3월 등급 정보'!$F$5,3,IF(INT(Q97)&gt;='3월 등급 정보'!$F$6,4,IF(INT(Q97)&gt;='3월 등급 정보'!$F$7,5,IF(INT(Q97)&gt;='3월 등급 정보'!$F$8,6,IF(INT(Q97)&gt;='3월 등급 정보'!$F$9,7,IF(INT(Q97)&gt;='3월 등급 정보'!$F$10,8,IF(INT(Q97)&gt;='3월 등급 정보'!$F$11,9)))))))))</f>
        <v>3</v>
      </c>
      <c r="U97" s="34">
        <v>18.5</v>
      </c>
      <c r="V97" s="33"/>
      <c r="W97" s="33"/>
      <c r="X97" s="33">
        <f>IF(INT(U97)&gt;='3월 등급 정보'!$G$3,1,IF(INT(U97)&gt;='3월 등급 정보'!$G$4,2,IF(INT(U97)&gt;='3월 등급 정보'!$G$5,3,IF(INT(U97)&gt;='3월 등급 정보'!$G$6,4,IF(INT(U97)&gt;='3월 등급 정보'!$G$7,5,IF(INT(U97)&gt;='3월 등급 정보'!$G$8,6,IF(INT(U97)&gt;='3월 등급 정보'!$G$9,7,IF(INT(U97)&gt;='3월 등급 정보'!$G$10,8,IF(INT(U97)&gt;='3월 등급 정보'!$G$11,9)))))))))</f>
        <v>6</v>
      </c>
      <c r="Y97" s="34">
        <v>41</v>
      </c>
      <c r="Z97" s="33"/>
      <c r="AA97" s="33"/>
      <c r="AB97" s="33">
        <f>IF(INT(Y97)&gt;='3월 등급 정보'!$H$3,1,IF(INT(Y97)&gt;='3월 등급 정보'!$H$4,2,IF(INT(Y97)&gt;='3월 등급 정보'!$H$5,3,IF(INT(Y97)&gt;='3월 등급 정보'!$H$6,4,IF(INT(Y97)&gt;='3월 등급 정보'!$H$7,5,IF(INT(Y97)&gt;='3월 등급 정보'!$H$8,6,IF(INT(Y97)&gt;='3월 등급 정보'!$H$9,7,IF(INT(Y97)&gt;='3월 등급 정보'!$H$10,8,IF(INT(Y97)&gt;='3월 등급 정보'!$H$11,9)))))))))</f>
        <v>1</v>
      </c>
      <c r="AC97" s="33">
        <f>E97+I97+M97+Q97+U97</f>
        <v>250.5</v>
      </c>
      <c r="AD97" s="33">
        <f>RANK(AC97,$AC$3:$AC$273)</f>
        <v>95</v>
      </c>
    </row>
    <row r="98" spans="1:30" ht="17.25" customHeight="1">
      <c r="A98" s="33" t="s">
        <v>26</v>
      </c>
      <c r="B98" s="34">
        <v>8</v>
      </c>
      <c r="C98" s="34">
        <v>13</v>
      </c>
      <c r="D98" s="34" t="s">
        <v>225</v>
      </c>
      <c r="E98" s="34">
        <v>57</v>
      </c>
      <c r="F98" s="33"/>
      <c r="G98" s="33"/>
      <c r="H98" s="33">
        <f>IF(INT(E98)&gt;='3월 등급 정보'!$C$3,1,IF(INT(E98)&gt;='3월 등급 정보'!$C$4,2,IF(INT(E98)&gt;='3월 등급 정보'!$C$5,3,IF(INT(E98)&gt;='3월 등급 정보'!$C$6,4,IF(INT(E98)&gt;='3월 등급 정보'!$C$7,5,IF(INT(E98)&gt;='3월 등급 정보'!$C$8,6,IF(INT(E98)&gt;='3월 등급 정보'!$C$9,7,IF(INT(E98)&gt;='3월 등급 정보'!$C$10,8,IF(INT(E98)&gt;='3월 등급 정보'!$C$11,9)))))))))</f>
        <v>5</v>
      </c>
      <c r="I98" s="34">
        <v>71</v>
      </c>
      <c r="J98" s="33"/>
      <c r="K98" s="33"/>
      <c r="L98" s="33">
        <f>IF(INT(I98)&gt;='3월 등급 정보'!$D$3,1,IF(INT(I98)&gt;='3월 등급 정보'!$D$4,2,IF(INT(I98)&gt;='3월 등급 정보'!$D$5,3,IF(INT(I98)&gt;='3월 등급 정보'!$D$6,4,IF(INT(I98)&gt;='3월 등급 정보'!$D$7,5,IF(INT(I98)&gt;='3월 등급 정보'!$D$8,6,IF(INT(I98)&gt;='3월 등급 정보'!$D$9,7,IF(INT(I98)&gt;='3월 등급 정보'!$D$10,8,IF(INT(I98)&gt;='3월 등급 정보'!$D$11,9)))))))))</f>
        <v>3</v>
      </c>
      <c r="M98" s="34">
        <v>63</v>
      </c>
      <c r="N98" s="33"/>
      <c r="O98" s="33"/>
      <c r="P98" s="33">
        <f>IF(INT(M98)&gt;='3월 등급 정보'!$E$3,1,IF(INT(M98)&gt;='3월 등급 정보'!$E$4,2,IF(INT(M98)&gt;='3월 등급 정보'!$E$5,3,IF(INT(M98)&gt;='3월 등급 정보'!$E$6,4,IF(INT(M98)&gt;='3월 등급 정보'!$E$7,5,IF(INT(M98)&gt;='3월 등급 정보'!$E$8,6,IF(INT(M98)&gt;='3월 등급 정보'!$E$9,7,IF(INT(M98)&gt;='3월 등급 정보'!$E$10,8,IF(INT(M98)&gt;='3월 등급 정보'!$E$11,9)))))))))</f>
        <v>4</v>
      </c>
      <c r="Q98" s="34">
        <v>34.5</v>
      </c>
      <c r="R98" s="33"/>
      <c r="S98" s="33"/>
      <c r="T98" s="33">
        <f>IF(INT(Q98)&gt;='3월 등급 정보'!$F$3,1,IF(INT(Q98)&gt;='3월 등급 정보'!$F$4,2,IF(INT(Q98)&gt;='3월 등급 정보'!$F$5,3,IF(INT(Q98)&gt;='3월 등급 정보'!$F$6,4,IF(INT(Q98)&gt;='3월 등급 정보'!$F$7,5,IF(INT(Q98)&gt;='3월 등급 정보'!$F$8,6,IF(INT(Q98)&gt;='3월 등급 정보'!$F$9,7,IF(INT(Q98)&gt;='3월 등급 정보'!$F$10,8,IF(INT(Q98)&gt;='3월 등급 정보'!$F$11,9)))))))))</f>
        <v>4</v>
      </c>
      <c r="U98" s="34">
        <v>25</v>
      </c>
      <c r="V98" s="33"/>
      <c r="W98" s="33"/>
      <c r="X98" s="33">
        <f>IF(INT(U98)&gt;='3월 등급 정보'!$G$3,1,IF(INT(U98)&gt;='3월 등급 정보'!$G$4,2,IF(INT(U98)&gt;='3월 등급 정보'!$G$5,3,IF(INT(U98)&gt;='3월 등급 정보'!$G$6,4,IF(INT(U98)&gt;='3월 등급 정보'!$G$7,5,IF(INT(U98)&gt;='3월 등급 정보'!$G$8,6,IF(INT(U98)&gt;='3월 등급 정보'!$G$9,7,IF(INT(U98)&gt;='3월 등급 정보'!$G$10,8,IF(INT(U98)&gt;='3월 등급 정보'!$G$11,9)))))))))</f>
        <v>5</v>
      </c>
      <c r="Y98" s="34">
        <v>47</v>
      </c>
      <c r="Z98" s="33"/>
      <c r="AA98" s="33"/>
      <c r="AB98" s="33">
        <f>IF(INT(Y98)&gt;='3월 등급 정보'!$H$3,1,IF(INT(Y98)&gt;='3월 등급 정보'!$H$4,2,IF(INT(Y98)&gt;='3월 등급 정보'!$H$5,3,IF(INT(Y98)&gt;='3월 등급 정보'!$H$6,4,IF(INT(Y98)&gt;='3월 등급 정보'!$H$7,5,IF(INT(Y98)&gt;='3월 등급 정보'!$H$8,6,IF(INT(Y98)&gt;='3월 등급 정보'!$H$9,7,IF(INT(Y98)&gt;='3월 등급 정보'!$H$10,8,IF(INT(Y98)&gt;='3월 등급 정보'!$H$11,9)))))))))</f>
        <v>1</v>
      </c>
      <c r="AC98" s="33">
        <f>E98+I98+M98+Q98+U98</f>
        <v>250.5</v>
      </c>
      <c r="AD98" s="33">
        <f>RANK(AC98,$AC$3:$AC$273)</f>
        <v>95</v>
      </c>
    </row>
    <row r="99" spans="1:30" ht="17.25" customHeight="1">
      <c r="A99" s="33" t="s">
        <v>26</v>
      </c>
      <c r="B99" s="34">
        <v>5</v>
      </c>
      <c r="C99" s="34">
        <v>14</v>
      </c>
      <c r="D99" s="34" t="s">
        <v>145</v>
      </c>
      <c r="E99" s="34">
        <v>63</v>
      </c>
      <c r="F99" s="33"/>
      <c r="G99" s="33"/>
      <c r="H99" s="33">
        <f>IF(INT(E99)&gt;='3월 등급 정보'!$C$3,1,IF(INT(E99)&gt;='3월 등급 정보'!$C$4,2,IF(INT(E99)&gt;='3월 등급 정보'!$C$5,3,IF(INT(E99)&gt;='3월 등급 정보'!$C$6,4,IF(INT(E99)&gt;='3월 등급 정보'!$C$7,5,IF(INT(E99)&gt;='3월 등급 정보'!$C$8,6,IF(INT(E99)&gt;='3월 등급 정보'!$C$9,7,IF(INT(E99)&gt;='3월 등급 정보'!$C$10,8,IF(INT(E99)&gt;='3월 등급 정보'!$C$11,9)))))))))</f>
        <v>4</v>
      </c>
      <c r="I99" s="34">
        <v>67</v>
      </c>
      <c r="J99" s="33"/>
      <c r="K99" s="33"/>
      <c r="L99" s="33">
        <f>IF(INT(I99)&gt;='3월 등급 정보'!$D$3,1,IF(INT(I99)&gt;='3월 등급 정보'!$D$4,2,IF(INT(I99)&gt;='3월 등급 정보'!$D$5,3,IF(INT(I99)&gt;='3월 등급 정보'!$D$6,4,IF(INT(I99)&gt;='3월 등급 정보'!$D$7,5,IF(INT(I99)&gt;='3월 등급 정보'!$D$8,6,IF(INT(I99)&gt;='3월 등급 정보'!$D$9,7,IF(INT(I99)&gt;='3월 등급 정보'!$D$10,8,IF(INT(I99)&gt;='3월 등급 정보'!$D$11,9)))))))))</f>
        <v>3</v>
      </c>
      <c r="M99" s="34">
        <v>51</v>
      </c>
      <c r="N99" s="33"/>
      <c r="O99" s="33"/>
      <c r="P99" s="33">
        <f>IF(INT(M99)&gt;='3월 등급 정보'!$E$3,1,IF(INT(M99)&gt;='3월 등급 정보'!$E$4,2,IF(INT(M99)&gt;='3월 등급 정보'!$E$5,3,IF(INT(M99)&gt;='3월 등급 정보'!$E$6,4,IF(INT(M99)&gt;='3월 등급 정보'!$E$7,5,IF(INT(M99)&gt;='3월 등급 정보'!$E$8,6,IF(INT(M99)&gt;='3월 등급 정보'!$E$9,7,IF(INT(M99)&gt;='3월 등급 정보'!$E$10,8,IF(INT(M99)&gt;='3월 등급 정보'!$E$11,9)))))))))</f>
        <v>5</v>
      </c>
      <c r="Q99" s="34">
        <v>41</v>
      </c>
      <c r="R99" s="33"/>
      <c r="S99" s="33"/>
      <c r="T99" s="33">
        <f>IF(INT(Q99)&gt;='3월 등급 정보'!$F$3,1,IF(INT(Q99)&gt;='3월 등급 정보'!$F$4,2,IF(INT(Q99)&gt;='3월 등급 정보'!$F$5,3,IF(INT(Q99)&gt;='3월 등급 정보'!$F$6,4,IF(INT(Q99)&gt;='3월 등급 정보'!$F$7,5,IF(INT(Q99)&gt;='3월 등급 정보'!$F$8,6,IF(INT(Q99)&gt;='3월 등급 정보'!$F$9,7,IF(INT(Q99)&gt;='3월 등급 정보'!$F$10,8,IF(INT(Q99)&gt;='3월 등급 정보'!$F$11,9)))))))))</f>
        <v>3</v>
      </c>
      <c r="U99" s="34">
        <v>27.5</v>
      </c>
      <c r="V99" s="33"/>
      <c r="W99" s="33"/>
      <c r="X99" s="33">
        <f>IF(INT(U99)&gt;='3월 등급 정보'!$G$3,1,IF(INT(U99)&gt;='3월 등급 정보'!$G$4,2,IF(INT(U99)&gt;='3월 등급 정보'!$G$5,3,IF(INT(U99)&gt;='3월 등급 정보'!$G$6,4,IF(INT(U99)&gt;='3월 등급 정보'!$G$7,5,IF(INT(U99)&gt;='3월 등급 정보'!$G$8,6,IF(INT(U99)&gt;='3월 등급 정보'!$G$9,7,IF(INT(U99)&gt;='3월 등급 정보'!$G$10,8,IF(INT(U99)&gt;='3월 등급 정보'!$G$11,9)))))))))</f>
        <v>4</v>
      </c>
      <c r="Y99" s="34">
        <v>47</v>
      </c>
      <c r="Z99" s="33"/>
      <c r="AA99" s="33"/>
      <c r="AB99" s="33">
        <f>IF(INT(Y99)&gt;='3월 등급 정보'!$H$3,1,IF(INT(Y99)&gt;='3월 등급 정보'!$H$4,2,IF(INT(Y99)&gt;='3월 등급 정보'!$H$5,3,IF(INT(Y99)&gt;='3월 등급 정보'!$H$6,4,IF(INT(Y99)&gt;='3월 등급 정보'!$H$7,5,IF(INT(Y99)&gt;='3월 등급 정보'!$H$8,6,IF(INT(Y99)&gt;='3월 등급 정보'!$H$9,7,IF(INT(Y99)&gt;='3월 등급 정보'!$H$10,8,IF(INT(Y99)&gt;='3월 등급 정보'!$H$11,9)))))))))</f>
        <v>1</v>
      </c>
      <c r="AC99" s="33">
        <f>E99+I99+M99+Q99+U99</f>
        <v>249.5</v>
      </c>
      <c r="AD99" s="33">
        <f>RANK(AC99,$AC$3:$AC$273)</f>
        <v>97</v>
      </c>
    </row>
    <row r="100" spans="1:30" ht="17.25" customHeight="1">
      <c r="A100" s="33" t="s">
        <v>26</v>
      </c>
      <c r="B100" s="34">
        <v>7</v>
      </c>
      <c r="C100" s="34">
        <v>16</v>
      </c>
      <c r="D100" s="34" t="s">
        <v>202</v>
      </c>
      <c r="E100" s="34">
        <v>68</v>
      </c>
      <c r="F100" s="33"/>
      <c r="G100" s="33"/>
      <c r="H100" s="33">
        <f>IF(INT(E100)&gt;='3월 등급 정보'!$C$3,1,IF(INT(E100)&gt;='3월 등급 정보'!$C$4,2,IF(INT(E100)&gt;='3월 등급 정보'!$C$5,3,IF(INT(E100)&gt;='3월 등급 정보'!$C$6,4,IF(INT(E100)&gt;='3월 등급 정보'!$C$7,5,IF(INT(E100)&gt;='3월 등급 정보'!$C$8,6,IF(INT(E100)&gt;='3월 등급 정보'!$C$9,7,IF(INT(E100)&gt;='3월 등급 정보'!$C$10,8,IF(INT(E100)&gt;='3월 등급 정보'!$C$11,9)))))))))</f>
        <v>4</v>
      </c>
      <c r="I100" s="34">
        <v>51</v>
      </c>
      <c r="J100" s="33"/>
      <c r="K100" s="33"/>
      <c r="L100" s="33">
        <f>IF(INT(I100)&gt;='3월 등급 정보'!$D$3,1,IF(INT(I100)&gt;='3월 등급 정보'!$D$4,2,IF(INT(I100)&gt;='3월 등급 정보'!$D$5,3,IF(INT(I100)&gt;='3월 등급 정보'!$D$6,4,IF(INT(I100)&gt;='3월 등급 정보'!$D$7,5,IF(INT(I100)&gt;='3월 등급 정보'!$D$8,6,IF(INT(I100)&gt;='3월 등급 정보'!$D$9,7,IF(INT(I100)&gt;='3월 등급 정보'!$D$10,8,IF(INT(I100)&gt;='3월 등급 정보'!$D$11,9)))))))))</f>
        <v>4</v>
      </c>
      <c r="M100" s="34">
        <v>60</v>
      </c>
      <c r="N100" s="33"/>
      <c r="O100" s="33"/>
      <c r="P100" s="33">
        <f>IF(INT(M100)&gt;='3월 등급 정보'!$E$3,1,IF(INT(M100)&gt;='3월 등급 정보'!$E$4,2,IF(INT(M100)&gt;='3월 등급 정보'!$E$5,3,IF(INT(M100)&gt;='3월 등급 정보'!$E$6,4,IF(INT(M100)&gt;='3월 등급 정보'!$E$7,5,IF(INT(M100)&gt;='3월 등급 정보'!$E$8,6,IF(INT(M100)&gt;='3월 등급 정보'!$E$9,7,IF(INT(M100)&gt;='3월 등급 정보'!$E$10,8,IF(INT(M100)&gt;='3월 등급 정보'!$E$11,9)))))))))</f>
        <v>4</v>
      </c>
      <c r="Q100" s="34">
        <v>42</v>
      </c>
      <c r="R100" s="33"/>
      <c r="S100" s="33"/>
      <c r="T100" s="33">
        <f>IF(INT(Q100)&gt;='3월 등급 정보'!$F$3,1,IF(INT(Q100)&gt;='3월 등급 정보'!$F$4,2,IF(INT(Q100)&gt;='3월 등급 정보'!$F$5,3,IF(INT(Q100)&gt;='3월 등급 정보'!$F$6,4,IF(INT(Q100)&gt;='3월 등급 정보'!$F$7,5,IF(INT(Q100)&gt;='3월 등급 정보'!$F$8,6,IF(INT(Q100)&gt;='3월 등급 정보'!$F$9,7,IF(INT(Q100)&gt;='3월 등급 정보'!$F$10,8,IF(INT(Q100)&gt;='3월 등급 정보'!$F$11,9)))))))))</f>
        <v>3</v>
      </c>
      <c r="U100" s="34">
        <v>28.5</v>
      </c>
      <c r="V100" s="33"/>
      <c r="W100" s="33"/>
      <c r="X100" s="33">
        <f>IF(INT(U100)&gt;='3월 등급 정보'!$G$3,1,IF(INT(U100)&gt;='3월 등급 정보'!$G$4,2,IF(INT(U100)&gt;='3월 등급 정보'!$G$5,3,IF(INT(U100)&gt;='3월 등급 정보'!$G$6,4,IF(INT(U100)&gt;='3월 등급 정보'!$G$7,5,IF(INT(U100)&gt;='3월 등급 정보'!$G$8,6,IF(INT(U100)&gt;='3월 등급 정보'!$G$9,7,IF(INT(U100)&gt;='3월 등급 정보'!$G$10,8,IF(INT(U100)&gt;='3월 등급 정보'!$G$11,9)))))))))</f>
        <v>4</v>
      </c>
      <c r="Y100" s="34">
        <v>42</v>
      </c>
      <c r="Z100" s="33"/>
      <c r="AA100" s="33"/>
      <c r="AB100" s="33">
        <f>IF(INT(Y100)&gt;='3월 등급 정보'!$H$3,1,IF(INT(Y100)&gt;='3월 등급 정보'!$H$4,2,IF(INT(Y100)&gt;='3월 등급 정보'!$H$5,3,IF(INT(Y100)&gt;='3월 등급 정보'!$H$6,4,IF(INT(Y100)&gt;='3월 등급 정보'!$H$7,5,IF(INT(Y100)&gt;='3월 등급 정보'!$H$8,6,IF(INT(Y100)&gt;='3월 등급 정보'!$H$9,7,IF(INT(Y100)&gt;='3월 등급 정보'!$H$10,8,IF(INT(Y100)&gt;='3월 등급 정보'!$H$11,9)))))))))</f>
        <v>1</v>
      </c>
      <c r="AC100" s="33">
        <f>E100+I100+M100+Q100+U100</f>
        <v>249.5</v>
      </c>
      <c r="AD100" s="33">
        <f>RANK(AC100,$AC$3:$AC$273)</f>
        <v>97</v>
      </c>
    </row>
    <row r="101" spans="1:30" ht="17.25" customHeight="1">
      <c r="A101" s="33" t="s">
        <v>26</v>
      </c>
      <c r="B101" s="34">
        <v>3</v>
      </c>
      <c r="C101" s="34">
        <v>9</v>
      </c>
      <c r="D101" s="34" t="s">
        <v>87</v>
      </c>
      <c r="E101" s="34">
        <v>63</v>
      </c>
      <c r="F101" s="33"/>
      <c r="G101" s="33"/>
      <c r="H101" s="33">
        <f>IF(INT(E101)&gt;='3월 등급 정보'!$C$3,1,IF(INT(E101)&gt;='3월 등급 정보'!$C$4,2,IF(INT(E101)&gt;='3월 등급 정보'!$C$5,3,IF(INT(E101)&gt;='3월 등급 정보'!$C$6,4,IF(INT(E101)&gt;='3월 등급 정보'!$C$7,5,IF(INT(E101)&gt;='3월 등급 정보'!$C$8,6,IF(INT(E101)&gt;='3월 등급 정보'!$C$9,7,IF(INT(E101)&gt;='3월 등급 정보'!$C$10,8,IF(INT(E101)&gt;='3월 등급 정보'!$C$11,9)))))))))</f>
        <v>4</v>
      </c>
      <c r="I101" s="34">
        <v>39</v>
      </c>
      <c r="J101" s="33"/>
      <c r="K101" s="33"/>
      <c r="L101" s="33">
        <f>IF(INT(I101)&gt;='3월 등급 정보'!$D$3,1,IF(INT(I101)&gt;='3월 등급 정보'!$D$4,2,IF(INT(I101)&gt;='3월 등급 정보'!$D$5,3,IF(INT(I101)&gt;='3월 등급 정보'!$D$6,4,IF(INT(I101)&gt;='3월 등급 정보'!$D$7,5,IF(INT(I101)&gt;='3월 등급 정보'!$D$8,6,IF(INT(I101)&gt;='3월 등급 정보'!$D$9,7,IF(INT(I101)&gt;='3월 등급 정보'!$D$10,8,IF(INT(I101)&gt;='3월 등급 정보'!$D$11,9)))))))))</f>
        <v>5</v>
      </c>
      <c r="M101" s="34">
        <v>75</v>
      </c>
      <c r="N101" s="33"/>
      <c r="O101" s="33"/>
      <c r="P101" s="33">
        <f>IF(INT(M101)&gt;='3월 등급 정보'!$E$3,1,IF(INT(M101)&gt;='3월 등급 정보'!$E$4,2,IF(INT(M101)&gt;='3월 등급 정보'!$E$5,3,IF(INT(M101)&gt;='3월 등급 정보'!$E$6,4,IF(INT(M101)&gt;='3월 등급 정보'!$E$7,5,IF(INT(M101)&gt;='3월 등급 정보'!$E$8,6,IF(INT(M101)&gt;='3월 등급 정보'!$E$9,7,IF(INT(M101)&gt;='3월 등급 정보'!$E$10,8,IF(INT(M101)&gt;='3월 등급 정보'!$E$11,9)))))))))</f>
        <v>3</v>
      </c>
      <c r="Q101" s="34">
        <v>41</v>
      </c>
      <c r="R101" s="33"/>
      <c r="S101" s="33"/>
      <c r="T101" s="33">
        <f>IF(INT(Q101)&gt;='3월 등급 정보'!$F$3,1,IF(INT(Q101)&gt;='3월 등급 정보'!$F$4,2,IF(INT(Q101)&gt;='3월 등급 정보'!$F$5,3,IF(INT(Q101)&gt;='3월 등급 정보'!$F$6,4,IF(INT(Q101)&gt;='3월 등급 정보'!$F$7,5,IF(INT(Q101)&gt;='3월 등급 정보'!$F$8,6,IF(INT(Q101)&gt;='3월 등급 정보'!$F$9,7,IF(INT(Q101)&gt;='3월 등급 정보'!$F$10,8,IF(INT(Q101)&gt;='3월 등급 정보'!$F$11,9)))))))))</f>
        <v>3</v>
      </c>
      <c r="U101" s="34">
        <v>30.5</v>
      </c>
      <c r="V101" s="33"/>
      <c r="W101" s="33"/>
      <c r="X101" s="33">
        <f>IF(INT(U101)&gt;='3월 등급 정보'!$G$3,1,IF(INT(U101)&gt;='3월 등급 정보'!$G$4,2,IF(INT(U101)&gt;='3월 등급 정보'!$G$5,3,IF(INT(U101)&gt;='3월 등급 정보'!$G$6,4,IF(INT(U101)&gt;='3월 등급 정보'!$G$7,5,IF(INT(U101)&gt;='3월 등급 정보'!$G$8,6,IF(INT(U101)&gt;='3월 등급 정보'!$G$9,7,IF(INT(U101)&gt;='3월 등급 정보'!$G$10,8,IF(INT(U101)&gt;='3월 등급 정보'!$G$11,9)))))))))</f>
        <v>4</v>
      </c>
      <c r="Y101" s="34">
        <v>22</v>
      </c>
      <c r="Z101" s="33"/>
      <c r="AA101" s="33"/>
      <c r="AB101" s="33">
        <f>IF(INT(Y101)&gt;='3월 등급 정보'!$H$3,1,IF(INT(Y101)&gt;='3월 등급 정보'!$H$4,2,IF(INT(Y101)&gt;='3월 등급 정보'!$H$5,3,IF(INT(Y101)&gt;='3월 등급 정보'!$H$6,4,IF(INT(Y101)&gt;='3월 등급 정보'!$H$7,5,IF(INT(Y101)&gt;='3월 등급 정보'!$H$8,6,IF(INT(Y101)&gt;='3월 등급 정보'!$H$9,7,IF(INT(Y101)&gt;='3월 등급 정보'!$H$10,8,IF(INT(Y101)&gt;='3월 등급 정보'!$H$11,9)))))))))</f>
        <v>5</v>
      </c>
      <c r="AC101" s="33">
        <f>E101+I101+M101+Q101+U101</f>
        <v>248.5</v>
      </c>
      <c r="AD101" s="33">
        <f>RANK(AC101,$AC$3:$AC$273)</f>
        <v>99</v>
      </c>
    </row>
    <row r="102" spans="1:30" ht="17.25" customHeight="1">
      <c r="A102" s="33" t="s">
        <v>26</v>
      </c>
      <c r="B102" s="34">
        <v>10</v>
      </c>
      <c r="C102" s="34">
        <v>13</v>
      </c>
      <c r="D102" s="34" t="s">
        <v>276</v>
      </c>
      <c r="E102" s="34">
        <v>75</v>
      </c>
      <c r="F102" s="33"/>
      <c r="G102" s="33"/>
      <c r="H102" s="33">
        <f>IF(INT(E102)&gt;='3월 등급 정보'!$C$3,1,IF(INT(E102)&gt;='3월 등급 정보'!$C$4,2,IF(INT(E102)&gt;='3월 등급 정보'!$C$5,3,IF(INT(E102)&gt;='3월 등급 정보'!$C$6,4,IF(INT(E102)&gt;='3월 등급 정보'!$C$7,5,IF(INT(E102)&gt;='3월 등급 정보'!$C$8,6,IF(INT(E102)&gt;='3월 등급 정보'!$C$9,7,IF(INT(E102)&gt;='3월 등급 정보'!$C$10,8,IF(INT(E102)&gt;='3월 등급 정보'!$C$11,9)))))))))</f>
        <v>3</v>
      </c>
      <c r="I102" s="34">
        <v>48</v>
      </c>
      <c r="J102" s="33"/>
      <c r="K102" s="33"/>
      <c r="L102" s="33">
        <f>IF(INT(I102)&gt;='3월 등급 정보'!$D$3,1,IF(INT(I102)&gt;='3월 등급 정보'!$D$4,2,IF(INT(I102)&gt;='3월 등급 정보'!$D$5,3,IF(INT(I102)&gt;='3월 등급 정보'!$D$6,4,IF(INT(I102)&gt;='3월 등급 정보'!$D$7,5,IF(INT(I102)&gt;='3월 등급 정보'!$D$8,6,IF(INT(I102)&gt;='3월 등급 정보'!$D$9,7,IF(INT(I102)&gt;='3월 등급 정보'!$D$10,8,IF(INT(I102)&gt;='3월 등급 정보'!$D$11,9)))))))))</f>
        <v>5</v>
      </c>
      <c r="M102" s="34">
        <v>66</v>
      </c>
      <c r="N102" s="33"/>
      <c r="O102" s="33"/>
      <c r="P102" s="33">
        <f>IF(INT(M102)&gt;='3월 등급 정보'!$E$3,1,IF(INT(M102)&gt;='3월 등급 정보'!$E$4,2,IF(INT(M102)&gt;='3월 등급 정보'!$E$5,3,IF(INT(M102)&gt;='3월 등급 정보'!$E$6,4,IF(INT(M102)&gt;='3월 등급 정보'!$E$7,5,IF(INT(M102)&gt;='3월 등급 정보'!$E$8,6,IF(INT(M102)&gt;='3월 등급 정보'!$E$9,7,IF(INT(M102)&gt;='3월 등급 정보'!$E$10,8,IF(INT(M102)&gt;='3월 등급 정보'!$E$11,9)))))))))</f>
        <v>4</v>
      </c>
      <c r="Q102" s="34">
        <v>37</v>
      </c>
      <c r="R102" s="33"/>
      <c r="S102" s="33"/>
      <c r="T102" s="33">
        <f>IF(INT(Q102)&gt;='3월 등급 정보'!$F$3,1,IF(INT(Q102)&gt;='3월 등급 정보'!$F$4,2,IF(INT(Q102)&gt;='3월 등급 정보'!$F$5,3,IF(INT(Q102)&gt;='3월 등급 정보'!$F$6,4,IF(INT(Q102)&gt;='3월 등급 정보'!$F$7,5,IF(INT(Q102)&gt;='3월 등급 정보'!$F$8,6,IF(INT(Q102)&gt;='3월 등급 정보'!$F$9,7,IF(INT(Q102)&gt;='3월 등급 정보'!$F$10,8,IF(INT(Q102)&gt;='3월 등급 정보'!$F$11,9)))))))))</f>
        <v>4</v>
      </c>
      <c r="U102" s="34">
        <v>22.5</v>
      </c>
      <c r="V102" s="33"/>
      <c r="W102" s="33"/>
      <c r="X102" s="33">
        <f>IF(INT(U102)&gt;='3월 등급 정보'!$G$3,1,IF(INT(U102)&gt;='3월 등급 정보'!$G$4,2,IF(INT(U102)&gt;='3월 등급 정보'!$G$5,3,IF(INT(U102)&gt;='3월 등급 정보'!$G$6,4,IF(INT(U102)&gt;='3월 등급 정보'!$G$7,5,IF(INT(U102)&gt;='3월 등급 정보'!$G$8,6,IF(INT(U102)&gt;='3월 등급 정보'!$G$9,7,IF(INT(U102)&gt;='3월 등급 정보'!$G$10,8,IF(INT(U102)&gt;='3월 등급 정보'!$G$11,9)))))))))</f>
        <v>5</v>
      </c>
      <c r="Y102" s="34">
        <v>23</v>
      </c>
      <c r="Z102" s="33"/>
      <c r="AA102" s="33"/>
      <c r="AB102" s="33">
        <f>IF(INT(Y102)&gt;='3월 등급 정보'!$H$3,1,IF(INT(Y102)&gt;='3월 등급 정보'!$H$4,2,IF(INT(Y102)&gt;='3월 등급 정보'!$H$5,3,IF(INT(Y102)&gt;='3월 등급 정보'!$H$6,4,IF(INT(Y102)&gt;='3월 등급 정보'!$H$7,5,IF(INT(Y102)&gt;='3월 등급 정보'!$H$8,6,IF(INT(Y102)&gt;='3월 등급 정보'!$H$9,7,IF(INT(Y102)&gt;='3월 등급 정보'!$H$10,8,IF(INT(Y102)&gt;='3월 등급 정보'!$H$11,9)))))))))</f>
        <v>5</v>
      </c>
      <c r="AC102" s="33">
        <f>E102+I102+M102+Q102+U102</f>
        <v>248.5</v>
      </c>
      <c r="AD102" s="33">
        <f>RANK(AC102,$AC$3:$AC$273)</f>
        <v>99</v>
      </c>
    </row>
    <row r="103" spans="1:30" ht="17.25" customHeight="1">
      <c r="A103" s="33" t="s">
        <v>26</v>
      </c>
      <c r="B103" s="34">
        <v>1</v>
      </c>
      <c r="C103" s="34">
        <v>13</v>
      </c>
      <c r="D103" s="34" t="s">
        <v>40</v>
      </c>
      <c r="E103" s="34">
        <v>75</v>
      </c>
      <c r="F103" s="33"/>
      <c r="G103" s="33"/>
      <c r="H103" s="33">
        <f>IF(INT(E103)&gt;='3월 등급 정보'!$C$3,1,IF(INT(E103)&gt;='3월 등급 정보'!$C$4,2,IF(INT(E103)&gt;='3월 등급 정보'!$C$5,3,IF(INT(E103)&gt;='3월 등급 정보'!$C$6,4,IF(INT(E103)&gt;='3월 등급 정보'!$C$7,5,IF(INT(E103)&gt;='3월 등급 정보'!$C$8,6,IF(INT(E103)&gt;='3월 등급 정보'!$C$9,7,IF(INT(E103)&gt;='3월 등급 정보'!$C$10,8,IF(INT(E103)&gt;='3월 등급 정보'!$C$11,9)))))))))</f>
        <v>3</v>
      </c>
      <c r="I103" s="34">
        <v>34</v>
      </c>
      <c r="J103" s="33"/>
      <c r="K103" s="33"/>
      <c r="L103" s="33">
        <f>IF(INT(I103)&gt;='3월 등급 정보'!$D$3,1,IF(INT(I103)&gt;='3월 등급 정보'!$D$4,2,IF(INT(I103)&gt;='3월 등급 정보'!$D$5,3,IF(INT(I103)&gt;='3월 등급 정보'!$D$6,4,IF(INT(I103)&gt;='3월 등급 정보'!$D$7,5,IF(INT(I103)&gt;='3월 등급 정보'!$D$8,6,IF(INT(I103)&gt;='3월 등급 정보'!$D$9,7,IF(INT(I103)&gt;='3월 등급 정보'!$D$10,8,IF(INT(I103)&gt;='3월 등급 정보'!$D$11,9)))))))))</f>
        <v>6</v>
      </c>
      <c r="M103" s="34">
        <v>59</v>
      </c>
      <c r="N103" s="33"/>
      <c r="O103" s="33"/>
      <c r="P103" s="33">
        <f>IF(INT(M103)&gt;='3월 등급 정보'!$E$3,1,IF(INT(M103)&gt;='3월 등급 정보'!$E$4,2,IF(INT(M103)&gt;='3월 등급 정보'!$E$5,3,IF(INT(M103)&gt;='3월 등급 정보'!$E$6,4,IF(INT(M103)&gt;='3월 등급 정보'!$E$7,5,IF(INT(M103)&gt;='3월 등급 정보'!$E$8,6,IF(INT(M103)&gt;='3월 등급 정보'!$E$9,7,IF(INT(M103)&gt;='3월 등급 정보'!$E$10,8,IF(INT(M103)&gt;='3월 등급 정보'!$E$11,9)))))))))</f>
        <v>5</v>
      </c>
      <c r="Q103" s="34">
        <v>39</v>
      </c>
      <c r="R103" s="33"/>
      <c r="S103" s="33"/>
      <c r="T103" s="33">
        <f>IF(INT(Q103)&gt;='3월 등급 정보'!$F$3,1,IF(INT(Q103)&gt;='3월 등급 정보'!$F$4,2,IF(INT(Q103)&gt;='3월 등급 정보'!$F$5,3,IF(INT(Q103)&gt;='3월 등급 정보'!$F$6,4,IF(INT(Q103)&gt;='3월 등급 정보'!$F$7,5,IF(INT(Q103)&gt;='3월 등급 정보'!$F$8,6,IF(INT(Q103)&gt;='3월 등급 정보'!$F$9,7,IF(INT(Q103)&gt;='3월 등급 정보'!$F$10,8,IF(INT(Q103)&gt;='3월 등급 정보'!$F$11,9)))))))))</f>
        <v>3</v>
      </c>
      <c r="U103" s="34">
        <v>41</v>
      </c>
      <c r="V103" s="33"/>
      <c r="W103" s="33"/>
      <c r="X103" s="33">
        <f>IF(INT(U103)&gt;='3월 등급 정보'!$G$3,1,IF(INT(U103)&gt;='3월 등급 정보'!$G$4,2,IF(INT(U103)&gt;='3월 등급 정보'!$G$5,3,IF(INT(U103)&gt;='3월 등급 정보'!$G$6,4,IF(INT(U103)&gt;='3월 등급 정보'!$G$7,5,IF(INT(U103)&gt;='3월 등급 정보'!$G$8,6,IF(INT(U103)&gt;='3월 등급 정보'!$G$9,7,IF(INT(U103)&gt;='3월 등급 정보'!$G$10,8,IF(INT(U103)&gt;='3월 등급 정보'!$G$11,9)))))))))</f>
        <v>2</v>
      </c>
      <c r="Y103" s="34">
        <v>34</v>
      </c>
      <c r="Z103" s="33"/>
      <c r="AA103" s="33"/>
      <c r="AB103" s="33">
        <f>IF(INT(Y103)&gt;='3월 등급 정보'!$H$3,1,IF(INT(Y103)&gt;='3월 등급 정보'!$H$4,2,IF(INT(Y103)&gt;='3월 등급 정보'!$H$5,3,IF(INT(Y103)&gt;='3월 등급 정보'!$H$6,4,IF(INT(Y103)&gt;='3월 등급 정보'!$H$7,5,IF(INT(Y103)&gt;='3월 등급 정보'!$H$8,6,IF(INT(Y103)&gt;='3월 등급 정보'!$H$9,7,IF(INT(Y103)&gt;='3월 등급 정보'!$H$10,8,IF(INT(Y103)&gt;='3월 등급 정보'!$H$11,9)))))))))</f>
        <v>3</v>
      </c>
      <c r="AC103" s="33">
        <f>E103+I103+M103+Q103+U103</f>
        <v>248</v>
      </c>
      <c r="AD103" s="33">
        <f>RANK(AC103,$AC$3:$AC$273)</f>
        <v>101</v>
      </c>
    </row>
    <row r="104" spans="1:30" ht="17.25" customHeight="1">
      <c r="A104" s="33" t="s">
        <v>26</v>
      </c>
      <c r="B104" s="34">
        <v>8</v>
      </c>
      <c r="C104" s="34">
        <v>27</v>
      </c>
      <c r="D104" s="34" t="s">
        <v>238</v>
      </c>
      <c r="E104" s="34">
        <v>65</v>
      </c>
      <c r="F104" s="33"/>
      <c r="G104" s="33"/>
      <c r="H104" s="33">
        <f>IF(INT(E104)&gt;='3월 등급 정보'!$C$3,1,IF(INT(E104)&gt;='3월 등급 정보'!$C$4,2,IF(INT(E104)&gt;='3월 등급 정보'!$C$5,3,IF(INT(E104)&gt;='3월 등급 정보'!$C$6,4,IF(INT(E104)&gt;='3월 등급 정보'!$C$7,5,IF(INT(E104)&gt;='3월 등급 정보'!$C$8,6,IF(INT(E104)&gt;='3월 등급 정보'!$C$9,7,IF(INT(E104)&gt;='3월 등급 정보'!$C$10,8,IF(INT(E104)&gt;='3월 등급 정보'!$C$11,9)))))))))</f>
        <v>4</v>
      </c>
      <c r="I104" s="34">
        <v>52</v>
      </c>
      <c r="J104" s="33"/>
      <c r="K104" s="33"/>
      <c r="L104" s="33">
        <f>IF(INT(I104)&gt;='3월 등급 정보'!$D$3,1,IF(INT(I104)&gt;='3월 등급 정보'!$D$4,2,IF(INT(I104)&gt;='3월 등급 정보'!$D$5,3,IF(INT(I104)&gt;='3월 등급 정보'!$D$6,4,IF(INT(I104)&gt;='3월 등급 정보'!$D$7,5,IF(INT(I104)&gt;='3월 등급 정보'!$D$8,6,IF(INT(I104)&gt;='3월 등급 정보'!$D$9,7,IF(INT(I104)&gt;='3월 등급 정보'!$D$10,8,IF(INT(I104)&gt;='3월 등급 정보'!$D$11,9)))))))))</f>
        <v>4</v>
      </c>
      <c r="M104" s="34">
        <v>73</v>
      </c>
      <c r="N104" s="33"/>
      <c r="O104" s="33"/>
      <c r="P104" s="33">
        <f>IF(INT(M104)&gt;='3월 등급 정보'!$E$3,1,IF(INT(M104)&gt;='3월 등급 정보'!$E$4,2,IF(INT(M104)&gt;='3월 등급 정보'!$E$5,3,IF(INT(M104)&gt;='3월 등급 정보'!$E$6,4,IF(INT(M104)&gt;='3월 등급 정보'!$E$7,5,IF(INT(M104)&gt;='3월 등급 정보'!$E$8,6,IF(INT(M104)&gt;='3월 등급 정보'!$E$9,7,IF(INT(M104)&gt;='3월 등급 정보'!$E$10,8,IF(INT(M104)&gt;='3월 등급 정보'!$E$11,9)))))))))</f>
        <v>3</v>
      </c>
      <c r="Q104" s="34">
        <v>30</v>
      </c>
      <c r="R104" s="33"/>
      <c r="S104" s="33"/>
      <c r="T104" s="33">
        <f>IF(INT(Q104)&gt;='3월 등급 정보'!$F$3,1,IF(INT(Q104)&gt;='3월 등급 정보'!$F$4,2,IF(INT(Q104)&gt;='3월 등급 정보'!$F$5,3,IF(INT(Q104)&gt;='3월 등급 정보'!$F$6,4,IF(INT(Q104)&gt;='3월 등급 정보'!$F$7,5,IF(INT(Q104)&gt;='3월 등급 정보'!$F$8,6,IF(INT(Q104)&gt;='3월 등급 정보'!$F$9,7,IF(INT(Q104)&gt;='3월 등급 정보'!$F$10,8,IF(INT(Q104)&gt;='3월 등급 정보'!$F$11,9)))))))))</f>
        <v>5</v>
      </c>
      <c r="U104" s="34">
        <v>28</v>
      </c>
      <c r="V104" s="33"/>
      <c r="W104" s="33"/>
      <c r="X104" s="33">
        <f>IF(INT(U104)&gt;='3월 등급 정보'!$G$3,1,IF(INT(U104)&gt;='3월 등급 정보'!$G$4,2,IF(INT(U104)&gt;='3월 등급 정보'!$G$5,3,IF(INT(U104)&gt;='3월 등급 정보'!$G$6,4,IF(INT(U104)&gt;='3월 등급 정보'!$G$7,5,IF(INT(U104)&gt;='3월 등급 정보'!$G$8,6,IF(INT(U104)&gt;='3월 등급 정보'!$G$9,7,IF(INT(U104)&gt;='3월 등급 정보'!$G$10,8,IF(INT(U104)&gt;='3월 등급 정보'!$G$11,9)))))))))</f>
        <v>4</v>
      </c>
      <c r="Y104" s="34">
        <v>37</v>
      </c>
      <c r="Z104" s="33"/>
      <c r="AA104" s="33"/>
      <c r="AB104" s="33">
        <f>IF(INT(Y104)&gt;='3월 등급 정보'!$H$3,1,IF(INT(Y104)&gt;='3월 등급 정보'!$H$4,2,IF(INT(Y104)&gt;='3월 등급 정보'!$H$5,3,IF(INT(Y104)&gt;='3월 등급 정보'!$H$6,4,IF(INT(Y104)&gt;='3월 등급 정보'!$H$7,5,IF(INT(Y104)&gt;='3월 등급 정보'!$H$8,6,IF(INT(Y104)&gt;='3월 등급 정보'!$H$9,7,IF(INT(Y104)&gt;='3월 등급 정보'!$H$10,8,IF(INT(Y104)&gt;='3월 등급 정보'!$H$11,9)))))))))</f>
        <v>2</v>
      </c>
      <c r="AC104" s="33">
        <f>E104+I104+M104+Q104+U104</f>
        <v>248</v>
      </c>
      <c r="AD104" s="33">
        <f>RANK(AC104,$AC$3:$AC$273)</f>
        <v>101</v>
      </c>
    </row>
    <row r="105" spans="1:30" ht="17.25" customHeight="1">
      <c r="A105" s="33" t="s">
        <v>26</v>
      </c>
      <c r="B105" s="34">
        <v>4</v>
      </c>
      <c r="C105" s="34">
        <v>11</v>
      </c>
      <c r="D105" s="34" t="s">
        <v>116</v>
      </c>
      <c r="E105" s="34">
        <v>59</v>
      </c>
      <c r="F105" s="33"/>
      <c r="G105" s="33"/>
      <c r="H105" s="33">
        <f>IF(INT(E105)&gt;='3월 등급 정보'!$C$3,1,IF(INT(E105)&gt;='3월 등급 정보'!$C$4,2,IF(INT(E105)&gt;='3월 등급 정보'!$C$5,3,IF(INT(E105)&gt;='3월 등급 정보'!$C$6,4,IF(INT(E105)&gt;='3월 등급 정보'!$C$7,5,IF(INT(E105)&gt;='3월 등급 정보'!$C$8,6,IF(INT(E105)&gt;='3월 등급 정보'!$C$9,7,IF(INT(E105)&gt;='3월 등급 정보'!$C$10,8,IF(INT(E105)&gt;='3월 등급 정보'!$C$11,9)))))))))</f>
        <v>5</v>
      </c>
      <c r="I105" s="34">
        <v>62</v>
      </c>
      <c r="J105" s="33"/>
      <c r="K105" s="33"/>
      <c r="L105" s="33">
        <f>IF(INT(I105)&gt;='3월 등급 정보'!$D$3,1,IF(INT(I105)&gt;='3월 등급 정보'!$D$4,2,IF(INT(I105)&gt;='3월 등급 정보'!$D$5,3,IF(INT(I105)&gt;='3월 등급 정보'!$D$6,4,IF(INT(I105)&gt;='3월 등급 정보'!$D$7,5,IF(INT(I105)&gt;='3월 등급 정보'!$D$8,6,IF(INT(I105)&gt;='3월 등급 정보'!$D$9,7,IF(INT(I105)&gt;='3월 등급 정보'!$D$10,8,IF(INT(I105)&gt;='3월 등급 정보'!$D$11,9)))))))))</f>
        <v>3</v>
      </c>
      <c r="M105" s="34">
        <v>66</v>
      </c>
      <c r="N105" s="33"/>
      <c r="O105" s="33"/>
      <c r="P105" s="33">
        <f>IF(INT(M105)&gt;='3월 등급 정보'!$E$3,1,IF(INT(M105)&gt;='3월 등급 정보'!$E$4,2,IF(INT(M105)&gt;='3월 등급 정보'!$E$5,3,IF(INT(M105)&gt;='3월 등급 정보'!$E$6,4,IF(INT(M105)&gt;='3월 등급 정보'!$E$7,5,IF(INT(M105)&gt;='3월 등급 정보'!$E$8,6,IF(INT(M105)&gt;='3월 등급 정보'!$E$9,7,IF(INT(M105)&gt;='3월 등급 정보'!$E$10,8,IF(INT(M105)&gt;='3월 등급 정보'!$E$11,9)))))))))</f>
        <v>4</v>
      </c>
      <c r="Q105" s="34">
        <v>33</v>
      </c>
      <c r="R105" s="33"/>
      <c r="S105" s="33"/>
      <c r="T105" s="33">
        <f>IF(INT(Q105)&gt;='3월 등급 정보'!$F$3,1,IF(INT(Q105)&gt;='3월 등급 정보'!$F$4,2,IF(INT(Q105)&gt;='3월 등급 정보'!$F$5,3,IF(INT(Q105)&gt;='3월 등급 정보'!$F$6,4,IF(INT(Q105)&gt;='3월 등급 정보'!$F$7,5,IF(INT(Q105)&gt;='3월 등급 정보'!$F$8,6,IF(INT(Q105)&gt;='3월 등급 정보'!$F$9,7,IF(INT(Q105)&gt;='3월 등급 정보'!$F$10,8,IF(INT(Q105)&gt;='3월 등급 정보'!$F$11,9)))))))))</f>
        <v>4</v>
      </c>
      <c r="U105" s="34">
        <v>27.5</v>
      </c>
      <c r="V105" s="33"/>
      <c r="W105" s="33"/>
      <c r="X105" s="33">
        <f>IF(INT(U105)&gt;='3월 등급 정보'!$G$3,1,IF(INT(U105)&gt;='3월 등급 정보'!$G$4,2,IF(INT(U105)&gt;='3월 등급 정보'!$G$5,3,IF(INT(U105)&gt;='3월 등급 정보'!$G$6,4,IF(INT(U105)&gt;='3월 등급 정보'!$G$7,5,IF(INT(U105)&gt;='3월 등급 정보'!$G$8,6,IF(INT(U105)&gt;='3월 등급 정보'!$G$9,7,IF(INT(U105)&gt;='3월 등급 정보'!$G$10,8,IF(INT(U105)&gt;='3월 등급 정보'!$G$11,9)))))))))</f>
        <v>4</v>
      </c>
      <c r="Y105" s="34">
        <v>25</v>
      </c>
      <c r="Z105" s="33"/>
      <c r="AA105" s="33"/>
      <c r="AB105" s="33">
        <f>IF(INT(Y105)&gt;='3월 등급 정보'!$H$3,1,IF(INT(Y105)&gt;='3월 등급 정보'!$H$4,2,IF(INT(Y105)&gt;='3월 등급 정보'!$H$5,3,IF(INT(Y105)&gt;='3월 등급 정보'!$H$6,4,IF(INT(Y105)&gt;='3월 등급 정보'!$H$7,5,IF(INT(Y105)&gt;='3월 등급 정보'!$H$8,6,IF(INT(Y105)&gt;='3월 등급 정보'!$H$9,7,IF(INT(Y105)&gt;='3월 등급 정보'!$H$10,8,IF(INT(Y105)&gt;='3월 등급 정보'!$H$11,9)))))))))</f>
        <v>4</v>
      </c>
      <c r="AC105" s="33">
        <f>E105+I105+M105+Q105+U105</f>
        <v>247.5</v>
      </c>
      <c r="AD105" s="33">
        <f>RANK(AC105,$AC$3:$AC$273)</f>
        <v>103</v>
      </c>
    </row>
    <row r="106" spans="1:30" ht="17.25" customHeight="1">
      <c r="A106" s="33" t="s">
        <v>26</v>
      </c>
      <c r="B106" s="34">
        <v>3</v>
      </c>
      <c r="C106" s="34">
        <v>19</v>
      </c>
      <c r="D106" s="34" t="s">
        <v>97</v>
      </c>
      <c r="E106" s="34">
        <v>62</v>
      </c>
      <c r="F106" s="33"/>
      <c r="G106" s="33"/>
      <c r="H106" s="33">
        <f>IF(INT(E106)&gt;='3월 등급 정보'!$C$3,1,IF(INT(E106)&gt;='3월 등급 정보'!$C$4,2,IF(INT(E106)&gt;='3월 등급 정보'!$C$5,3,IF(INT(E106)&gt;='3월 등급 정보'!$C$6,4,IF(INT(E106)&gt;='3월 등급 정보'!$C$7,5,IF(INT(E106)&gt;='3월 등급 정보'!$C$8,6,IF(INT(E106)&gt;='3월 등급 정보'!$C$9,7,IF(INT(E106)&gt;='3월 등급 정보'!$C$10,8,IF(INT(E106)&gt;='3월 등급 정보'!$C$11,9)))))))))</f>
        <v>4</v>
      </c>
      <c r="I106" s="34">
        <v>49</v>
      </c>
      <c r="J106" s="33"/>
      <c r="K106" s="33"/>
      <c r="L106" s="33">
        <f>IF(INT(I106)&gt;='3월 등급 정보'!$D$3,1,IF(INT(I106)&gt;='3월 등급 정보'!$D$4,2,IF(INT(I106)&gt;='3월 등급 정보'!$D$5,3,IF(INT(I106)&gt;='3월 등급 정보'!$D$6,4,IF(INT(I106)&gt;='3월 등급 정보'!$D$7,5,IF(INT(I106)&gt;='3월 등급 정보'!$D$8,6,IF(INT(I106)&gt;='3월 등급 정보'!$D$9,7,IF(INT(I106)&gt;='3월 등급 정보'!$D$10,8,IF(INT(I106)&gt;='3월 등급 정보'!$D$11,9)))))))))</f>
        <v>5</v>
      </c>
      <c r="M106" s="34">
        <v>73</v>
      </c>
      <c r="N106" s="33"/>
      <c r="O106" s="33"/>
      <c r="P106" s="33">
        <f>IF(INT(M106)&gt;='3월 등급 정보'!$E$3,1,IF(INT(M106)&gt;='3월 등급 정보'!$E$4,2,IF(INT(M106)&gt;='3월 등급 정보'!$E$5,3,IF(INT(M106)&gt;='3월 등급 정보'!$E$6,4,IF(INT(M106)&gt;='3월 등급 정보'!$E$7,5,IF(INT(M106)&gt;='3월 등급 정보'!$E$8,6,IF(INT(M106)&gt;='3월 등급 정보'!$E$9,7,IF(INT(M106)&gt;='3월 등급 정보'!$E$10,8,IF(INT(M106)&gt;='3월 등급 정보'!$E$11,9)))))))))</f>
        <v>3</v>
      </c>
      <c r="Q106" s="34">
        <v>41.5</v>
      </c>
      <c r="R106" s="33"/>
      <c r="S106" s="33"/>
      <c r="T106" s="33">
        <f>IF(INT(Q106)&gt;='3월 등급 정보'!$F$3,1,IF(INT(Q106)&gt;='3월 등급 정보'!$F$4,2,IF(INT(Q106)&gt;='3월 등급 정보'!$F$5,3,IF(INT(Q106)&gt;='3월 등급 정보'!$F$6,4,IF(INT(Q106)&gt;='3월 등급 정보'!$F$7,5,IF(INT(Q106)&gt;='3월 등급 정보'!$F$8,6,IF(INT(Q106)&gt;='3월 등급 정보'!$F$9,7,IF(INT(Q106)&gt;='3월 등급 정보'!$F$10,8,IF(INT(Q106)&gt;='3월 등급 정보'!$F$11,9)))))))))</f>
        <v>3</v>
      </c>
      <c r="U106" s="34">
        <v>21</v>
      </c>
      <c r="V106" s="33"/>
      <c r="W106" s="33"/>
      <c r="X106" s="33">
        <f>IF(INT(U106)&gt;='3월 등급 정보'!$G$3,1,IF(INT(U106)&gt;='3월 등급 정보'!$G$4,2,IF(INT(U106)&gt;='3월 등급 정보'!$G$5,3,IF(INT(U106)&gt;='3월 등급 정보'!$G$6,4,IF(INT(U106)&gt;='3월 등급 정보'!$G$7,5,IF(INT(U106)&gt;='3월 등급 정보'!$G$8,6,IF(INT(U106)&gt;='3월 등급 정보'!$G$9,7,IF(INT(U106)&gt;='3월 등급 정보'!$G$10,8,IF(INT(U106)&gt;='3월 등급 정보'!$G$11,9)))))))))</f>
        <v>5</v>
      </c>
      <c r="Y106" s="34">
        <v>14</v>
      </c>
      <c r="Z106" s="33"/>
      <c r="AA106" s="33"/>
      <c r="AB106" s="33">
        <f>IF(INT(Y106)&gt;='3월 등급 정보'!$H$3,1,IF(INT(Y106)&gt;='3월 등급 정보'!$H$4,2,IF(INT(Y106)&gt;='3월 등급 정보'!$H$5,3,IF(INT(Y106)&gt;='3월 등급 정보'!$H$6,4,IF(INT(Y106)&gt;='3월 등급 정보'!$H$7,5,IF(INT(Y106)&gt;='3월 등급 정보'!$H$8,6,IF(INT(Y106)&gt;='3월 등급 정보'!$H$9,7,IF(INT(Y106)&gt;='3월 등급 정보'!$H$10,8,IF(INT(Y106)&gt;='3월 등급 정보'!$H$11,9)))))))))</f>
        <v>7</v>
      </c>
      <c r="AC106" s="33">
        <f>E106+I106+M106+Q106+U106</f>
        <v>246.5</v>
      </c>
      <c r="AD106" s="33">
        <f>RANK(AC106,$AC$3:$AC$273)</f>
        <v>104</v>
      </c>
    </row>
    <row r="107" spans="1:30" ht="17.25" customHeight="1">
      <c r="A107" s="33" t="s">
        <v>26</v>
      </c>
      <c r="B107" s="34">
        <v>4</v>
      </c>
      <c r="C107" s="34">
        <v>15</v>
      </c>
      <c r="D107" s="34" t="s">
        <v>120</v>
      </c>
      <c r="E107" s="34">
        <v>49</v>
      </c>
      <c r="F107" s="33"/>
      <c r="G107" s="33"/>
      <c r="H107" s="33">
        <f>IF(INT(E107)&gt;='3월 등급 정보'!$C$3,1,IF(INT(E107)&gt;='3월 등급 정보'!$C$4,2,IF(INT(E107)&gt;='3월 등급 정보'!$C$5,3,IF(INT(E107)&gt;='3월 등급 정보'!$C$6,4,IF(INT(E107)&gt;='3월 등급 정보'!$C$7,5,IF(INT(E107)&gt;='3월 등급 정보'!$C$8,6,IF(INT(E107)&gt;='3월 등급 정보'!$C$9,7,IF(INT(E107)&gt;='3월 등급 정보'!$C$10,8,IF(INT(E107)&gt;='3월 등급 정보'!$C$11,9)))))))))</f>
        <v>5</v>
      </c>
      <c r="I107" s="34">
        <v>54</v>
      </c>
      <c r="J107" s="33"/>
      <c r="K107" s="33"/>
      <c r="L107" s="33">
        <f>IF(INT(I107)&gt;='3월 등급 정보'!$D$3,1,IF(INT(I107)&gt;='3월 등급 정보'!$D$4,2,IF(INT(I107)&gt;='3월 등급 정보'!$D$5,3,IF(INT(I107)&gt;='3월 등급 정보'!$D$6,4,IF(INT(I107)&gt;='3월 등급 정보'!$D$7,5,IF(INT(I107)&gt;='3월 등급 정보'!$D$8,6,IF(INT(I107)&gt;='3월 등급 정보'!$D$9,7,IF(INT(I107)&gt;='3월 등급 정보'!$D$10,8,IF(INT(I107)&gt;='3월 등급 정보'!$D$11,9)))))))))</f>
        <v>4</v>
      </c>
      <c r="M107" s="34">
        <v>62</v>
      </c>
      <c r="N107" s="33"/>
      <c r="O107" s="33"/>
      <c r="P107" s="33">
        <f>IF(INT(M107)&gt;='3월 등급 정보'!$E$3,1,IF(INT(M107)&gt;='3월 등급 정보'!$E$4,2,IF(INT(M107)&gt;='3월 등급 정보'!$E$5,3,IF(INT(M107)&gt;='3월 등급 정보'!$E$6,4,IF(INT(M107)&gt;='3월 등급 정보'!$E$7,5,IF(INT(M107)&gt;='3월 등급 정보'!$E$8,6,IF(INT(M107)&gt;='3월 등급 정보'!$E$9,7,IF(INT(M107)&gt;='3월 등급 정보'!$E$10,8,IF(INT(M107)&gt;='3월 등급 정보'!$E$11,9)))))))))</f>
        <v>4</v>
      </c>
      <c r="Q107" s="34">
        <v>36.5</v>
      </c>
      <c r="R107" s="33"/>
      <c r="S107" s="33"/>
      <c r="T107" s="33">
        <f>IF(INT(Q107)&gt;='3월 등급 정보'!$F$3,1,IF(INT(Q107)&gt;='3월 등급 정보'!$F$4,2,IF(INT(Q107)&gt;='3월 등급 정보'!$F$5,3,IF(INT(Q107)&gt;='3월 등급 정보'!$F$6,4,IF(INT(Q107)&gt;='3월 등급 정보'!$F$7,5,IF(INT(Q107)&gt;='3월 등급 정보'!$F$8,6,IF(INT(Q107)&gt;='3월 등급 정보'!$F$9,7,IF(INT(Q107)&gt;='3월 등급 정보'!$F$10,8,IF(INT(Q107)&gt;='3월 등급 정보'!$F$11,9)))))))))</f>
        <v>4</v>
      </c>
      <c r="U107" s="34">
        <v>44.5</v>
      </c>
      <c r="V107" s="33"/>
      <c r="W107" s="33"/>
      <c r="X107" s="33">
        <f>IF(INT(U107)&gt;='3월 등급 정보'!$G$3,1,IF(INT(U107)&gt;='3월 등급 정보'!$G$4,2,IF(INT(U107)&gt;='3월 등급 정보'!$G$5,3,IF(INT(U107)&gt;='3월 등급 정보'!$G$6,4,IF(INT(U107)&gt;='3월 등급 정보'!$G$7,5,IF(INT(U107)&gt;='3월 등급 정보'!$G$8,6,IF(INT(U107)&gt;='3월 등급 정보'!$G$9,7,IF(INT(U107)&gt;='3월 등급 정보'!$G$10,8,IF(INT(U107)&gt;='3월 등급 정보'!$G$11,9)))))))))</f>
        <v>1</v>
      </c>
      <c r="Y107" s="34">
        <v>25</v>
      </c>
      <c r="Z107" s="33"/>
      <c r="AA107" s="33"/>
      <c r="AB107" s="33">
        <f>IF(INT(Y107)&gt;='3월 등급 정보'!$H$3,1,IF(INT(Y107)&gt;='3월 등급 정보'!$H$4,2,IF(INT(Y107)&gt;='3월 등급 정보'!$H$5,3,IF(INT(Y107)&gt;='3월 등급 정보'!$H$6,4,IF(INT(Y107)&gt;='3월 등급 정보'!$H$7,5,IF(INT(Y107)&gt;='3월 등급 정보'!$H$8,6,IF(INT(Y107)&gt;='3월 등급 정보'!$H$9,7,IF(INT(Y107)&gt;='3월 등급 정보'!$H$10,8,IF(INT(Y107)&gt;='3월 등급 정보'!$H$11,9)))))))))</f>
        <v>4</v>
      </c>
      <c r="AC107" s="33">
        <f>E107+I107+M107+Q107+U107</f>
        <v>246</v>
      </c>
      <c r="AD107" s="33">
        <f>RANK(AC107,$AC$3:$AC$273)</f>
        <v>105</v>
      </c>
    </row>
    <row r="108" spans="1:30" ht="17.25" customHeight="1">
      <c r="A108" s="33" t="s">
        <v>26</v>
      </c>
      <c r="B108" s="34">
        <v>8</v>
      </c>
      <c r="C108" s="34">
        <v>23</v>
      </c>
      <c r="D108" s="34" t="s">
        <v>234</v>
      </c>
      <c r="E108" s="34">
        <v>68</v>
      </c>
      <c r="F108" s="33"/>
      <c r="G108" s="33"/>
      <c r="H108" s="33">
        <f>IF(INT(E108)&gt;='3월 등급 정보'!$C$3,1,IF(INT(E108)&gt;='3월 등급 정보'!$C$4,2,IF(INT(E108)&gt;='3월 등급 정보'!$C$5,3,IF(INT(E108)&gt;='3월 등급 정보'!$C$6,4,IF(INT(E108)&gt;='3월 등급 정보'!$C$7,5,IF(INT(E108)&gt;='3월 등급 정보'!$C$8,6,IF(INT(E108)&gt;='3월 등급 정보'!$C$9,7,IF(INT(E108)&gt;='3월 등급 정보'!$C$10,8,IF(INT(E108)&gt;='3월 등급 정보'!$C$11,9)))))))))</f>
        <v>4</v>
      </c>
      <c r="I108" s="34">
        <v>27</v>
      </c>
      <c r="J108" s="33"/>
      <c r="K108" s="33"/>
      <c r="L108" s="33">
        <f>IF(INT(I108)&gt;='3월 등급 정보'!$D$3,1,IF(INT(I108)&gt;='3월 등급 정보'!$D$4,2,IF(INT(I108)&gt;='3월 등급 정보'!$D$5,3,IF(INT(I108)&gt;='3월 등급 정보'!$D$6,4,IF(INT(I108)&gt;='3월 등급 정보'!$D$7,5,IF(INT(I108)&gt;='3월 등급 정보'!$D$8,6,IF(INT(I108)&gt;='3월 등급 정보'!$D$9,7,IF(INT(I108)&gt;='3월 등급 정보'!$D$10,8,IF(INT(I108)&gt;='3월 등급 정보'!$D$11,9)))))))))</f>
        <v>7</v>
      </c>
      <c r="M108" s="34">
        <v>82</v>
      </c>
      <c r="N108" s="33"/>
      <c r="O108" s="33"/>
      <c r="P108" s="33">
        <f>IF(INT(M108)&gt;='3월 등급 정보'!$E$3,1,IF(INT(M108)&gt;='3월 등급 정보'!$E$4,2,IF(INT(M108)&gt;='3월 등급 정보'!$E$5,3,IF(INT(M108)&gt;='3월 등급 정보'!$E$6,4,IF(INT(M108)&gt;='3월 등급 정보'!$E$7,5,IF(INT(M108)&gt;='3월 등급 정보'!$E$8,6,IF(INT(M108)&gt;='3월 등급 정보'!$E$9,7,IF(INT(M108)&gt;='3월 등급 정보'!$E$10,8,IF(INT(M108)&gt;='3월 등급 정보'!$E$11,9)))))))))</f>
        <v>2</v>
      </c>
      <c r="Q108" s="34">
        <v>38.5</v>
      </c>
      <c r="R108" s="33"/>
      <c r="S108" s="33"/>
      <c r="T108" s="33">
        <f>IF(INT(Q108)&gt;='3월 등급 정보'!$F$3,1,IF(INT(Q108)&gt;='3월 등급 정보'!$F$4,2,IF(INT(Q108)&gt;='3월 등급 정보'!$F$5,3,IF(INT(Q108)&gt;='3월 등급 정보'!$F$6,4,IF(INT(Q108)&gt;='3월 등급 정보'!$F$7,5,IF(INT(Q108)&gt;='3월 등급 정보'!$F$8,6,IF(INT(Q108)&gt;='3월 등급 정보'!$F$9,7,IF(INT(Q108)&gt;='3월 등급 정보'!$F$10,8,IF(INT(Q108)&gt;='3월 등급 정보'!$F$11,9)))))))))</f>
        <v>3</v>
      </c>
      <c r="U108" s="34">
        <v>30.5</v>
      </c>
      <c r="V108" s="33"/>
      <c r="W108" s="33"/>
      <c r="X108" s="33">
        <f>IF(INT(U108)&gt;='3월 등급 정보'!$G$3,1,IF(INT(U108)&gt;='3월 등급 정보'!$G$4,2,IF(INT(U108)&gt;='3월 등급 정보'!$G$5,3,IF(INT(U108)&gt;='3월 등급 정보'!$G$6,4,IF(INT(U108)&gt;='3월 등급 정보'!$G$7,5,IF(INT(U108)&gt;='3월 등급 정보'!$G$8,6,IF(INT(U108)&gt;='3월 등급 정보'!$G$9,7,IF(INT(U108)&gt;='3월 등급 정보'!$G$10,8,IF(INT(U108)&gt;='3월 등급 정보'!$G$11,9)))))))))</f>
        <v>4</v>
      </c>
      <c r="Y108" s="34">
        <v>37</v>
      </c>
      <c r="Z108" s="33"/>
      <c r="AA108" s="33"/>
      <c r="AB108" s="33">
        <f>IF(INT(Y108)&gt;='3월 등급 정보'!$H$3,1,IF(INT(Y108)&gt;='3월 등급 정보'!$H$4,2,IF(INT(Y108)&gt;='3월 등급 정보'!$H$5,3,IF(INT(Y108)&gt;='3월 등급 정보'!$H$6,4,IF(INT(Y108)&gt;='3월 등급 정보'!$H$7,5,IF(INT(Y108)&gt;='3월 등급 정보'!$H$8,6,IF(INT(Y108)&gt;='3월 등급 정보'!$H$9,7,IF(INT(Y108)&gt;='3월 등급 정보'!$H$10,8,IF(INT(Y108)&gt;='3월 등급 정보'!$H$11,9)))))))))</f>
        <v>2</v>
      </c>
      <c r="AC108" s="33">
        <f>E108+I108+M108+Q108+U108</f>
        <v>246</v>
      </c>
      <c r="AD108" s="33">
        <f>RANK(AC108,$AC$3:$AC$273)</f>
        <v>105</v>
      </c>
    </row>
    <row r="109" spans="1:30" ht="17.25" customHeight="1">
      <c r="A109" s="33" t="s">
        <v>26</v>
      </c>
      <c r="B109" s="34">
        <v>10</v>
      </c>
      <c r="C109" s="34">
        <v>9</v>
      </c>
      <c r="D109" s="34" t="s">
        <v>273</v>
      </c>
      <c r="E109" s="34">
        <v>67</v>
      </c>
      <c r="F109" s="33"/>
      <c r="G109" s="33"/>
      <c r="H109" s="33">
        <f>IF(INT(E109)&gt;='3월 등급 정보'!$C$3,1,IF(INT(E109)&gt;='3월 등급 정보'!$C$4,2,IF(INT(E109)&gt;='3월 등급 정보'!$C$5,3,IF(INT(E109)&gt;='3월 등급 정보'!$C$6,4,IF(INT(E109)&gt;='3월 등급 정보'!$C$7,5,IF(INT(E109)&gt;='3월 등급 정보'!$C$8,6,IF(INT(E109)&gt;='3월 등급 정보'!$C$9,7,IF(INT(E109)&gt;='3월 등급 정보'!$C$10,8,IF(INT(E109)&gt;='3월 등급 정보'!$C$11,9)))))))))</f>
        <v>4</v>
      </c>
      <c r="I109" s="34">
        <v>51</v>
      </c>
      <c r="J109" s="33"/>
      <c r="K109" s="33"/>
      <c r="L109" s="33">
        <f>IF(INT(I109)&gt;='3월 등급 정보'!$D$3,1,IF(INT(I109)&gt;='3월 등급 정보'!$D$4,2,IF(INT(I109)&gt;='3월 등급 정보'!$D$5,3,IF(INT(I109)&gt;='3월 등급 정보'!$D$6,4,IF(INT(I109)&gt;='3월 등급 정보'!$D$7,5,IF(INT(I109)&gt;='3월 등급 정보'!$D$8,6,IF(INT(I109)&gt;='3월 등급 정보'!$D$9,7,IF(INT(I109)&gt;='3월 등급 정보'!$D$10,8,IF(INT(I109)&gt;='3월 등급 정보'!$D$11,9)))))))))</f>
        <v>4</v>
      </c>
      <c r="M109" s="34">
        <v>63</v>
      </c>
      <c r="N109" s="33"/>
      <c r="O109" s="33"/>
      <c r="P109" s="33">
        <f>IF(INT(M109)&gt;='3월 등급 정보'!$E$3,1,IF(INT(M109)&gt;='3월 등급 정보'!$E$4,2,IF(INT(M109)&gt;='3월 등급 정보'!$E$5,3,IF(INT(M109)&gt;='3월 등급 정보'!$E$6,4,IF(INT(M109)&gt;='3월 등급 정보'!$E$7,5,IF(INT(M109)&gt;='3월 등급 정보'!$E$8,6,IF(INT(M109)&gt;='3월 등급 정보'!$E$9,7,IF(INT(M109)&gt;='3월 등급 정보'!$E$10,8,IF(INT(M109)&gt;='3월 등급 정보'!$E$11,9)))))))))</f>
        <v>4</v>
      </c>
      <c r="Q109" s="34">
        <v>45</v>
      </c>
      <c r="R109" s="33"/>
      <c r="S109" s="33"/>
      <c r="T109" s="33">
        <f>IF(INT(Q109)&gt;='3월 등급 정보'!$F$3,1,IF(INT(Q109)&gt;='3월 등급 정보'!$F$4,2,IF(INT(Q109)&gt;='3월 등급 정보'!$F$5,3,IF(INT(Q109)&gt;='3월 등급 정보'!$F$6,4,IF(INT(Q109)&gt;='3월 등급 정보'!$F$7,5,IF(INT(Q109)&gt;='3월 등급 정보'!$F$8,6,IF(INT(Q109)&gt;='3월 등급 정보'!$F$9,7,IF(INT(Q109)&gt;='3월 등급 정보'!$F$10,8,IF(INT(Q109)&gt;='3월 등급 정보'!$F$11,9)))))))))</f>
        <v>2</v>
      </c>
      <c r="U109" s="34">
        <v>19</v>
      </c>
      <c r="V109" s="33"/>
      <c r="W109" s="33"/>
      <c r="X109" s="33">
        <f>IF(INT(U109)&gt;='3월 등급 정보'!$G$3,1,IF(INT(U109)&gt;='3월 등급 정보'!$G$4,2,IF(INT(U109)&gt;='3월 등급 정보'!$G$5,3,IF(INT(U109)&gt;='3월 등급 정보'!$G$6,4,IF(INT(U109)&gt;='3월 등급 정보'!$G$7,5,IF(INT(U109)&gt;='3월 등급 정보'!$G$8,6,IF(INT(U109)&gt;='3월 등급 정보'!$G$9,7,IF(INT(U109)&gt;='3월 등급 정보'!$G$10,8,IF(INT(U109)&gt;='3월 등급 정보'!$G$11,9)))))))))</f>
        <v>5</v>
      </c>
      <c r="Y109" s="34">
        <v>38</v>
      </c>
      <c r="Z109" s="33"/>
      <c r="AA109" s="33"/>
      <c r="AB109" s="33">
        <f>IF(INT(Y109)&gt;='3월 등급 정보'!$H$3,1,IF(INT(Y109)&gt;='3월 등급 정보'!$H$4,2,IF(INT(Y109)&gt;='3월 등급 정보'!$H$5,3,IF(INT(Y109)&gt;='3월 등급 정보'!$H$6,4,IF(INT(Y109)&gt;='3월 등급 정보'!$H$7,5,IF(INT(Y109)&gt;='3월 등급 정보'!$H$8,6,IF(INT(Y109)&gt;='3월 등급 정보'!$H$9,7,IF(INT(Y109)&gt;='3월 등급 정보'!$H$10,8,IF(INT(Y109)&gt;='3월 등급 정보'!$H$11,9)))))))))</f>
        <v>2</v>
      </c>
      <c r="AC109" s="33">
        <f>E109+I109+M109+Q109+U109</f>
        <v>245</v>
      </c>
      <c r="AD109" s="33">
        <f>RANK(AC109,$AC$3:$AC$273)</f>
        <v>107</v>
      </c>
    </row>
    <row r="110" spans="1:30" ht="17.25" customHeight="1">
      <c r="A110" s="33" t="s">
        <v>26</v>
      </c>
      <c r="B110" s="34">
        <v>4</v>
      </c>
      <c r="C110" s="34">
        <v>26</v>
      </c>
      <c r="D110" s="34" t="s">
        <v>130</v>
      </c>
      <c r="E110" s="34">
        <v>65</v>
      </c>
      <c r="F110" s="33"/>
      <c r="G110" s="33"/>
      <c r="H110" s="33">
        <f>IF(INT(E110)&gt;='3월 등급 정보'!$C$3,1,IF(INT(E110)&gt;='3월 등급 정보'!$C$4,2,IF(INT(E110)&gt;='3월 등급 정보'!$C$5,3,IF(INT(E110)&gt;='3월 등급 정보'!$C$6,4,IF(INT(E110)&gt;='3월 등급 정보'!$C$7,5,IF(INT(E110)&gt;='3월 등급 정보'!$C$8,6,IF(INT(E110)&gt;='3월 등급 정보'!$C$9,7,IF(INT(E110)&gt;='3월 등급 정보'!$C$10,8,IF(INT(E110)&gt;='3월 등급 정보'!$C$11,9)))))))))</f>
        <v>4</v>
      </c>
      <c r="I110" s="34">
        <v>52</v>
      </c>
      <c r="J110" s="33"/>
      <c r="K110" s="33"/>
      <c r="L110" s="33">
        <f>IF(INT(I110)&gt;='3월 등급 정보'!$D$3,1,IF(INT(I110)&gt;='3월 등급 정보'!$D$4,2,IF(INT(I110)&gt;='3월 등급 정보'!$D$5,3,IF(INT(I110)&gt;='3월 등급 정보'!$D$6,4,IF(INT(I110)&gt;='3월 등급 정보'!$D$7,5,IF(INT(I110)&gt;='3월 등급 정보'!$D$8,6,IF(INT(I110)&gt;='3월 등급 정보'!$D$9,7,IF(INT(I110)&gt;='3월 등급 정보'!$D$10,8,IF(INT(I110)&gt;='3월 등급 정보'!$D$11,9)))))))))</f>
        <v>4</v>
      </c>
      <c r="M110" s="34">
        <v>64</v>
      </c>
      <c r="N110" s="33"/>
      <c r="O110" s="33"/>
      <c r="P110" s="33">
        <f>IF(INT(M110)&gt;='3월 등급 정보'!$E$3,1,IF(INT(M110)&gt;='3월 등급 정보'!$E$4,2,IF(INT(M110)&gt;='3월 등급 정보'!$E$5,3,IF(INT(M110)&gt;='3월 등급 정보'!$E$6,4,IF(INT(M110)&gt;='3월 등급 정보'!$E$7,5,IF(INT(M110)&gt;='3월 등급 정보'!$E$8,6,IF(INT(M110)&gt;='3월 등급 정보'!$E$9,7,IF(INT(M110)&gt;='3월 등급 정보'!$E$10,8,IF(INT(M110)&gt;='3월 등급 정보'!$E$11,9)))))))))</f>
        <v>4</v>
      </c>
      <c r="Q110" s="34">
        <v>33.5</v>
      </c>
      <c r="R110" s="33"/>
      <c r="S110" s="33"/>
      <c r="T110" s="33">
        <f>IF(INT(Q110)&gt;='3월 등급 정보'!$F$3,1,IF(INT(Q110)&gt;='3월 등급 정보'!$F$4,2,IF(INT(Q110)&gt;='3월 등급 정보'!$F$5,3,IF(INT(Q110)&gt;='3월 등급 정보'!$F$6,4,IF(INT(Q110)&gt;='3월 등급 정보'!$F$7,5,IF(INT(Q110)&gt;='3월 등급 정보'!$F$8,6,IF(INT(Q110)&gt;='3월 등급 정보'!$F$9,7,IF(INT(Q110)&gt;='3월 등급 정보'!$F$10,8,IF(INT(Q110)&gt;='3월 등급 정보'!$F$11,9)))))))))</f>
        <v>4</v>
      </c>
      <c r="U110" s="34">
        <v>30</v>
      </c>
      <c r="V110" s="33"/>
      <c r="W110" s="33"/>
      <c r="X110" s="33">
        <f>IF(INT(U110)&gt;='3월 등급 정보'!$G$3,1,IF(INT(U110)&gt;='3월 등급 정보'!$G$4,2,IF(INT(U110)&gt;='3월 등급 정보'!$G$5,3,IF(INT(U110)&gt;='3월 등급 정보'!$G$6,4,IF(INT(U110)&gt;='3월 등급 정보'!$G$7,5,IF(INT(U110)&gt;='3월 등급 정보'!$G$8,6,IF(INT(U110)&gt;='3월 등급 정보'!$G$9,7,IF(INT(U110)&gt;='3월 등급 정보'!$G$10,8,IF(INT(U110)&gt;='3월 등급 정보'!$G$11,9)))))))))</f>
        <v>4</v>
      </c>
      <c r="Y110" s="34">
        <v>36</v>
      </c>
      <c r="Z110" s="33"/>
      <c r="AA110" s="33"/>
      <c r="AB110" s="33">
        <f>IF(INT(Y110)&gt;='3월 등급 정보'!$H$3,1,IF(INT(Y110)&gt;='3월 등급 정보'!$H$4,2,IF(INT(Y110)&gt;='3월 등급 정보'!$H$5,3,IF(INT(Y110)&gt;='3월 등급 정보'!$H$6,4,IF(INT(Y110)&gt;='3월 등급 정보'!$H$7,5,IF(INT(Y110)&gt;='3월 등급 정보'!$H$8,6,IF(INT(Y110)&gt;='3월 등급 정보'!$H$9,7,IF(INT(Y110)&gt;='3월 등급 정보'!$H$10,8,IF(INT(Y110)&gt;='3월 등급 정보'!$H$11,9)))))))))</f>
        <v>2</v>
      </c>
      <c r="AC110" s="33">
        <f>E110+I110+M110+Q110+U110</f>
        <v>244.5</v>
      </c>
      <c r="AD110" s="33">
        <f>RANK(AC110,$AC$3:$AC$273)</f>
        <v>108</v>
      </c>
    </row>
    <row r="111" spans="1:30" ht="17.25" customHeight="1">
      <c r="A111" s="33" t="s">
        <v>26</v>
      </c>
      <c r="B111" s="34">
        <v>2</v>
      </c>
      <c r="C111" s="34">
        <v>13</v>
      </c>
      <c r="D111" s="34" t="s">
        <v>65</v>
      </c>
      <c r="E111" s="34">
        <v>61</v>
      </c>
      <c r="F111" s="33"/>
      <c r="G111" s="33"/>
      <c r="H111" s="33">
        <f>IF(INT(E111)&gt;='3월 등급 정보'!$C$3,1,IF(INT(E111)&gt;='3월 등급 정보'!$C$4,2,IF(INT(E111)&gt;='3월 등급 정보'!$C$5,3,IF(INT(E111)&gt;='3월 등급 정보'!$C$6,4,IF(INT(E111)&gt;='3월 등급 정보'!$C$7,5,IF(INT(E111)&gt;='3월 등급 정보'!$C$8,6,IF(INT(E111)&gt;='3월 등급 정보'!$C$9,7,IF(INT(E111)&gt;='3월 등급 정보'!$C$10,8,IF(INT(E111)&gt;='3월 등급 정보'!$C$11,9)))))))))</f>
        <v>4</v>
      </c>
      <c r="I111" s="34">
        <v>49</v>
      </c>
      <c r="J111" s="33"/>
      <c r="K111" s="33"/>
      <c r="L111" s="33">
        <f>IF(INT(I111)&gt;='3월 등급 정보'!$D$3,1,IF(INT(I111)&gt;='3월 등급 정보'!$D$4,2,IF(INT(I111)&gt;='3월 등급 정보'!$D$5,3,IF(INT(I111)&gt;='3월 등급 정보'!$D$6,4,IF(INT(I111)&gt;='3월 등급 정보'!$D$7,5,IF(INT(I111)&gt;='3월 등급 정보'!$D$8,6,IF(INT(I111)&gt;='3월 등급 정보'!$D$9,7,IF(INT(I111)&gt;='3월 등급 정보'!$D$10,8,IF(INT(I111)&gt;='3월 등급 정보'!$D$11,9)))))))))</f>
        <v>5</v>
      </c>
      <c r="M111" s="34">
        <v>75</v>
      </c>
      <c r="N111" s="33"/>
      <c r="O111" s="33"/>
      <c r="P111" s="33">
        <f>IF(INT(M111)&gt;='3월 등급 정보'!$E$3,1,IF(INT(M111)&gt;='3월 등급 정보'!$E$4,2,IF(INT(M111)&gt;='3월 등급 정보'!$E$5,3,IF(INT(M111)&gt;='3월 등급 정보'!$E$6,4,IF(INT(M111)&gt;='3월 등급 정보'!$E$7,5,IF(INT(M111)&gt;='3월 등급 정보'!$E$8,6,IF(INT(M111)&gt;='3월 등급 정보'!$E$9,7,IF(INT(M111)&gt;='3월 등급 정보'!$E$10,8,IF(INT(M111)&gt;='3월 등급 정보'!$E$11,9)))))))))</f>
        <v>3</v>
      </c>
      <c r="Q111" s="34">
        <v>33</v>
      </c>
      <c r="R111" s="33"/>
      <c r="S111" s="33"/>
      <c r="T111" s="33">
        <f>IF(INT(Q111)&gt;='3월 등급 정보'!$F$3,1,IF(INT(Q111)&gt;='3월 등급 정보'!$F$4,2,IF(INT(Q111)&gt;='3월 등급 정보'!$F$5,3,IF(INT(Q111)&gt;='3월 등급 정보'!$F$6,4,IF(INT(Q111)&gt;='3월 등급 정보'!$F$7,5,IF(INT(Q111)&gt;='3월 등급 정보'!$F$8,6,IF(INT(Q111)&gt;='3월 등급 정보'!$F$9,7,IF(INT(Q111)&gt;='3월 등급 정보'!$F$10,8,IF(INT(Q111)&gt;='3월 등급 정보'!$F$11,9)))))))))</f>
        <v>4</v>
      </c>
      <c r="U111" s="34">
        <v>26</v>
      </c>
      <c r="V111" s="33"/>
      <c r="W111" s="33"/>
      <c r="X111" s="33">
        <f>IF(INT(U111)&gt;='3월 등급 정보'!$G$3,1,IF(INT(U111)&gt;='3월 등급 정보'!$G$4,2,IF(INT(U111)&gt;='3월 등급 정보'!$G$5,3,IF(INT(U111)&gt;='3월 등급 정보'!$G$6,4,IF(INT(U111)&gt;='3월 등급 정보'!$G$7,5,IF(INT(U111)&gt;='3월 등급 정보'!$G$8,6,IF(INT(U111)&gt;='3월 등급 정보'!$G$9,7,IF(INT(U111)&gt;='3월 등급 정보'!$G$10,8,IF(INT(U111)&gt;='3월 등급 정보'!$G$11,9)))))))))</f>
        <v>4</v>
      </c>
      <c r="Y111" s="34">
        <v>27</v>
      </c>
      <c r="Z111" s="33"/>
      <c r="AA111" s="33"/>
      <c r="AB111" s="33">
        <f>IF(INT(Y111)&gt;='3월 등급 정보'!$H$3,1,IF(INT(Y111)&gt;='3월 등급 정보'!$H$4,2,IF(INT(Y111)&gt;='3월 등급 정보'!$H$5,3,IF(INT(Y111)&gt;='3월 등급 정보'!$H$6,4,IF(INT(Y111)&gt;='3월 등급 정보'!$H$7,5,IF(INT(Y111)&gt;='3월 등급 정보'!$H$8,6,IF(INT(Y111)&gt;='3월 등급 정보'!$H$9,7,IF(INT(Y111)&gt;='3월 등급 정보'!$H$10,8,IF(INT(Y111)&gt;='3월 등급 정보'!$H$11,9)))))))))</f>
        <v>4</v>
      </c>
      <c r="AC111" s="33">
        <f>E111+I111+M111+Q111+U111</f>
        <v>244</v>
      </c>
      <c r="AD111" s="33">
        <f>RANK(AC111,$AC$3:$AC$273)</f>
        <v>109</v>
      </c>
    </row>
    <row r="112" spans="1:30" ht="17.25" customHeight="1">
      <c r="A112" s="33" t="s">
        <v>26</v>
      </c>
      <c r="B112" s="34">
        <v>4</v>
      </c>
      <c r="C112" s="34">
        <v>27</v>
      </c>
      <c r="D112" s="34" t="s">
        <v>131</v>
      </c>
      <c r="E112" s="34">
        <v>47</v>
      </c>
      <c r="F112" s="33"/>
      <c r="G112" s="33"/>
      <c r="H112" s="33">
        <f>IF(INT(E112)&gt;='3월 등급 정보'!$C$3,1,IF(INT(E112)&gt;='3월 등급 정보'!$C$4,2,IF(INT(E112)&gt;='3월 등급 정보'!$C$5,3,IF(INT(E112)&gt;='3월 등급 정보'!$C$6,4,IF(INT(E112)&gt;='3월 등급 정보'!$C$7,5,IF(INT(E112)&gt;='3월 등급 정보'!$C$8,6,IF(INT(E112)&gt;='3월 등급 정보'!$C$9,7,IF(INT(E112)&gt;='3월 등급 정보'!$C$10,8,IF(INT(E112)&gt;='3월 등급 정보'!$C$11,9)))))))))</f>
        <v>6</v>
      </c>
      <c r="I112" s="34">
        <v>53</v>
      </c>
      <c r="J112" s="33"/>
      <c r="K112" s="33"/>
      <c r="L112" s="33">
        <f>IF(INT(I112)&gt;='3월 등급 정보'!$D$3,1,IF(INT(I112)&gt;='3월 등급 정보'!$D$4,2,IF(INT(I112)&gt;='3월 등급 정보'!$D$5,3,IF(INT(I112)&gt;='3월 등급 정보'!$D$6,4,IF(INT(I112)&gt;='3월 등급 정보'!$D$7,5,IF(INT(I112)&gt;='3월 등급 정보'!$D$8,6,IF(INT(I112)&gt;='3월 등급 정보'!$D$9,7,IF(INT(I112)&gt;='3월 등급 정보'!$D$10,8,IF(INT(I112)&gt;='3월 등급 정보'!$D$11,9)))))))))</f>
        <v>4</v>
      </c>
      <c r="M112" s="34">
        <v>71</v>
      </c>
      <c r="N112" s="33"/>
      <c r="O112" s="33"/>
      <c r="P112" s="33">
        <f>IF(INT(M112)&gt;='3월 등급 정보'!$E$3,1,IF(INT(M112)&gt;='3월 등급 정보'!$E$4,2,IF(INT(M112)&gt;='3월 등급 정보'!$E$5,3,IF(INT(M112)&gt;='3월 등급 정보'!$E$6,4,IF(INT(M112)&gt;='3월 등급 정보'!$E$7,5,IF(INT(M112)&gt;='3월 등급 정보'!$E$8,6,IF(INT(M112)&gt;='3월 등급 정보'!$E$9,7,IF(INT(M112)&gt;='3월 등급 정보'!$E$10,8,IF(INT(M112)&gt;='3월 등급 정보'!$E$11,9)))))))))</f>
        <v>3</v>
      </c>
      <c r="Q112" s="34">
        <v>41.5</v>
      </c>
      <c r="R112" s="33"/>
      <c r="S112" s="33"/>
      <c r="T112" s="33">
        <f>IF(INT(Q112)&gt;='3월 등급 정보'!$F$3,1,IF(INT(Q112)&gt;='3월 등급 정보'!$F$4,2,IF(INT(Q112)&gt;='3월 등급 정보'!$F$5,3,IF(INT(Q112)&gt;='3월 등급 정보'!$F$6,4,IF(INT(Q112)&gt;='3월 등급 정보'!$F$7,5,IF(INT(Q112)&gt;='3월 등급 정보'!$F$8,6,IF(INT(Q112)&gt;='3월 등급 정보'!$F$9,7,IF(INT(Q112)&gt;='3월 등급 정보'!$F$10,8,IF(INT(Q112)&gt;='3월 등급 정보'!$F$11,9)))))))))</f>
        <v>3</v>
      </c>
      <c r="U112" s="34">
        <v>31</v>
      </c>
      <c r="V112" s="33"/>
      <c r="W112" s="33"/>
      <c r="X112" s="33">
        <f>IF(INT(U112)&gt;='3월 등급 정보'!$G$3,1,IF(INT(U112)&gt;='3월 등급 정보'!$G$4,2,IF(INT(U112)&gt;='3월 등급 정보'!$G$5,3,IF(INT(U112)&gt;='3월 등급 정보'!$G$6,4,IF(INT(U112)&gt;='3월 등급 정보'!$G$7,5,IF(INT(U112)&gt;='3월 등급 정보'!$G$8,6,IF(INT(U112)&gt;='3월 등급 정보'!$G$9,7,IF(INT(U112)&gt;='3월 등급 정보'!$G$10,8,IF(INT(U112)&gt;='3월 등급 정보'!$G$11,9)))))))))</f>
        <v>4</v>
      </c>
      <c r="Y112" s="34">
        <v>25</v>
      </c>
      <c r="Z112" s="33"/>
      <c r="AA112" s="33"/>
      <c r="AB112" s="33">
        <f>IF(INT(Y112)&gt;='3월 등급 정보'!$H$3,1,IF(INT(Y112)&gt;='3월 등급 정보'!$H$4,2,IF(INT(Y112)&gt;='3월 등급 정보'!$H$5,3,IF(INT(Y112)&gt;='3월 등급 정보'!$H$6,4,IF(INT(Y112)&gt;='3월 등급 정보'!$H$7,5,IF(INT(Y112)&gt;='3월 등급 정보'!$H$8,6,IF(INT(Y112)&gt;='3월 등급 정보'!$H$9,7,IF(INT(Y112)&gt;='3월 등급 정보'!$H$10,8,IF(INT(Y112)&gt;='3월 등급 정보'!$H$11,9)))))))))</f>
        <v>4</v>
      </c>
      <c r="AC112" s="33">
        <f>E112+I112+M112+Q112+U112</f>
        <v>243.5</v>
      </c>
      <c r="AD112" s="33">
        <f>RANK(AC112,$AC$3:$AC$273)</f>
        <v>110</v>
      </c>
    </row>
    <row r="113" spans="1:30" ht="17.25" customHeight="1">
      <c r="A113" s="33" t="s">
        <v>26</v>
      </c>
      <c r="B113" s="34">
        <v>5</v>
      </c>
      <c r="C113" s="34">
        <v>26</v>
      </c>
      <c r="D113" s="34" t="s">
        <v>156</v>
      </c>
      <c r="E113" s="34">
        <v>60</v>
      </c>
      <c r="F113" s="33"/>
      <c r="G113" s="33"/>
      <c r="H113" s="33">
        <f>IF(INT(E113)&gt;='3월 등급 정보'!$C$3,1,IF(INT(E113)&gt;='3월 등급 정보'!$C$4,2,IF(INT(E113)&gt;='3월 등급 정보'!$C$5,3,IF(INT(E113)&gt;='3월 등급 정보'!$C$6,4,IF(INT(E113)&gt;='3월 등급 정보'!$C$7,5,IF(INT(E113)&gt;='3월 등급 정보'!$C$8,6,IF(INT(E113)&gt;='3월 등급 정보'!$C$9,7,IF(INT(E113)&gt;='3월 등급 정보'!$C$10,8,IF(INT(E113)&gt;='3월 등급 정보'!$C$11,9)))))))))</f>
        <v>4</v>
      </c>
      <c r="I113" s="34">
        <v>31</v>
      </c>
      <c r="J113" s="33"/>
      <c r="K113" s="33"/>
      <c r="L113" s="33">
        <f>IF(INT(I113)&gt;='3월 등급 정보'!$D$3,1,IF(INT(I113)&gt;='3월 등급 정보'!$D$4,2,IF(INT(I113)&gt;='3월 등급 정보'!$D$5,3,IF(INT(I113)&gt;='3월 등급 정보'!$D$6,4,IF(INT(I113)&gt;='3월 등급 정보'!$D$7,5,IF(INT(I113)&gt;='3월 등급 정보'!$D$8,6,IF(INT(I113)&gt;='3월 등급 정보'!$D$9,7,IF(INT(I113)&gt;='3월 등급 정보'!$D$10,8,IF(INT(I113)&gt;='3월 등급 정보'!$D$11,9)))))))))</f>
        <v>6</v>
      </c>
      <c r="M113" s="34">
        <v>81</v>
      </c>
      <c r="N113" s="33"/>
      <c r="O113" s="33"/>
      <c r="P113" s="33">
        <f>IF(INT(M113)&gt;='3월 등급 정보'!$E$3,1,IF(INT(M113)&gt;='3월 등급 정보'!$E$4,2,IF(INT(M113)&gt;='3월 등급 정보'!$E$5,3,IF(INT(M113)&gt;='3월 등급 정보'!$E$6,4,IF(INT(M113)&gt;='3월 등급 정보'!$E$7,5,IF(INT(M113)&gt;='3월 등급 정보'!$E$8,6,IF(INT(M113)&gt;='3월 등급 정보'!$E$9,7,IF(INT(M113)&gt;='3월 등급 정보'!$E$10,8,IF(INT(M113)&gt;='3월 등급 정보'!$E$11,9)))))))))</f>
        <v>2</v>
      </c>
      <c r="Q113" s="34">
        <v>38.5</v>
      </c>
      <c r="R113" s="33"/>
      <c r="S113" s="33"/>
      <c r="T113" s="33">
        <f>IF(INT(Q113)&gt;='3월 등급 정보'!$F$3,1,IF(INT(Q113)&gt;='3월 등급 정보'!$F$4,2,IF(INT(Q113)&gt;='3월 등급 정보'!$F$5,3,IF(INT(Q113)&gt;='3월 등급 정보'!$F$6,4,IF(INT(Q113)&gt;='3월 등급 정보'!$F$7,5,IF(INT(Q113)&gt;='3월 등급 정보'!$F$8,6,IF(INT(Q113)&gt;='3월 등급 정보'!$F$9,7,IF(INT(Q113)&gt;='3월 등급 정보'!$F$10,8,IF(INT(Q113)&gt;='3월 등급 정보'!$F$11,9)))))))))</f>
        <v>3</v>
      </c>
      <c r="U113" s="34">
        <v>33</v>
      </c>
      <c r="V113" s="33"/>
      <c r="W113" s="33"/>
      <c r="X113" s="33">
        <f>IF(INT(U113)&gt;='3월 등급 정보'!$G$3,1,IF(INT(U113)&gt;='3월 등급 정보'!$G$4,2,IF(INT(U113)&gt;='3월 등급 정보'!$G$5,3,IF(INT(U113)&gt;='3월 등급 정보'!$G$6,4,IF(INT(U113)&gt;='3월 등급 정보'!$G$7,5,IF(INT(U113)&gt;='3월 등급 정보'!$G$8,6,IF(INT(U113)&gt;='3월 등급 정보'!$G$9,7,IF(INT(U113)&gt;='3월 등급 정보'!$G$10,8,IF(INT(U113)&gt;='3월 등급 정보'!$G$11,9)))))))))</f>
        <v>3</v>
      </c>
      <c r="Y113" s="34">
        <v>45</v>
      </c>
      <c r="Z113" s="33"/>
      <c r="AA113" s="33"/>
      <c r="AB113" s="33">
        <f>IF(INT(Y113)&gt;='3월 등급 정보'!$H$3,1,IF(INT(Y113)&gt;='3월 등급 정보'!$H$4,2,IF(INT(Y113)&gt;='3월 등급 정보'!$H$5,3,IF(INT(Y113)&gt;='3월 등급 정보'!$H$6,4,IF(INT(Y113)&gt;='3월 등급 정보'!$H$7,5,IF(INT(Y113)&gt;='3월 등급 정보'!$H$8,6,IF(INT(Y113)&gt;='3월 등급 정보'!$H$9,7,IF(INT(Y113)&gt;='3월 등급 정보'!$H$10,8,IF(INT(Y113)&gt;='3월 등급 정보'!$H$11,9)))))))))</f>
        <v>1</v>
      </c>
      <c r="AC113" s="33">
        <f>E113+I113+M113+Q113+U113</f>
        <v>243.5</v>
      </c>
      <c r="AD113" s="33">
        <f>RANK(AC113,$AC$3:$AC$273)</f>
        <v>110</v>
      </c>
    </row>
    <row r="114" spans="1:30" ht="17.25" customHeight="1">
      <c r="A114" s="33" t="s">
        <v>26</v>
      </c>
      <c r="B114" s="34">
        <v>5</v>
      </c>
      <c r="C114" s="34">
        <v>15</v>
      </c>
      <c r="D114" s="34" t="s">
        <v>39</v>
      </c>
      <c r="E114" s="34">
        <v>60</v>
      </c>
      <c r="F114" s="33"/>
      <c r="G114" s="33"/>
      <c r="H114" s="33">
        <f>IF(INT(E114)&gt;='3월 등급 정보'!$C$3,1,IF(INT(E114)&gt;='3월 등급 정보'!$C$4,2,IF(INT(E114)&gt;='3월 등급 정보'!$C$5,3,IF(INT(E114)&gt;='3월 등급 정보'!$C$6,4,IF(INT(E114)&gt;='3월 등급 정보'!$C$7,5,IF(INT(E114)&gt;='3월 등급 정보'!$C$8,6,IF(INT(E114)&gt;='3월 등급 정보'!$C$9,7,IF(INT(E114)&gt;='3월 등급 정보'!$C$10,8,IF(INT(E114)&gt;='3월 등급 정보'!$C$11,9)))))))))</f>
        <v>4</v>
      </c>
      <c r="I114" s="34">
        <v>59</v>
      </c>
      <c r="J114" s="33"/>
      <c r="K114" s="33"/>
      <c r="L114" s="33">
        <f>IF(INT(I114)&gt;='3월 등급 정보'!$D$3,1,IF(INT(I114)&gt;='3월 등급 정보'!$D$4,2,IF(INT(I114)&gt;='3월 등급 정보'!$D$5,3,IF(INT(I114)&gt;='3월 등급 정보'!$D$6,4,IF(INT(I114)&gt;='3월 등급 정보'!$D$7,5,IF(INT(I114)&gt;='3월 등급 정보'!$D$8,6,IF(INT(I114)&gt;='3월 등급 정보'!$D$9,7,IF(INT(I114)&gt;='3월 등급 정보'!$D$10,8,IF(INT(I114)&gt;='3월 등급 정보'!$D$11,9)))))))))</f>
        <v>4</v>
      </c>
      <c r="M114" s="34">
        <v>77</v>
      </c>
      <c r="N114" s="33"/>
      <c r="O114" s="33"/>
      <c r="P114" s="33">
        <f>IF(INT(M114)&gt;='3월 등급 정보'!$E$3,1,IF(INT(M114)&gt;='3월 등급 정보'!$E$4,2,IF(INT(M114)&gt;='3월 등급 정보'!$E$5,3,IF(INT(M114)&gt;='3월 등급 정보'!$E$6,4,IF(INT(M114)&gt;='3월 등급 정보'!$E$7,5,IF(INT(M114)&gt;='3월 등급 정보'!$E$8,6,IF(INT(M114)&gt;='3월 등급 정보'!$E$9,7,IF(INT(M114)&gt;='3월 등급 정보'!$E$10,8,IF(INT(M114)&gt;='3월 등급 정보'!$E$11,9)))))))))</f>
        <v>3</v>
      </c>
      <c r="Q114" s="34">
        <v>35</v>
      </c>
      <c r="R114" s="33"/>
      <c r="S114" s="33"/>
      <c r="T114" s="33">
        <f>IF(INT(Q114)&gt;='3월 등급 정보'!$F$3,1,IF(INT(Q114)&gt;='3월 등급 정보'!$F$4,2,IF(INT(Q114)&gt;='3월 등급 정보'!$F$5,3,IF(INT(Q114)&gt;='3월 등급 정보'!$F$6,4,IF(INT(Q114)&gt;='3월 등급 정보'!$F$7,5,IF(INT(Q114)&gt;='3월 등급 정보'!$F$8,6,IF(INT(Q114)&gt;='3월 등급 정보'!$F$9,7,IF(INT(Q114)&gt;='3월 등급 정보'!$F$10,8,IF(INT(Q114)&gt;='3월 등급 정보'!$F$11,9)))))))))</f>
        <v>4</v>
      </c>
      <c r="U114" s="34">
        <v>12</v>
      </c>
      <c r="V114" s="33"/>
      <c r="W114" s="33"/>
      <c r="X114" s="33">
        <f>IF(INT(U114)&gt;='3월 등급 정보'!$G$3,1,IF(INT(U114)&gt;='3월 등급 정보'!$G$4,2,IF(INT(U114)&gt;='3월 등급 정보'!$G$5,3,IF(INT(U114)&gt;='3월 등급 정보'!$G$6,4,IF(INT(U114)&gt;='3월 등급 정보'!$G$7,5,IF(INT(U114)&gt;='3월 등급 정보'!$G$8,6,IF(INT(U114)&gt;='3월 등급 정보'!$G$9,7,IF(INT(U114)&gt;='3월 등급 정보'!$G$10,8,IF(INT(U114)&gt;='3월 등급 정보'!$G$11,9)))))))))</f>
        <v>7</v>
      </c>
      <c r="Y114" s="34">
        <v>44</v>
      </c>
      <c r="Z114" s="33"/>
      <c r="AA114" s="33"/>
      <c r="AB114" s="33">
        <f>IF(INT(Y114)&gt;='3월 등급 정보'!$H$3,1,IF(INT(Y114)&gt;='3월 등급 정보'!$H$4,2,IF(INT(Y114)&gt;='3월 등급 정보'!$H$5,3,IF(INT(Y114)&gt;='3월 등급 정보'!$H$6,4,IF(INT(Y114)&gt;='3월 등급 정보'!$H$7,5,IF(INT(Y114)&gt;='3월 등급 정보'!$H$8,6,IF(INT(Y114)&gt;='3월 등급 정보'!$H$9,7,IF(INT(Y114)&gt;='3월 등급 정보'!$H$10,8,IF(INT(Y114)&gt;='3월 등급 정보'!$H$11,9)))))))))</f>
        <v>1</v>
      </c>
      <c r="AC114" s="33">
        <f>E114+I114+M114+Q114+U114</f>
        <v>243</v>
      </c>
      <c r="AD114" s="33">
        <f>RANK(AC114,$AC$3:$AC$273)</f>
        <v>112</v>
      </c>
    </row>
    <row r="115" spans="1:30" ht="17.25" customHeight="1">
      <c r="A115" s="33" t="s">
        <v>26</v>
      </c>
      <c r="B115" s="34">
        <v>9</v>
      </c>
      <c r="C115" s="34">
        <v>19</v>
      </c>
      <c r="D115" s="34" t="s">
        <v>256</v>
      </c>
      <c r="E115" s="34">
        <v>65</v>
      </c>
      <c r="F115" s="33"/>
      <c r="G115" s="33"/>
      <c r="H115" s="33">
        <f>IF(INT(E115)&gt;='3월 등급 정보'!$C$3,1,IF(INT(E115)&gt;='3월 등급 정보'!$C$4,2,IF(INT(E115)&gt;='3월 등급 정보'!$C$5,3,IF(INT(E115)&gt;='3월 등급 정보'!$C$6,4,IF(INT(E115)&gt;='3월 등급 정보'!$C$7,5,IF(INT(E115)&gt;='3월 등급 정보'!$C$8,6,IF(INT(E115)&gt;='3월 등급 정보'!$C$9,7,IF(INT(E115)&gt;='3월 등급 정보'!$C$10,8,IF(INT(E115)&gt;='3월 등급 정보'!$C$11,9)))))))))</f>
        <v>4</v>
      </c>
      <c r="I115" s="34">
        <v>76</v>
      </c>
      <c r="J115" s="33"/>
      <c r="K115" s="33"/>
      <c r="L115" s="33">
        <f>IF(INT(I115)&gt;='3월 등급 정보'!$D$3,1,IF(INT(I115)&gt;='3월 등급 정보'!$D$4,2,IF(INT(I115)&gt;='3월 등급 정보'!$D$5,3,IF(INT(I115)&gt;='3월 등급 정보'!$D$6,4,IF(INT(I115)&gt;='3월 등급 정보'!$D$7,5,IF(INT(I115)&gt;='3월 등급 정보'!$D$8,6,IF(INT(I115)&gt;='3월 등급 정보'!$D$9,7,IF(INT(I115)&gt;='3월 등급 정보'!$D$10,8,IF(INT(I115)&gt;='3월 등급 정보'!$D$11,9)))))))))</f>
        <v>2</v>
      </c>
      <c r="M115" s="34">
        <v>56</v>
      </c>
      <c r="N115" s="33"/>
      <c r="O115" s="33"/>
      <c r="P115" s="33">
        <f>IF(INT(M115)&gt;='3월 등급 정보'!$E$3,1,IF(INT(M115)&gt;='3월 등급 정보'!$E$4,2,IF(INT(M115)&gt;='3월 등급 정보'!$E$5,3,IF(INT(M115)&gt;='3월 등급 정보'!$E$6,4,IF(INT(M115)&gt;='3월 등급 정보'!$E$7,5,IF(INT(M115)&gt;='3월 등급 정보'!$E$8,6,IF(INT(M115)&gt;='3월 등급 정보'!$E$9,7,IF(INT(M115)&gt;='3월 등급 정보'!$E$10,8,IF(INT(M115)&gt;='3월 등급 정보'!$E$11,9)))))))))</f>
        <v>5</v>
      </c>
      <c r="Q115" s="34">
        <v>22</v>
      </c>
      <c r="R115" s="33"/>
      <c r="S115" s="33"/>
      <c r="T115" s="33">
        <f>IF(INT(Q115)&gt;='3월 등급 정보'!$F$3,1,IF(INT(Q115)&gt;='3월 등급 정보'!$F$4,2,IF(INT(Q115)&gt;='3월 등급 정보'!$F$5,3,IF(INT(Q115)&gt;='3월 등급 정보'!$F$6,4,IF(INT(Q115)&gt;='3월 등급 정보'!$F$7,5,IF(INT(Q115)&gt;='3월 등급 정보'!$F$8,6,IF(INT(Q115)&gt;='3월 등급 정보'!$F$9,7,IF(INT(Q115)&gt;='3월 등급 정보'!$F$10,8,IF(INT(Q115)&gt;='3월 등급 정보'!$F$11,9)))))))))</f>
        <v>6</v>
      </c>
      <c r="U115" s="34">
        <v>23</v>
      </c>
      <c r="V115" s="33"/>
      <c r="W115" s="33"/>
      <c r="X115" s="33">
        <f>IF(INT(U115)&gt;='3월 등급 정보'!$G$3,1,IF(INT(U115)&gt;='3월 등급 정보'!$G$4,2,IF(INT(U115)&gt;='3월 등급 정보'!$G$5,3,IF(INT(U115)&gt;='3월 등급 정보'!$G$6,4,IF(INT(U115)&gt;='3월 등급 정보'!$G$7,5,IF(INT(U115)&gt;='3월 등급 정보'!$G$8,6,IF(INT(U115)&gt;='3월 등급 정보'!$G$9,7,IF(INT(U115)&gt;='3월 등급 정보'!$G$10,8,IF(INT(U115)&gt;='3월 등급 정보'!$G$11,9)))))))))</f>
        <v>5</v>
      </c>
      <c r="Y115" s="34">
        <v>29</v>
      </c>
      <c r="Z115" s="33"/>
      <c r="AA115" s="33"/>
      <c r="AB115" s="33">
        <f>IF(INT(Y115)&gt;='3월 등급 정보'!$H$3,1,IF(INT(Y115)&gt;='3월 등급 정보'!$H$4,2,IF(INT(Y115)&gt;='3월 등급 정보'!$H$5,3,IF(INT(Y115)&gt;='3월 등급 정보'!$H$6,4,IF(INT(Y115)&gt;='3월 등급 정보'!$H$7,5,IF(INT(Y115)&gt;='3월 등급 정보'!$H$8,6,IF(INT(Y115)&gt;='3월 등급 정보'!$H$9,7,IF(INT(Y115)&gt;='3월 등급 정보'!$H$10,8,IF(INT(Y115)&gt;='3월 등급 정보'!$H$11,9)))))))))</f>
        <v>4</v>
      </c>
      <c r="AC115" s="33">
        <f>E115+I115+M115+Q115+U115</f>
        <v>242</v>
      </c>
      <c r="AD115" s="33">
        <f>RANK(AC115,$AC$3:$AC$273)</f>
        <v>113</v>
      </c>
    </row>
    <row r="116" spans="1:30" ht="17.25" customHeight="1">
      <c r="A116" s="33" t="s">
        <v>26</v>
      </c>
      <c r="B116" s="34">
        <v>9</v>
      </c>
      <c r="C116" s="34">
        <v>15</v>
      </c>
      <c r="D116" s="34" t="s">
        <v>252</v>
      </c>
      <c r="E116" s="34">
        <v>75</v>
      </c>
      <c r="F116" s="33"/>
      <c r="G116" s="33"/>
      <c r="H116" s="33">
        <f>IF(INT(E116)&gt;='3월 등급 정보'!$C$3,1,IF(INT(E116)&gt;='3월 등급 정보'!$C$4,2,IF(INT(E116)&gt;='3월 등급 정보'!$C$5,3,IF(INT(E116)&gt;='3월 등급 정보'!$C$6,4,IF(INT(E116)&gt;='3월 등급 정보'!$C$7,5,IF(INT(E116)&gt;='3월 등급 정보'!$C$8,6,IF(INT(E116)&gt;='3월 등급 정보'!$C$9,7,IF(INT(E116)&gt;='3월 등급 정보'!$C$10,8,IF(INT(E116)&gt;='3월 등급 정보'!$C$11,9)))))))))</f>
        <v>3</v>
      </c>
      <c r="I116" s="34">
        <v>46</v>
      </c>
      <c r="J116" s="33"/>
      <c r="K116" s="33"/>
      <c r="L116" s="33">
        <f>IF(INT(I116)&gt;='3월 등급 정보'!$D$3,1,IF(INT(I116)&gt;='3월 등급 정보'!$D$4,2,IF(INT(I116)&gt;='3월 등급 정보'!$D$5,3,IF(INT(I116)&gt;='3월 등급 정보'!$D$6,4,IF(INT(I116)&gt;='3월 등급 정보'!$D$7,5,IF(INT(I116)&gt;='3월 등급 정보'!$D$8,6,IF(INT(I116)&gt;='3월 등급 정보'!$D$9,7,IF(INT(I116)&gt;='3월 등급 정보'!$D$10,8,IF(INT(I116)&gt;='3월 등급 정보'!$D$11,9)))))))))</f>
        <v>5</v>
      </c>
      <c r="M116" s="34">
        <v>49</v>
      </c>
      <c r="N116" s="33"/>
      <c r="O116" s="33"/>
      <c r="P116" s="33">
        <f>IF(INT(M116)&gt;='3월 등급 정보'!$E$3,1,IF(INT(M116)&gt;='3월 등급 정보'!$E$4,2,IF(INT(M116)&gt;='3월 등급 정보'!$E$5,3,IF(INT(M116)&gt;='3월 등급 정보'!$E$6,4,IF(INT(M116)&gt;='3월 등급 정보'!$E$7,5,IF(INT(M116)&gt;='3월 등급 정보'!$E$8,6,IF(INT(M116)&gt;='3월 등급 정보'!$E$9,7,IF(INT(M116)&gt;='3월 등급 정보'!$E$10,8,IF(INT(M116)&gt;='3월 등급 정보'!$E$11,9)))))))))</f>
        <v>6</v>
      </c>
      <c r="Q116" s="34">
        <v>40.5</v>
      </c>
      <c r="R116" s="33"/>
      <c r="S116" s="33"/>
      <c r="T116" s="33">
        <f>IF(INT(Q116)&gt;='3월 등급 정보'!$F$3,1,IF(INT(Q116)&gt;='3월 등급 정보'!$F$4,2,IF(INT(Q116)&gt;='3월 등급 정보'!$F$5,3,IF(INT(Q116)&gt;='3월 등급 정보'!$F$6,4,IF(INT(Q116)&gt;='3월 등급 정보'!$F$7,5,IF(INT(Q116)&gt;='3월 등급 정보'!$F$8,6,IF(INT(Q116)&gt;='3월 등급 정보'!$F$9,7,IF(INT(Q116)&gt;='3월 등급 정보'!$F$10,8,IF(INT(Q116)&gt;='3월 등급 정보'!$F$11,9)))))))))</f>
        <v>3</v>
      </c>
      <c r="U116" s="34">
        <v>30.5</v>
      </c>
      <c r="V116" s="33"/>
      <c r="W116" s="33"/>
      <c r="X116" s="33">
        <f>IF(INT(U116)&gt;='3월 등급 정보'!$G$3,1,IF(INT(U116)&gt;='3월 등급 정보'!$G$4,2,IF(INT(U116)&gt;='3월 등급 정보'!$G$5,3,IF(INT(U116)&gt;='3월 등급 정보'!$G$6,4,IF(INT(U116)&gt;='3월 등급 정보'!$G$7,5,IF(INT(U116)&gt;='3월 등급 정보'!$G$8,6,IF(INT(U116)&gt;='3월 등급 정보'!$G$9,7,IF(INT(U116)&gt;='3월 등급 정보'!$G$10,8,IF(INT(U116)&gt;='3월 등급 정보'!$G$11,9)))))))))</f>
        <v>4</v>
      </c>
      <c r="Y116" s="34">
        <v>43</v>
      </c>
      <c r="Z116" s="33"/>
      <c r="AA116" s="33"/>
      <c r="AB116" s="33">
        <f>IF(INT(Y116)&gt;='3월 등급 정보'!$H$3,1,IF(INT(Y116)&gt;='3월 등급 정보'!$H$4,2,IF(INT(Y116)&gt;='3월 등급 정보'!$H$5,3,IF(INT(Y116)&gt;='3월 등급 정보'!$H$6,4,IF(INT(Y116)&gt;='3월 등급 정보'!$H$7,5,IF(INT(Y116)&gt;='3월 등급 정보'!$H$8,6,IF(INT(Y116)&gt;='3월 등급 정보'!$H$9,7,IF(INT(Y116)&gt;='3월 등급 정보'!$H$10,8,IF(INT(Y116)&gt;='3월 등급 정보'!$H$11,9)))))))))</f>
        <v>1</v>
      </c>
      <c r="AC116" s="33">
        <f>E116+I116+M116+Q116+U116</f>
        <v>241</v>
      </c>
      <c r="AD116" s="33">
        <f>RANK(AC116,$AC$3:$AC$273)</f>
        <v>114</v>
      </c>
    </row>
    <row r="117" spans="1:30" ht="17.25" customHeight="1">
      <c r="A117" s="33" t="s">
        <v>26</v>
      </c>
      <c r="B117" s="34">
        <v>5</v>
      </c>
      <c r="C117" s="34">
        <v>8</v>
      </c>
      <c r="D117" s="34" t="s">
        <v>139</v>
      </c>
      <c r="E117" s="34">
        <v>82</v>
      </c>
      <c r="F117" s="33"/>
      <c r="G117" s="33"/>
      <c r="H117" s="33">
        <f>IF(INT(E117)&gt;='3월 등급 정보'!$C$3,1,IF(INT(E117)&gt;='3월 등급 정보'!$C$4,2,IF(INT(E117)&gt;='3월 등급 정보'!$C$5,3,IF(INT(E117)&gt;='3월 등급 정보'!$C$6,4,IF(INT(E117)&gt;='3월 등급 정보'!$C$7,5,IF(INT(E117)&gt;='3월 등급 정보'!$C$8,6,IF(INT(E117)&gt;='3월 등급 정보'!$C$9,7,IF(INT(E117)&gt;='3월 등급 정보'!$C$10,8,IF(INT(E117)&gt;='3월 등급 정보'!$C$11,9)))))))))</f>
        <v>2</v>
      </c>
      <c r="I117" s="34">
        <v>33</v>
      </c>
      <c r="J117" s="33"/>
      <c r="K117" s="33"/>
      <c r="L117" s="33">
        <f>IF(INT(I117)&gt;='3월 등급 정보'!$D$3,1,IF(INT(I117)&gt;='3월 등급 정보'!$D$4,2,IF(INT(I117)&gt;='3월 등급 정보'!$D$5,3,IF(INT(I117)&gt;='3월 등급 정보'!$D$6,4,IF(INT(I117)&gt;='3월 등급 정보'!$D$7,5,IF(INT(I117)&gt;='3월 등급 정보'!$D$8,6,IF(INT(I117)&gt;='3월 등급 정보'!$D$9,7,IF(INT(I117)&gt;='3월 등급 정보'!$D$10,8,IF(INT(I117)&gt;='3월 등급 정보'!$D$11,9)))))))))</f>
        <v>6</v>
      </c>
      <c r="M117" s="34">
        <v>76</v>
      </c>
      <c r="N117" s="33"/>
      <c r="O117" s="33"/>
      <c r="P117" s="33">
        <f>IF(INT(M117)&gt;='3월 등급 정보'!$E$3,1,IF(INT(M117)&gt;='3월 등급 정보'!$E$4,2,IF(INT(M117)&gt;='3월 등급 정보'!$E$5,3,IF(INT(M117)&gt;='3월 등급 정보'!$E$6,4,IF(INT(M117)&gt;='3월 등급 정보'!$E$7,5,IF(INT(M117)&gt;='3월 등급 정보'!$E$8,6,IF(INT(M117)&gt;='3월 등급 정보'!$E$9,7,IF(INT(M117)&gt;='3월 등급 정보'!$E$10,8,IF(INT(M117)&gt;='3월 등급 정보'!$E$11,9)))))))))</f>
        <v>3</v>
      </c>
      <c r="Q117" s="34">
        <v>34</v>
      </c>
      <c r="R117" s="33"/>
      <c r="S117" s="33"/>
      <c r="T117" s="33">
        <f>IF(INT(Q117)&gt;='3월 등급 정보'!$F$3,1,IF(INT(Q117)&gt;='3월 등급 정보'!$F$4,2,IF(INT(Q117)&gt;='3월 등급 정보'!$F$5,3,IF(INT(Q117)&gt;='3월 등급 정보'!$F$6,4,IF(INT(Q117)&gt;='3월 등급 정보'!$F$7,5,IF(INT(Q117)&gt;='3월 등급 정보'!$F$8,6,IF(INT(Q117)&gt;='3월 등급 정보'!$F$9,7,IF(INT(Q117)&gt;='3월 등급 정보'!$F$10,8,IF(INT(Q117)&gt;='3월 등급 정보'!$F$11,9)))))))))</f>
        <v>4</v>
      </c>
      <c r="U117" s="34">
        <v>15</v>
      </c>
      <c r="V117" s="33"/>
      <c r="W117" s="33"/>
      <c r="X117" s="33">
        <f>IF(INT(U117)&gt;='3월 등급 정보'!$G$3,1,IF(INT(U117)&gt;='3월 등급 정보'!$G$4,2,IF(INT(U117)&gt;='3월 등급 정보'!$G$5,3,IF(INT(U117)&gt;='3월 등급 정보'!$G$6,4,IF(INT(U117)&gt;='3월 등급 정보'!$G$7,5,IF(INT(U117)&gt;='3월 등급 정보'!$G$8,6,IF(INT(U117)&gt;='3월 등급 정보'!$G$9,7,IF(INT(U117)&gt;='3월 등급 정보'!$G$10,8,IF(INT(U117)&gt;='3월 등급 정보'!$G$11,9)))))))))</f>
        <v>6</v>
      </c>
      <c r="Y117" s="34">
        <v>24</v>
      </c>
      <c r="Z117" s="33"/>
      <c r="AA117" s="33"/>
      <c r="AB117" s="33">
        <f>IF(INT(Y117)&gt;='3월 등급 정보'!$H$3,1,IF(INT(Y117)&gt;='3월 등급 정보'!$H$4,2,IF(INT(Y117)&gt;='3월 등급 정보'!$H$5,3,IF(INT(Y117)&gt;='3월 등급 정보'!$H$6,4,IF(INT(Y117)&gt;='3월 등급 정보'!$H$7,5,IF(INT(Y117)&gt;='3월 등급 정보'!$H$8,6,IF(INT(Y117)&gt;='3월 등급 정보'!$H$9,7,IF(INT(Y117)&gt;='3월 등급 정보'!$H$10,8,IF(INT(Y117)&gt;='3월 등급 정보'!$H$11,9)))))))))</f>
        <v>5</v>
      </c>
      <c r="AC117" s="33">
        <f>E117+I117+M117+Q117+U117</f>
        <v>240</v>
      </c>
      <c r="AD117" s="33">
        <f>RANK(AC117,$AC$3:$AC$273)</f>
        <v>115</v>
      </c>
    </row>
    <row r="118" spans="1:30" ht="17.25" customHeight="1">
      <c r="A118" s="33" t="s">
        <v>26</v>
      </c>
      <c r="B118" s="34">
        <v>8</v>
      </c>
      <c r="C118" s="34">
        <v>9</v>
      </c>
      <c r="D118" s="34" t="s">
        <v>221</v>
      </c>
      <c r="E118" s="34">
        <v>62</v>
      </c>
      <c r="F118" s="33"/>
      <c r="G118" s="33"/>
      <c r="H118" s="33">
        <f>IF(INT(E118)&gt;='3월 등급 정보'!$C$3,1,IF(INT(E118)&gt;='3월 등급 정보'!$C$4,2,IF(INT(E118)&gt;='3월 등급 정보'!$C$5,3,IF(INT(E118)&gt;='3월 등급 정보'!$C$6,4,IF(INT(E118)&gt;='3월 등급 정보'!$C$7,5,IF(INT(E118)&gt;='3월 등급 정보'!$C$8,6,IF(INT(E118)&gt;='3월 등급 정보'!$C$9,7,IF(INT(E118)&gt;='3월 등급 정보'!$C$10,8,IF(INT(E118)&gt;='3월 등급 정보'!$C$11,9)))))))))</f>
        <v>4</v>
      </c>
      <c r="I118" s="34">
        <v>52</v>
      </c>
      <c r="J118" s="33"/>
      <c r="K118" s="33"/>
      <c r="L118" s="33">
        <f>IF(INT(I118)&gt;='3월 등급 정보'!$D$3,1,IF(INT(I118)&gt;='3월 등급 정보'!$D$4,2,IF(INT(I118)&gt;='3월 등급 정보'!$D$5,3,IF(INT(I118)&gt;='3월 등급 정보'!$D$6,4,IF(INT(I118)&gt;='3월 등급 정보'!$D$7,5,IF(INT(I118)&gt;='3월 등급 정보'!$D$8,6,IF(INT(I118)&gt;='3월 등급 정보'!$D$9,7,IF(INT(I118)&gt;='3월 등급 정보'!$D$10,8,IF(INT(I118)&gt;='3월 등급 정보'!$D$11,9)))))))))</f>
        <v>4</v>
      </c>
      <c r="M118" s="34">
        <v>66</v>
      </c>
      <c r="N118" s="33"/>
      <c r="O118" s="33"/>
      <c r="P118" s="33">
        <f>IF(INT(M118)&gt;='3월 등급 정보'!$E$3,1,IF(INT(M118)&gt;='3월 등급 정보'!$E$4,2,IF(INT(M118)&gt;='3월 등급 정보'!$E$5,3,IF(INT(M118)&gt;='3월 등급 정보'!$E$6,4,IF(INT(M118)&gt;='3월 등급 정보'!$E$7,5,IF(INT(M118)&gt;='3월 등급 정보'!$E$8,6,IF(INT(M118)&gt;='3월 등급 정보'!$E$9,7,IF(INT(M118)&gt;='3월 등급 정보'!$E$10,8,IF(INT(M118)&gt;='3월 등급 정보'!$E$11,9)))))))))</f>
        <v>4</v>
      </c>
      <c r="Q118" s="34">
        <v>25.5</v>
      </c>
      <c r="R118" s="33"/>
      <c r="S118" s="33"/>
      <c r="T118" s="33">
        <f>IF(INT(Q118)&gt;='3월 등급 정보'!$F$3,1,IF(INT(Q118)&gt;='3월 등급 정보'!$F$4,2,IF(INT(Q118)&gt;='3월 등급 정보'!$F$5,3,IF(INT(Q118)&gt;='3월 등급 정보'!$F$6,4,IF(INT(Q118)&gt;='3월 등급 정보'!$F$7,5,IF(INT(Q118)&gt;='3월 등급 정보'!$F$8,6,IF(INT(Q118)&gt;='3월 등급 정보'!$F$9,7,IF(INT(Q118)&gt;='3월 등급 정보'!$F$10,8,IF(INT(Q118)&gt;='3월 등급 정보'!$F$11,9)))))))))</f>
        <v>6</v>
      </c>
      <c r="U118" s="34">
        <v>31.5</v>
      </c>
      <c r="V118" s="33"/>
      <c r="W118" s="33"/>
      <c r="X118" s="33">
        <f>IF(INT(U118)&gt;='3월 등급 정보'!$G$3,1,IF(INT(U118)&gt;='3월 등급 정보'!$G$4,2,IF(INT(U118)&gt;='3월 등급 정보'!$G$5,3,IF(INT(U118)&gt;='3월 등급 정보'!$G$6,4,IF(INT(U118)&gt;='3월 등급 정보'!$G$7,5,IF(INT(U118)&gt;='3월 등급 정보'!$G$8,6,IF(INT(U118)&gt;='3월 등급 정보'!$G$9,7,IF(INT(U118)&gt;='3월 등급 정보'!$G$10,8,IF(INT(U118)&gt;='3월 등급 정보'!$G$11,9)))))))))</f>
        <v>4</v>
      </c>
      <c r="Y118" s="34">
        <v>31</v>
      </c>
      <c r="Z118" s="33"/>
      <c r="AA118" s="33"/>
      <c r="AB118" s="33">
        <f>IF(INT(Y118)&gt;='3월 등급 정보'!$H$3,1,IF(INT(Y118)&gt;='3월 등급 정보'!$H$4,2,IF(INT(Y118)&gt;='3월 등급 정보'!$H$5,3,IF(INT(Y118)&gt;='3월 등급 정보'!$H$6,4,IF(INT(Y118)&gt;='3월 등급 정보'!$H$7,5,IF(INT(Y118)&gt;='3월 등급 정보'!$H$8,6,IF(INT(Y118)&gt;='3월 등급 정보'!$H$9,7,IF(INT(Y118)&gt;='3월 등급 정보'!$H$10,8,IF(INT(Y118)&gt;='3월 등급 정보'!$H$11,9)))))))))</f>
        <v>3</v>
      </c>
      <c r="AC118" s="33">
        <f>E118+I118+M118+Q118+U118</f>
        <v>237</v>
      </c>
      <c r="AD118" s="33">
        <f>RANK(AC118,$AC$3:$AC$273)</f>
        <v>116</v>
      </c>
    </row>
    <row r="119" spans="1:30" ht="17.25" customHeight="1">
      <c r="A119" s="33" t="s">
        <v>26</v>
      </c>
      <c r="B119" s="34">
        <v>8</v>
      </c>
      <c r="C119" s="34">
        <v>6</v>
      </c>
      <c r="D119" s="34" t="s">
        <v>218</v>
      </c>
      <c r="E119" s="34">
        <v>64</v>
      </c>
      <c r="F119" s="33"/>
      <c r="G119" s="33"/>
      <c r="H119" s="33">
        <f>IF(INT(E119)&gt;='3월 등급 정보'!$C$3,1,IF(INT(E119)&gt;='3월 등급 정보'!$C$4,2,IF(INT(E119)&gt;='3월 등급 정보'!$C$5,3,IF(INT(E119)&gt;='3월 등급 정보'!$C$6,4,IF(INT(E119)&gt;='3월 등급 정보'!$C$7,5,IF(INT(E119)&gt;='3월 등급 정보'!$C$8,6,IF(INT(E119)&gt;='3월 등급 정보'!$C$9,7,IF(INT(E119)&gt;='3월 등급 정보'!$C$10,8,IF(INT(E119)&gt;='3월 등급 정보'!$C$11,9)))))))))</f>
        <v>4</v>
      </c>
      <c r="I119" s="34">
        <v>69</v>
      </c>
      <c r="J119" s="33"/>
      <c r="K119" s="33"/>
      <c r="L119" s="33">
        <f>IF(INT(I119)&gt;='3월 등급 정보'!$D$3,1,IF(INT(I119)&gt;='3월 등급 정보'!$D$4,2,IF(INT(I119)&gt;='3월 등급 정보'!$D$5,3,IF(INT(I119)&gt;='3월 등급 정보'!$D$6,4,IF(INT(I119)&gt;='3월 등급 정보'!$D$7,5,IF(INT(I119)&gt;='3월 등급 정보'!$D$8,6,IF(INT(I119)&gt;='3월 등급 정보'!$D$9,7,IF(INT(I119)&gt;='3월 등급 정보'!$D$10,8,IF(INT(I119)&gt;='3월 등급 정보'!$D$11,9)))))))))</f>
        <v>3</v>
      </c>
      <c r="M119" s="34">
        <v>53</v>
      </c>
      <c r="N119" s="33"/>
      <c r="O119" s="33"/>
      <c r="P119" s="33">
        <f>IF(INT(M119)&gt;='3월 등급 정보'!$E$3,1,IF(INT(M119)&gt;='3월 등급 정보'!$E$4,2,IF(INT(M119)&gt;='3월 등급 정보'!$E$5,3,IF(INT(M119)&gt;='3월 등급 정보'!$E$6,4,IF(INT(M119)&gt;='3월 등급 정보'!$E$7,5,IF(INT(M119)&gt;='3월 등급 정보'!$E$8,6,IF(INT(M119)&gt;='3월 등급 정보'!$E$9,7,IF(INT(M119)&gt;='3월 등급 정보'!$E$10,8,IF(INT(M119)&gt;='3월 등급 정보'!$E$11,9)))))))))</f>
        <v>5</v>
      </c>
      <c r="Q119" s="34">
        <v>34</v>
      </c>
      <c r="R119" s="33"/>
      <c r="S119" s="33"/>
      <c r="T119" s="33">
        <f>IF(INT(Q119)&gt;='3월 등급 정보'!$F$3,1,IF(INT(Q119)&gt;='3월 등급 정보'!$F$4,2,IF(INT(Q119)&gt;='3월 등급 정보'!$F$5,3,IF(INT(Q119)&gt;='3월 등급 정보'!$F$6,4,IF(INT(Q119)&gt;='3월 등급 정보'!$F$7,5,IF(INT(Q119)&gt;='3월 등급 정보'!$F$8,6,IF(INT(Q119)&gt;='3월 등급 정보'!$F$9,7,IF(INT(Q119)&gt;='3월 등급 정보'!$F$10,8,IF(INT(Q119)&gt;='3월 등급 정보'!$F$11,9)))))))))</f>
        <v>4</v>
      </c>
      <c r="U119" s="34">
        <v>14.5</v>
      </c>
      <c r="V119" s="33"/>
      <c r="W119" s="33"/>
      <c r="X119" s="33">
        <f>IF(INT(U119)&gt;='3월 등급 정보'!$G$3,1,IF(INT(U119)&gt;='3월 등급 정보'!$G$4,2,IF(INT(U119)&gt;='3월 등급 정보'!$G$5,3,IF(INT(U119)&gt;='3월 등급 정보'!$G$6,4,IF(INT(U119)&gt;='3월 등급 정보'!$G$7,5,IF(INT(U119)&gt;='3월 등급 정보'!$G$8,6,IF(INT(U119)&gt;='3월 등급 정보'!$G$9,7,IF(INT(U119)&gt;='3월 등급 정보'!$G$10,8,IF(INT(U119)&gt;='3월 등급 정보'!$G$11,9)))))))))</f>
        <v>6</v>
      </c>
      <c r="Y119" s="34">
        <v>32</v>
      </c>
      <c r="Z119" s="33"/>
      <c r="AA119" s="33"/>
      <c r="AB119" s="33">
        <f>IF(INT(Y119)&gt;='3월 등급 정보'!$H$3,1,IF(INT(Y119)&gt;='3월 등급 정보'!$H$4,2,IF(INT(Y119)&gt;='3월 등급 정보'!$H$5,3,IF(INT(Y119)&gt;='3월 등급 정보'!$H$6,4,IF(INT(Y119)&gt;='3월 등급 정보'!$H$7,5,IF(INT(Y119)&gt;='3월 등급 정보'!$H$8,6,IF(INT(Y119)&gt;='3월 등급 정보'!$H$9,7,IF(INT(Y119)&gt;='3월 등급 정보'!$H$10,8,IF(INT(Y119)&gt;='3월 등급 정보'!$H$11,9)))))))))</f>
        <v>3</v>
      </c>
      <c r="AC119" s="33">
        <f>E119+I119+M119+Q119+U119</f>
        <v>234.5</v>
      </c>
      <c r="AD119" s="33">
        <f>RANK(AC119,$AC$3:$AC$273)</f>
        <v>117</v>
      </c>
    </row>
    <row r="120" spans="1:30" ht="17.25" customHeight="1">
      <c r="A120" s="33" t="s">
        <v>26</v>
      </c>
      <c r="B120" s="34">
        <v>9</v>
      </c>
      <c r="C120" s="34">
        <v>23</v>
      </c>
      <c r="D120" s="34" t="s">
        <v>260</v>
      </c>
      <c r="E120" s="34">
        <v>70</v>
      </c>
      <c r="F120" s="33"/>
      <c r="G120" s="33"/>
      <c r="H120" s="33">
        <f>IF(INT(E120)&gt;='3월 등급 정보'!$C$3,1,IF(INT(E120)&gt;='3월 등급 정보'!$C$4,2,IF(INT(E120)&gt;='3월 등급 정보'!$C$5,3,IF(INT(E120)&gt;='3월 등급 정보'!$C$6,4,IF(INT(E120)&gt;='3월 등급 정보'!$C$7,5,IF(INT(E120)&gt;='3월 등급 정보'!$C$8,6,IF(INT(E120)&gt;='3월 등급 정보'!$C$9,7,IF(INT(E120)&gt;='3월 등급 정보'!$C$10,8,IF(INT(E120)&gt;='3월 등급 정보'!$C$11,9)))))))))</f>
        <v>3</v>
      </c>
      <c r="I120" s="34">
        <v>55</v>
      </c>
      <c r="J120" s="33"/>
      <c r="K120" s="33"/>
      <c r="L120" s="33">
        <f>IF(INT(I120)&gt;='3월 등급 정보'!$D$3,1,IF(INT(I120)&gt;='3월 등급 정보'!$D$4,2,IF(INT(I120)&gt;='3월 등급 정보'!$D$5,3,IF(INT(I120)&gt;='3월 등급 정보'!$D$6,4,IF(INT(I120)&gt;='3월 등급 정보'!$D$7,5,IF(INT(I120)&gt;='3월 등급 정보'!$D$8,6,IF(INT(I120)&gt;='3월 등급 정보'!$D$9,7,IF(INT(I120)&gt;='3월 등급 정보'!$D$10,8,IF(INT(I120)&gt;='3월 등급 정보'!$D$11,9)))))))))</f>
        <v>4</v>
      </c>
      <c r="M120" s="34">
        <v>40</v>
      </c>
      <c r="N120" s="33"/>
      <c r="O120" s="33"/>
      <c r="P120" s="33">
        <f>IF(INT(M120)&gt;='3월 등급 정보'!$E$3,1,IF(INT(M120)&gt;='3월 등급 정보'!$E$4,2,IF(INT(M120)&gt;='3월 등급 정보'!$E$5,3,IF(INT(M120)&gt;='3월 등급 정보'!$E$6,4,IF(INT(M120)&gt;='3월 등급 정보'!$E$7,5,IF(INT(M120)&gt;='3월 등급 정보'!$E$8,6,IF(INT(M120)&gt;='3월 등급 정보'!$E$9,7,IF(INT(M120)&gt;='3월 등급 정보'!$E$10,8,IF(INT(M120)&gt;='3월 등급 정보'!$E$11,9)))))))))</f>
        <v>6</v>
      </c>
      <c r="Q120" s="34">
        <v>38</v>
      </c>
      <c r="R120" s="33"/>
      <c r="S120" s="33"/>
      <c r="T120" s="33">
        <f>IF(INT(Q120)&gt;='3월 등급 정보'!$F$3,1,IF(INT(Q120)&gt;='3월 등급 정보'!$F$4,2,IF(INT(Q120)&gt;='3월 등급 정보'!$F$5,3,IF(INT(Q120)&gt;='3월 등급 정보'!$F$6,4,IF(INT(Q120)&gt;='3월 등급 정보'!$F$7,5,IF(INT(Q120)&gt;='3월 등급 정보'!$F$8,6,IF(INT(Q120)&gt;='3월 등급 정보'!$F$9,7,IF(INT(Q120)&gt;='3월 등급 정보'!$F$10,8,IF(INT(Q120)&gt;='3월 등급 정보'!$F$11,9)))))))))</f>
        <v>3</v>
      </c>
      <c r="U120" s="34">
        <v>31.5</v>
      </c>
      <c r="V120" s="33"/>
      <c r="W120" s="33"/>
      <c r="X120" s="33">
        <f>IF(INT(U120)&gt;='3월 등급 정보'!$G$3,1,IF(INT(U120)&gt;='3월 등급 정보'!$G$4,2,IF(INT(U120)&gt;='3월 등급 정보'!$G$5,3,IF(INT(U120)&gt;='3월 등급 정보'!$G$6,4,IF(INT(U120)&gt;='3월 등급 정보'!$G$7,5,IF(INT(U120)&gt;='3월 등급 정보'!$G$8,6,IF(INT(U120)&gt;='3월 등급 정보'!$G$9,7,IF(INT(U120)&gt;='3월 등급 정보'!$G$10,8,IF(INT(U120)&gt;='3월 등급 정보'!$G$11,9)))))))))</f>
        <v>4</v>
      </c>
      <c r="Y120" s="34">
        <v>36</v>
      </c>
      <c r="Z120" s="33"/>
      <c r="AA120" s="33"/>
      <c r="AB120" s="33">
        <f>IF(INT(Y120)&gt;='3월 등급 정보'!$H$3,1,IF(INT(Y120)&gt;='3월 등급 정보'!$H$4,2,IF(INT(Y120)&gt;='3월 등급 정보'!$H$5,3,IF(INT(Y120)&gt;='3월 등급 정보'!$H$6,4,IF(INT(Y120)&gt;='3월 등급 정보'!$H$7,5,IF(INT(Y120)&gt;='3월 등급 정보'!$H$8,6,IF(INT(Y120)&gt;='3월 등급 정보'!$H$9,7,IF(INT(Y120)&gt;='3월 등급 정보'!$H$10,8,IF(INT(Y120)&gt;='3월 등급 정보'!$H$11,9)))))))))</f>
        <v>2</v>
      </c>
      <c r="AC120" s="33">
        <f>E120+I120+M120+Q120+U120</f>
        <v>234.5</v>
      </c>
      <c r="AD120" s="33">
        <f>RANK(AC120,$AC$3:$AC$273)</f>
        <v>117</v>
      </c>
    </row>
    <row r="121" spans="1:30" ht="17.25" customHeight="1">
      <c r="A121" s="33" t="s">
        <v>26</v>
      </c>
      <c r="B121" s="34">
        <v>2</v>
      </c>
      <c r="C121" s="34">
        <v>11</v>
      </c>
      <c r="D121" s="34" t="s">
        <v>63</v>
      </c>
      <c r="E121" s="34">
        <v>62</v>
      </c>
      <c r="F121" s="33"/>
      <c r="G121" s="33"/>
      <c r="H121" s="33">
        <f>IF(INT(E121)&gt;='3월 등급 정보'!$C$3,1,IF(INT(E121)&gt;='3월 등급 정보'!$C$4,2,IF(INT(E121)&gt;='3월 등급 정보'!$C$5,3,IF(INT(E121)&gt;='3월 등급 정보'!$C$6,4,IF(INT(E121)&gt;='3월 등급 정보'!$C$7,5,IF(INT(E121)&gt;='3월 등급 정보'!$C$8,6,IF(INT(E121)&gt;='3월 등급 정보'!$C$9,7,IF(INT(E121)&gt;='3월 등급 정보'!$C$10,8,IF(INT(E121)&gt;='3월 등급 정보'!$C$11,9)))))))))</f>
        <v>4</v>
      </c>
      <c r="I121" s="34">
        <v>49</v>
      </c>
      <c r="J121" s="33"/>
      <c r="K121" s="33"/>
      <c r="L121" s="33">
        <f>IF(INT(I121)&gt;='3월 등급 정보'!$D$3,1,IF(INT(I121)&gt;='3월 등급 정보'!$D$4,2,IF(INT(I121)&gt;='3월 등급 정보'!$D$5,3,IF(INT(I121)&gt;='3월 등급 정보'!$D$6,4,IF(INT(I121)&gt;='3월 등급 정보'!$D$7,5,IF(INT(I121)&gt;='3월 등급 정보'!$D$8,6,IF(INT(I121)&gt;='3월 등급 정보'!$D$9,7,IF(INT(I121)&gt;='3월 등급 정보'!$D$10,8,IF(INT(I121)&gt;='3월 등급 정보'!$D$11,9)))))))))</f>
        <v>5</v>
      </c>
      <c r="M121" s="34">
        <v>69</v>
      </c>
      <c r="N121" s="33"/>
      <c r="O121" s="33"/>
      <c r="P121" s="33">
        <f>IF(INT(M121)&gt;='3월 등급 정보'!$E$3,1,IF(INT(M121)&gt;='3월 등급 정보'!$E$4,2,IF(INT(M121)&gt;='3월 등급 정보'!$E$5,3,IF(INT(M121)&gt;='3월 등급 정보'!$E$6,4,IF(INT(M121)&gt;='3월 등급 정보'!$E$7,5,IF(INT(M121)&gt;='3월 등급 정보'!$E$8,6,IF(INT(M121)&gt;='3월 등급 정보'!$E$9,7,IF(INT(M121)&gt;='3월 등급 정보'!$E$10,8,IF(INT(M121)&gt;='3월 등급 정보'!$E$11,9)))))))))</f>
        <v>4</v>
      </c>
      <c r="Q121" s="34">
        <v>24.5</v>
      </c>
      <c r="R121" s="33"/>
      <c r="S121" s="33"/>
      <c r="T121" s="33">
        <f>IF(INT(Q121)&gt;='3월 등급 정보'!$F$3,1,IF(INT(Q121)&gt;='3월 등급 정보'!$F$4,2,IF(INT(Q121)&gt;='3월 등급 정보'!$F$5,3,IF(INT(Q121)&gt;='3월 등급 정보'!$F$6,4,IF(INT(Q121)&gt;='3월 등급 정보'!$F$7,5,IF(INT(Q121)&gt;='3월 등급 정보'!$F$8,6,IF(INT(Q121)&gt;='3월 등급 정보'!$F$9,7,IF(INT(Q121)&gt;='3월 등급 정보'!$F$10,8,IF(INT(Q121)&gt;='3월 등급 정보'!$F$11,9)))))))))</f>
        <v>6</v>
      </c>
      <c r="U121" s="34">
        <v>27</v>
      </c>
      <c r="V121" s="33"/>
      <c r="W121" s="33"/>
      <c r="X121" s="33">
        <f>IF(INT(U121)&gt;='3월 등급 정보'!$G$3,1,IF(INT(U121)&gt;='3월 등급 정보'!$G$4,2,IF(INT(U121)&gt;='3월 등급 정보'!$G$5,3,IF(INT(U121)&gt;='3월 등급 정보'!$G$6,4,IF(INT(U121)&gt;='3월 등급 정보'!$G$7,5,IF(INT(U121)&gt;='3월 등급 정보'!$G$8,6,IF(INT(U121)&gt;='3월 등급 정보'!$G$9,7,IF(INT(U121)&gt;='3월 등급 정보'!$G$10,8,IF(INT(U121)&gt;='3월 등급 정보'!$G$11,9)))))))))</f>
        <v>4</v>
      </c>
      <c r="Y121" s="34">
        <v>35</v>
      </c>
      <c r="Z121" s="33"/>
      <c r="AA121" s="33"/>
      <c r="AB121" s="33">
        <f>IF(INT(Y121)&gt;='3월 등급 정보'!$H$3,1,IF(INT(Y121)&gt;='3월 등급 정보'!$H$4,2,IF(INT(Y121)&gt;='3월 등급 정보'!$H$5,3,IF(INT(Y121)&gt;='3월 등급 정보'!$H$6,4,IF(INT(Y121)&gt;='3월 등급 정보'!$H$7,5,IF(INT(Y121)&gt;='3월 등급 정보'!$H$8,6,IF(INT(Y121)&gt;='3월 등급 정보'!$H$9,7,IF(INT(Y121)&gt;='3월 등급 정보'!$H$10,8,IF(INT(Y121)&gt;='3월 등급 정보'!$H$11,9)))))))))</f>
        <v>2</v>
      </c>
      <c r="AC121" s="33">
        <f>E121+I121+M121+Q121+U121</f>
        <v>231.5</v>
      </c>
      <c r="AD121" s="33">
        <f>RANK(AC121,$AC$3:$AC$273)</f>
        <v>119</v>
      </c>
    </row>
    <row r="122" spans="1:30" ht="17.25" customHeight="1">
      <c r="A122" s="33" t="s">
        <v>26</v>
      </c>
      <c r="B122" s="34">
        <v>3</v>
      </c>
      <c r="C122" s="34">
        <v>23</v>
      </c>
      <c r="D122" s="34" t="s">
        <v>100</v>
      </c>
      <c r="E122" s="34">
        <v>58</v>
      </c>
      <c r="F122" s="33"/>
      <c r="G122" s="33"/>
      <c r="H122" s="33">
        <f>IF(INT(E122)&gt;='3월 등급 정보'!$C$3,1,IF(INT(E122)&gt;='3월 등급 정보'!$C$4,2,IF(INT(E122)&gt;='3월 등급 정보'!$C$5,3,IF(INT(E122)&gt;='3월 등급 정보'!$C$6,4,IF(INT(E122)&gt;='3월 등급 정보'!$C$7,5,IF(INT(E122)&gt;='3월 등급 정보'!$C$8,6,IF(INT(E122)&gt;='3월 등급 정보'!$C$9,7,IF(INT(E122)&gt;='3월 등급 정보'!$C$10,8,IF(INT(E122)&gt;='3월 등급 정보'!$C$11,9)))))))))</f>
        <v>5</v>
      </c>
      <c r="I122" s="34">
        <v>47</v>
      </c>
      <c r="J122" s="33"/>
      <c r="K122" s="33"/>
      <c r="L122" s="33">
        <f>IF(INT(I122)&gt;='3월 등급 정보'!$D$3,1,IF(INT(I122)&gt;='3월 등급 정보'!$D$4,2,IF(INT(I122)&gt;='3월 등급 정보'!$D$5,3,IF(INT(I122)&gt;='3월 등급 정보'!$D$6,4,IF(INT(I122)&gt;='3월 등급 정보'!$D$7,5,IF(INT(I122)&gt;='3월 등급 정보'!$D$8,6,IF(INT(I122)&gt;='3월 등급 정보'!$D$9,7,IF(INT(I122)&gt;='3월 등급 정보'!$D$10,8,IF(INT(I122)&gt;='3월 등급 정보'!$D$11,9)))))))))</f>
        <v>5</v>
      </c>
      <c r="M122" s="34">
        <v>75</v>
      </c>
      <c r="N122" s="33"/>
      <c r="O122" s="33"/>
      <c r="P122" s="33">
        <f>IF(INT(M122)&gt;='3월 등급 정보'!$E$3,1,IF(INT(M122)&gt;='3월 등급 정보'!$E$4,2,IF(INT(M122)&gt;='3월 등급 정보'!$E$5,3,IF(INT(M122)&gt;='3월 등급 정보'!$E$6,4,IF(INT(M122)&gt;='3월 등급 정보'!$E$7,5,IF(INT(M122)&gt;='3월 등급 정보'!$E$8,6,IF(INT(M122)&gt;='3월 등급 정보'!$E$9,7,IF(INT(M122)&gt;='3월 등급 정보'!$E$10,8,IF(INT(M122)&gt;='3월 등급 정보'!$E$11,9)))))))))</f>
        <v>3</v>
      </c>
      <c r="Q122" s="34">
        <v>30.5</v>
      </c>
      <c r="R122" s="33"/>
      <c r="S122" s="33"/>
      <c r="T122" s="33">
        <f>IF(INT(Q122)&gt;='3월 등급 정보'!$F$3,1,IF(INT(Q122)&gt;='3월 등급 정보'!$F$4,2,IF(INT(Q122)&gt;='3월 등급 정보'!$F$5,3,IF(INT(Q122)&gt;='3월 등급 정보'!$F$6,4,IF(INT(Q122)&gt;='3월 등급 정보'!$F$7,5,IF(INT(Q122)&gt;='3월 등급 정보'!$F$8,6,IF(INT(Q122)&gt;='3월 등급 정보'!$F$9,7,IF(INT(Q122)&gt;='3월 등급 정보'!$F$10,8,IF(INT(Q122)&gt;='3월 등급 정보'!$F$11,9)))))))))</f>
        <v>5</v>
      </c>
      <c r="U122" s="34">
        <v>20</v>
      </c>
      <c r="V122" s="33"/>
      <c r="W122" s="33"/>
      <c r="X122" s="33">
        <f>IF(INT(U122)&gt;='3월 등급 정보'!$G$3,1,IF(INT(U122)&gt;='3월 등급 정보'!$G$4,2,IF(INT(U122)&gt;='3월 등급 정보'!$G$5,3,IF(INT(U122)&gt;='3월 등급 정보'!$G$6,4,IF(INT(U122)&gt;='3월 등급 정보'!$G$7,5,IF(INT(U122)&gt;='3월 등급 정보'!$G$8,6,IF(INT(U122)&gt;='3월 등급 정보'!$G$9,7,IF(INT(U122)&gt;='3월 등급 정보'!$G$10,8,IF(INT(U122)&gt;='3월 등급 정보'!$G$11,9)))))))))</f>
        <v>5</v>
      </c>
      <c r="Y122" s="34">
        <v>50</v>
      </c>
      <c r="Z122" s="33"/>
      <c r="AA122" s="33"/>
      <c r="AB122" s="33">
        <f>IF(INT(Y122)&gt;='3월 등급 정보'!$H$3,1,IF(INT(Y122)&gt;='3월 등급 정보'!$H$4,2,IF(INT(Y122)&gt;='3월 등급 정보'!$H$5,3,IF(INT(Y122)&gt;='3월 등급 정보'!$H$6,4,IF(INT(Y122)&gt;='3월 등급 정보'!$H$7,5,IF(INT(Y122)&gt;='3월 등급 정보'!$H$8,6,IF(INT(Y122)&gt;='3월 등급 정보'!$H$9,7,IF(INT(Y122)&gt;='3월 등급 정보'!$H$10,8,IF(INT(Y122)&gt;='3월 등급 정보'!$H$11,9)))))))))</f>
        <v>1</v>
      </c>
      <c r="AC122" s="33">
        <f>E122+I122+M122+Q122+U122</f>
        <v>230.5</v>
      </c>
      <c r="AD122" s="33">
        <f>RANK(AC122,$AC$3:$AC$273)</f>
        <v>120</v>
      </c>
    </row>
    <row r="123" spans="1:30" ht="17.25" customHeight="1">
      <c r="A123" s="33" t="s">
        <v>26</v>
      </c>
      <c r="B123" s="34">
        <v>5</v>
      </c>
      <c r="C123" s="34">
        <v>27</v>
      </c>
      <c r="D123" s="34" t="s">
        <v>157</v>
      </c>
      <c r="E123" s="34">
        <v>51</v>
      </c>
      <c r="F123" s="33"/>
      <c r="G123" s="33"/>
      <c r="H123" s="33">
        <f>IF(INT(E123)&gt;='3월 등급 정보'!$C$3,1,IF(INT(E123)&gt;='3월 등급 정보'!$C$4,2,IF(INT(E123)&gt;='3월 등급 정보'!$C$5,3,IF(INT(E123)&gt;='3월 등급 정보'!$C$6,4,IF(INT(E123)&gt;='3월 등급 정보'!$C$7,5,IF(INT(E123)&gt;='3월 등급 정보'!$C$8,6,IF(INT(E123)&gt;='3월 등급 정보'!$C$9,7,IF(INT(E123)&gt;='3월 등급 정보'!$C$10,8,IF(INT(E123)&gt;='3월 등급 정보'!$C$11,9)))))))))</f>
        <v>5</v>
      </c>
      <c r="I123" s="34">
        <v>66</v>
      </c>
      <c r="J123" s="33"/>
      <c r="K123" s="33"/>
      <c r="L123" s="33">
        <f>IF(INT(I123)&gt;='3월 등급 정보'!$D$3,1,IF(INT(I123)&gt;='3월 등급 정보'!$D$4,2,IF(INT(I123)&gt;='3월 등급 정보'!$D$5,3,IF(INT(I123)&gt;='3월 등급 정보'!$D$6,4,IF(INT(I123)&gt;='3월 등급 정보'!$D$7,5,IF(INT(I123)&gt;='3월 등급 정보'!$D$8,6,IF(INT(I123)&gt;='3월 등급 정보'!$D$9,7,IF(INT(I123)&gt;='3월 등급 정보'!$D$10,8,IF(INT(I123)&gt;='3월 등급 정보'!$D$11,9)))))))))</f>
        <v>3</v>
      </c>
      <c r="M123" s="34">
        <v>54</v>
      </c>
      <c r="N123" s="33"/>
      <c r="O123" s="33"/>
      <c r="P123" s="33">
        <f>IF(INT(M123)&gt;='3월 등급 정보'!$E$3,1,IF(INT(M123)&gt;='3월 등급 정보'!$E$4,2,IF(INT(M123)&gt;='3월 등급 정보'!$E$5,3,IF(INT(M123)&gt;='3월 등급 정보'!$E$6,4,IF(INT(M123)&gt;='3월 등급 정보'!$E$7,5,IF(INT(M123)&gt;='3월 등급 정보'!$E$8,6,IF(INT(M123)&gt;='3월 등급 정보'!$E$9,7,IF(INT(M123)&gt;='3월 등급 정보'!$E$10,8,IF(INT(M123)&gt;='3월 등급 정보'!$E$11,9)))))))))</f>
        <v>5</v>
      </c>
      <c r="Q123" s="34">
        <v>33</v>
      </c>
      <c r="R123" s="33"/>
      <c r="S123" s="33"/>
      <c r="T123" s="33">
        <f>IF(INT(Q123)&gt;='3월 등급 정보'!$F$3,1,IF(INT(Q123)&gt;='3월 등급 정보'!$F$4,2,IF(INT(Q123)&gt;='3월 등급 정보'!$F$5,3,IF(INT(Q123)&gt;='3월 등급 정보'!$F$6,4,IF(INT(Q123)&gt;='3월 등급 정보'!$F$7,5,IF(INT(Q123)&gt;='3월 등급 정보'!$F$8,6,IF(INT(Q123)&gt;='3월 등급 정보'!$F$9,7,IF(INT(Q123)&gt;='3월 등급 정보'!$F$10,8,IF(INT(Q123)&gt;='3월 등급 정보'!$F$11,9)))))))))</f>
        <v>4</v>
      </c>
      <c r="U123" s="34">
        <v>26.5</v>
      </c>
      <c r="V123" s="33"/>
      <c r="W123" s="33"/>
      <c r="X123" s="33">
        <f>IF(INT(U123)&gt;='3월 등급 정보'!$G$3,1,IF(INT(U123)&gt;='3월 등급 정보'!$G$4,2,IF(INT(U123)&gt;='3월 등급 정보'!$G$5,3,IF(INT(U123)&gt;='3월 등급 정보'!$G$6,4,IF(INT(U123)&gt;='3월 등급 정보'!$G$7,5,IF(INT(U123)&gt;='3월 등급 정보'!$G$8,6,IF(INT(U123)&gt;='3월 등급 정보'!$G$9,7,IF(INT(U123)&gt;='3월 등급 정보'!$G$10,8,IF(INT(U123)&gt;='3월 등급 정보'!$G$11,9)))))))))</f>
        <v>4</v>
      </c>
      <c r="Y123" s="34">
        <v>22</v>
      </c>
      <c r="Z123" s="33"/>
      <c r="AA123" s="33"/>
      <c r="AB123" s="33">
        <f>IF(INT(Y123)&gt;='3월 등급 정보'!$H$3,1,IF(INT(Y123)&gt;='3월 등급 정보'!$H$4,2,IF(INT(Y123)&gt;='3월 등급 정보'!$H$5,3,IF(INT(Y123)&gt;='3월 등급 정보'!$H$6,4,IF(INT(Y123)&gt;='3월 등급 정보'!$H$7,5,IF(INT(Y123)&gt;='3월 등급 정보'!$H$8,6,IF(INT(Y123)&gt;='3월 등급 정보'!$H$9,7,IF(INT(Y123)&gt;='3월 등급 정보'!$H$10,8,IF(INT(Y123)&gt;='3월 등급 정보'!$H$11,9)))))))))</f>
        <v>5</v>
      </c>
      <c r="AC123" s="33">
        <f>E123+I123+M123+Q123+U123</f>
        <v>230.5</v>
      </c>
      <c r="AD123" s="33">
        <f>RANK(AC123,$AC$3:$AC$273)</f>
        <v>120</v>
      </c>
    </row>
    <row r="124" spans="1:30" ht="17.25" customHeight="1">
      <c r="A124" s="33" t="s">
        <v>26</v>
      </c>
      <c r="B124" s="34">
        <v>1</v>
      </c>
      <c r="C124" s="34">
        <v>23</v>
      </c>
      <c r="D124" s="34" t="s">
        <v>49</v>
      </c>
      <c r="E124" s="34">
        <v>49</v>
      </c>
      <c r="F124" s="33"/>
      <c r="G124" s="33"/>
      <c r="H124" s="33">
        <f>IF(INT(E124)&gt;='3월 등급 정보'!$C$3,1,IF(INT(E124)&gt;='3월 등급 정보'!$C$4,2,IF(INT(E124)&gt;='3월 등급 정보'!$C$5,3,IF(INT(E124)&gt;='3월 등급 정보'!$C$6,4,IF(INT(E124)&gt;='3월 등급 정보'!$C$7,5,IF(INT(E124)&gt;='3월 등급 정보'!$C$8,6,IF(INT(E124)&gt;='3월 등급 정보'!$C$9,7,IF(INT(E124)&gt;='3월 등급 정보'!$C$10,8,IF(INT(E124)&gt;='3월 등급 정보'!$C$11,9)))))))))</f>
        <v>5</v>
      </c>
      <c r="I124" s="34">
        <v>65</v>
      </c>
      <c r="J124" s="33"/>
      <c r="K124" s="33"/>
      <c r="L124" s="33">
        <f>IF(INT(I124)&gt;='3월 등급 정보'!$D$3,1,IF(INT(I124)&gt;='3월 등급 정보'!$D$4,2,IF(INT(I124)&gt;='3월 등급 정보'!$D$5,3,IF(INT(I124)&gt;='3월 등급 정보'!$D$6,4,IF(INT(I124)&gt;='3월 등급 정보'!$D$7,5,IF(INT(I124)&gt;='3월 등급 정보'!$D$8,6,IF(INT(I124)&gt;='3월 등급 정보'!$D$9,7,IF(INT(I124)&gt;='3월 등급 정보'!$D$10,8,IF(INT(I124)&gt;='3월 등급 정보'!$D$11,9)))))))))</f>
        <v>3</v>
      </c>
      <c r="M124" s="34">
        <v>60</v>
      </c>
      <c r="N124" s="33"/>
      <c r="O124" s="33"/>
      <c r="P124" s="33">
        <f>IF(INT(M124)&gt;='3월 등급 정보'!$E$3,1,IF(INT(M124)&gt;='3월 등급 정보'!$E$4,2,IF(INT(M124)&gt;='3월 등급 정보'!$E$5,3,IF(INT(M124)&gt;='3월 등급 정보'!$E$6,4,IF(INT(M124)&gt;='3월 등급 정보'!$E$7,5,IF(INT(M124)&gt;='3월 등급 정보'!$E$8,6,IF(INT(M124)&gt;='3월 등급 정보'!$E$9,7,IF(INT(M124)&gt;='3월 등급 정보'!$E$10,8,IF(INT(M124)&gt;='3월 등급 정보'!$E$11,9)))))))))</f>
        <v>4</v>
      </c>
      <c r="Q124" s="34">
        <v>14</v>
      </c>
      <c r="R124" s="33"/>
      <c r="S124" s="33"/>
      <c r="T124" s="33">
        <f>IF(INT(Q124)&gt;='3월 등급 정보'!$F$3,1,IF(INT(Q124)&gt;='3월 등급 정보'!$F$4,2,IF(INT(Q124)&gt;='3월 등급 정보'!$F$5,3,IF(INT(Q124)&gt;='3월 등급 정보'!$F$6,4,IF(INT(Q124)&gt;='3월 등급 정보'!$F$7,5,IF(INT(Q124)&gt;='3월 등급 정보'!$F$8,6,IF(INT(Q124)&gt;='3월 등급 정보'!$F$9,7,IF(INT(Q124)&gt;='3월 등급 정보'!$F$10,8,IF(INT(Q124)&gt;='3월 등급 정보'!$F$11,9)))))))))</f>
        <v>7</v>
      </c>
      <c r="U124" s="34">
        <v>39</v>
      </c>
      <c r="V124" s="33"/>
      <c r="W124" s="33"/>
      <c r="X124" s="33">
        <f>IF(INT(U124)&gt;='3월 등급 정보'!$G$3,1,IF(INT(U124)&gt;='3월 등급 정보'!$G$4,2,IF(INT(U124)&gt;='3월 등급 정보'!$G$5,3,IF(INT(U124)&gt;='3월 등급 정보'!$G$6,4,IF(INT(U124)&gt;='3월 등급 정보'!$G$7,5,IF(INT(U124)&gt;='3월 등급 정보'!$G$8,6,IF(INT(U124)&gt;='3월 등급 정보'!$G$9,7,IF(INT(U124)&gt;='3월 등급 정보'!$G$10,8,IF(INT(U124)&gt;='3월 등급 정보'!$G$11,9)))))))))</f>
        <v>2</v>
      </c>
      <c r="Y124" s="34">
        <v>38</v>
      </c>
      <c r="Z124" s="33"/>
      <c r="AA124" s="33"/>
      <c r="AB124" s="33">
        <f>IF(INT(Y124)&gt;='3월 등급 정보'!$H$3,1,IF(INT(Y124)&gt;='3월 등급 정보'!$H$4,2,IF(INT(Y124)&gt;='3월 등급 정보'!$H$5,3,IF(INT(Y124)&gt;='3월 등급 정보'!$H$6,4,IF(INT(Y124)&gt;='3월 등급 정보'!$H$7,5,IF(INT(Y124)&gt;='3월 등급 정보'!$H$8,6,IF(INT(Y124)&gt;='3월 등급 정보'!$H$9,7,IF(INT(Y124)&gt;='3월 등급 정보'!$H$10,8,IF(INT(Y124)&gt;='3월 등급 정보'!$H$11,9)))))))))</f>
        <v>2</v>
      </c>
      <c r="AC124" s="33">
        <f>E124+I124+M124+Q124+U124</f>
        <v>227</v>
      </c>
      <c r="AD124" s="33">
        <f>RANK(AC124,$AC$3:$AC$273)</f>
        <v>122</v>
      </c>
    </row>
    <row r="125" spans="1:30" ht="17.25" customHeight="1">
      <c r="A125" s="33" t="s">
        <v>26</v>
      </c>
      <c r="B125" s="34">
        <v>3</v>
      </c>
      <c r="C125" s="34">
        <v>13</v>
      </c>
      <c r="D125" s="34" t="s">
        <v>91</v>
      </c>
      <c r="E125" s="34">
        <v>65</v>
      </c>
      <c r="F125" s="33"/>
      <c r="G125" s="33"/>
      <c r="H125" s="33">
        <f>IF(INT(E125)&gt;='3월 등급 정보'!$C$3,1,IF(INT(E125)&gt;='3월 등급 정보'!$C$4,2,IF(INT(E125)&gt;='3월 등급 정보'!$C$5,3,IF(INT(E125)&gt;='3월 등급 정보'!$C$6,4,IF(INT(E125)&gt;='3월 등급 정보'!$C$7,5,IF(INT(E125)&gt;='3월 등급 정보'!$C$8,6,IF(INT(E125)&gt;='3월 등급 정보'!$C$9,7,IF(INT(E125)&gt;='3월 등급 정보'!$C$10,8,IF(INT(E125)&gt;='3월 등급 정보'!$C$11,9)))))))))</f>
        <v>4</v>
      </c>
      <c r="I125" s="34">
        <v>45</v>
      </c>
      <c r="J125" s="33"/>
      <c r="K125" s="33"/>
      <c r="L125" s="33">
        <f>IF(INT(I125)&gt;='3월 등급 정보'!$D$3,1,IF(INT(I125)&gt;='3월 등급 정보'!$D$4,2,IF(INT(I125)&gt;='3월 등급 정보'!$D$5,3,IF(INT(I125)&gt;='3월 등급 정보'!$D$6,4,IF(INT(I125)&gt;='3월 등급 정보'!$D$7,5,IF(INT(I125)&gt;='3월 등급 정보'!$D$8,6,IF(INT(I125)&gt;='3월 등급 정보'!$D$9,7,IF(INT(I125)&gt;='3월 등급 정보'!$D$10,8,IF(INT(I125)&gt;='3월 등급 정보'!$D$11,9)))))))))</f>
        <v>5</v>
      </c>
      <c r="M125" s="34">
        <v>51</v>
      </c>
      <c r="N125" s="33"/>
      <c r="O125" s="33"/>
      <c r="P125" s="33">
        <f>IF(INT(M125)&gt;='3월 등급 정보'!$E$3,1,IF(INT(M125)&gt;='3월 등급 정보'!$E$4,2,IF(INT(M125)&gt;='3월 등급 정보'!$E$5,3,IF(INT(M125)&gt;='3월 등급 정보'!$E$6,4,IF(INT(M125)&gt;='3월 등급 정보'!$E$7,5,IF(INT(M125)&gt;='3월 등급 정보'!$E$8,6,IF(INT(M125)&gt;='3월 등급 정보'!$E$9,7,IF(INT(M125)&gt;='3월 등급 정보'!$E$10,8,IF(INT(M125)&gt;='3월 등급 정보'!$E$11,9)))))))))</f>
        <v>5</v>
      </c>
      <c r="Q125" s="34">
        <v>32.5</v>
      </c>
      <c r="R125" s="33"/>
      <c r="S125" s="33"/>
      <c r="T125" s="33">
        <f>IF(INT(Q125)&gt;='3월 등급 정보'!$F$3,1,IF(INT(Q125)&gt;='3월 등급 정보'!$F$4,2,IF(INT(Q125)&gt;='3월 등급 정보'!$F$5,3,IF(INT(Q125)&gt;='3월 등급 정보'!$F$6,4,IF(INT(Q125)&gt;='3월 등급 정보'!$F$7,5,IF(INT(Q125)&gt;='3월 등급 정보'!$F$8,6,IF(INT(Q125)&gt;='3월 등급 정보'!$F$9,7,IF(INT(Q125)&gt;='3월 등급 정보'!$F$10,8,IF(INT(Q125)&gt;='3월 등급 정보'!$F$11,9)))))))))</f>
        <v>5</v>
      </c>
      <c r="U125" s="34">
        <v>33.5</v>
      </c>
      <c r="V125" s="33"/>
      <c r="W125" s="33"/>
      <c r="X125" s="33">
        <f>IF(INT(U125)&gt;='3월 등급 정보'!$G$3,1,IF(INT(U125)&gt;='3월 등급 정보'!$G$4,2,IF(INT(U125)&gt;='3월 등급 정보'!$G$5,3,IF(INT(U125)&gt;='3월 등급 정보'!$G$6,4,IF(INT(U125)&gt;='3월 등급 정보'!$G$7,5,IF(INT(U125)&gt;='3월 등급 정보'!$G$8,6,IF(INT(U125)&gt;='3월 등급 정보'!$G$9,7,IF(INT(U125)&gt;='3월 등급 정보'!$G$10,8,IF(INT(U125)&gt;='3월 등급 정보'!$G$11,9)))))))))</f>
        <v>3</v>
      </c>
      <c r="Y125" s="34">
        <v>19</v>
      </c>
      <c r="Z125" s="33"/>
      <c r="AA125" s="33"/>
      <c r="AB125" s="33">
        <f>IF(INT(Y125)&gt;='3월 등급 정보'!$H$3,1,IF(INT(Y125)&gt;='3월 등급 정보'!$H$4,2,IF(INT(Y125)&gt;='3월 등급 정보'!$H$5,3,IF(INT(Y125)&gt;='3월 등급 정보'!$H$6,4,IF(INT(Y125)&gt;='3월 등급 정보'!$H$7,5,IF(INT(Y125)&gt;='3월 등급 정보'!$H$8,6,IF(INT(Y125)&gt;='3월 등급 정보'!$H$9,7,IF(INT(Y125)&gt;='3월 등급 정보'!$H$10,8,IF(INT(Y125)&gt;='3월 등급 정보'!$H$11,9)))))))))</f>
        <v>6</v>
      </c>
      <c r="AC125" s="33">
        <f>E125+I125+M125+Q125+U125</f>
        <v>227</v>
      </c>
      <c r="AD125" s="33">
        <f>RANK(AC125,$AC$3:$AC$273)</f>
        <v>122</v>
      </c>
    </row>
    <row r="126" spans="1:30" ht="17.25" customHeight="1">
      <c r="A126" s="33" t="s">
        <v>26</v>
      </c>
      <c r="B126" s="34">
        <v>4</v>
      </c>
      <c r="C126" s="34">
        <v>10</v>
      </c>
      <c r="D126" s="34" t="s">
        <v>115</v>
      </c>
      <c r="E126" s="34">
        <v>57</v>
      </c>
      <c r="F126" s="33"/>
      <c r="G126" s="33"/>
      <c r="H126" s="33">
        <f>IF(INT(E126)&gt;='3월 등급 정보'!$C$3,1,IF(INT(E126)&gt;='3월 등급 정보'!$C$4,2,IF(INT(E126)&gt;='3월 등급 정보'!$C$5,3,IF(INT(E126)&gt;='3월 등급 정보'!$C$6,4,IF(INT(E126)&gt;='3월 등급 정보'!$C$7,5,IF(INT(E126)&gt;='3월 등급 정보'!$C$8,6,IF(INT(E126)&gt;='3월 등급 정보'!$C$9,7,IF(INT(E126)&gt;='3월 등급 정보'!$C$10,8,IF(INT(E126)&gt;='3월 등급 정보'!$C$11,9)))))))))</f>
        <v>5</v>
      </c>
      <c r="I126" s="34">
        <v>41</v>
      </c>
      <c r="J126" s="33"/>
      <c r="K126" s="33"/>
      <c r="L126" s="33">
        <f>IF(INT(I126)&gt;='3월 등급 정보'!$D$3,1,IF(INT(I126)&gt;='3월 등급 정보'!$D$4,2,IF(INT(I126)&gt;='3월 등급 정보'!$D$5,3,IF(INT(I126)&gt;='3월 등급 정보'!$D$6,4,IF(INT(I126)&gt;='3월 등급 정보'!$D$7,5,IF(INT(I126)&gt;='3월 등급 정보'!$D$8,6,IF(INT(I126)&gt;='3월 등급 정보'!$D$9,7,IF(INT(I126)&gt;='3월 등급 정보'!$D$10,8,IF(INT(I126)&gt;='3월 등급 정보'!$D$11,9)))))))))</f>
        <v>5</v>
      </c>
      <c r="M126" s="34">
        <v>57</v>
      </c>
      <c r="N126" s="33"/>
      <c r="O126" s="33"/>
      <c r="P126" s="33">
        <f>IF(INT(M126)&gt;='3월 등급 정보'!$E$3,1,IF(INT(M126)&gt;='3월 등급 정보'!$E$4,2,IF(INT(M126)&gt;='3월 등급 정보'!$E$5,3,IF(INT(M126)&gt;='3월 등급 정보'!$E$6,4,IF(INT(M126)&gt;='3월 등급 정보'!$E$7,5,IF(INT(M126)&gt;='3월 등급 정보'!$E$8,6,IF(INT(M126)&gt;='3월 등급 정보'!$E$9,7,IF(INT(M126)&gt;='3월 등급 정보'!$E$10,8,IF(INT(M126)&gt;='3월 등급 정보'!$E$11,9)))))))))</f>
        <v>5</v>
      </c>
      <c r="Q126" s="34">
        <v>38.5</v>
      </c>
      <c r="R126" s="33"/>
      <c r="S126" s="33"/>
      <c r="T126" s="33">
        <f>IF(INT(Q126)&gt;='3월 등급 정보'!$F$3,1,IF(INT(Q126)&gt;='3월 등급 정보'!$F$4,2,IF(INT(Q126)&gt;='3월 등급 정보'!$F$5,3,IF(INT(Q126)&gt;='3월 등급 정보'!$F$6,4,IF(INT(Q126)&gt;='3월 등급 정보'!$F$7,5,IF(INT(Q126)&gt;='3월 등급 정보'!$F$8,6,IF(INT(Q126)&gt;='3월 등급 정보'!$F$9,7,IF(INT(Q126)&gt;='3월 등급 정보'!$F$10,8,IF(INT(Q126)&gt;='3월 등급 정보'!$F$11,9)))))))))</f>
        <v>3</v>
      </c>
      <c r="U126" s="34">
        <v>33</v>
      </c>
      <c r="V126" s="33"/>
      <c r="W126" s="33"/>
      <c r="X126" s="33">
        <f>IF(INT(U126)&gt;='3월 등급 정보'!$G$3,1,IF(INT(U126)&gt;='3월 등급 정보'!$G$4,2,IF(INT(U126)&gt;='3월 등급 정보'!$G$5,3,IF(INT(U126)&gt;='3월 등급 정보'!$G$6,4,IF(INT(U126)&gt;='3월 등급 정보'!$G$7,5,IF(INT(U126)&gt;='3월 등급 정보'!$G$8,6,IF(INT(U126)&gt;='3월 등급 정보'!$G$9,7,IF(INT(U126)&gt;='3월 등급 정보'!$G$10,8,IF(INT(U126)&gt;='3월 등급 정보'!$G$11,9)))))))))</f>
        <v>3</v>
      </c>
      <c r="Y126" s="34">
        <v>39</v>
      </c>
      <c r="Z126" s="33"/>
      <c r="AA126" s="33"/>
      <c r="AB126" s="33">
        <f>IF(INT(Y126)&gt;='3월 등급 정보'!$H$3,1,IF(INT(Y126)&gt;='3월 등급 정보'!$H$4,2,IF(INT(Y126)&gt;='3월 등급 정보'!$H$5,3,IF(INT(Y126)&gt;='3월 등급 정보'!$H$6,4,IF(INT(Y126)&gt;='3월 등급 정보'!$H$7,5,IF(INT(Y126)&gt;='3월 등급 정보'!$H$8,6,IF(INT(Y126)&gt;='3월 등급 정보'!$H$9,7,IF(INT(Y126)&gt;='3월 등급 정보'!$H$10,8,IF(INT(Y126)&gt;='3월 등급 정보'!$H$11,9)))))))))</f>
        <v>2</v>
      </c>
      <c r="AC126" s="33">
        <f>E126+I126+M126+Q126+U126</f>
        <v>226.5</v>
      </c>
      <c r="AD126" s="33">
        <f>RANK(AC126,$AC$3:$AC$273)</f>
        <v>124</v>
      </c>
    </row>
    <row r="127" spans="1:30" ht="17.25" customHeight="1">
      <c r="A127" s="33" t="s">
        <v>26</v>
      </c>
      <c r="B127" s="34">
        <v>6</v>
      </c>
      <c r="C127" s="34">
        <v>14</v>
      </c>
      <c r="D127" s="34" t="s">
        <v>172</v>
      </c>
      <c r="E127" s="34">
        <v>63</v>
      </c>
      <c r="F127" s="33"/>
      <c r="G127" s="33"/>
      <c r="H127" s="33">
        <f>IF(INT(E127)&gt;='3월 등급 정보'!$C$3,1,IF(INT(E127)&gt;='3월 등급 정보'!$C$4,2,IF(INT(E127)&gt;='3월 등급 정보'!$C$5,3,IF(INT(E127)&gt;='3월 등급 정보'!$C$6,4,IF(INT(E127)&gt;='3월 등급 정보'!$C$7,5,IF(INT(E127)&gt;='3월 등급 정보'!$C$8,6,IF(INT(E127)&gt;='3월 등급 정보'!$C$9,7,IF(INT(E127)&gt;='3월 등급 정보'!$C$10,8,IF(INT(E127)&gt;='3월 등급 정보'!$C$11,9)))))))))</f>
        <v>4</v>
      </c>
      <c r="I127" s="34">
        <v>50</v>
      </c>
      <c r="J127" s="33"/>
      <c r="K127" s="33"/>
      <c r="L127" s="33">
        <f>IF(INT(I127)&gt;='3월 등급 정보'!$D$3,1,IF(INT(I127)&gt;='3월 등급 정보'!$D$4,2,IF(INT(I127)&gt;='3월 등급 정보'!$D$5,3,IF(INT(I127)&gt;='3월 등급 정보'!$D$6,4,IF(INT(I127)&gt;='3월 등급 정보'!$D$7,5,IF(INT(I127)&gt;='3월 등급 정보'!$D$8,6,IF(INT(I127)&gt;='3월 등급 정보'!$D$9,7,IF(INT(I127)&gt;='3월 등급 정보'!$D$10,8,IF(INT(I127)&gt;='3월 등급 정보'!$D$11,9)))))))))</f>
        <v>4</v>
      </c>
      <c r="M127" s="34">
        <v>55</v>
      </c>
      <c r="N127" s="33"/>
      <c r="O127" s="33"/>
      <c r="P127" s="33">
        <f>IF(INT(M127)&gt;='3월 등급 정보'!$E$3,1,IF(INT(M127)&gt;='3월 등급 정보'!$E$4,2,IF(INT(M127)&gt;='3월 등급 정보'!$E$5,3,IF(INT(M127)&gt;='3월 등급 정보'!$E$6,4,IF(INT(M127)&gt;='3월 등급 정보'!$E$7,5,IF(INT(M127)&gt;='3월 등급 정보'!$E$8,6,IF(INT(M127)&gt;='3월 등급 정보'!$E$9,7,IF(INT(M127)&gt;='3월 등급 정보'!$E$10,8,IF(INT(M127)&gt;='3월 등급 정보'!$E$11,9)))))))))</f>
        <v>5</v>
      </c>
      <c r="Q127" s="34">
        <v>32.5</v>
      </c>
      <c r="R127" s="33"/>
      <c r="S127" s="33"/>
      <c r="T127" s="33">
        <f>IF(INT(Q127)&gt;='3월 등급 정보'!$F$3,1,IF(INT(Q127)&gt;='3월 등급 정보'!$F$4,2,IF(INT(Q127)&gt;='3월 등급 정보'!$F$5,3,IF(INT(Q127)&gt;='3월 등급 정보'!$F$6,4,IF(INT(Q127)&gt;='3월 등급 정보'!$F$7,5,IF(INT(Q127)&gt;='3월 등급 정보'!$F$8,6,IF(INT(Q127)&gt;='3월 등급 정보'!$F$9,7,IF(INT(Q127)&gt;='3월 등급 정보'!$F$10,8,IF(INT(Q127)&gt;='3월 등급 정보'!$F$11,9)))))))))</f>
        <v>5</v>
      </c>
      <c r="U127" s="34">
        <v>26</v>
      </c>
      <c r="V127" s="33"/>
      <c r="W127" s="33"/>
      <c r="X127" s="33">
        <f>IF(INT(U127)&gt;='3월 등급 정보'!$G$3,1,IF(INT(U127)&gt;='3월 등급 정보'!$G$4,2,IF(INT(U127)&gt;='3월 등급 정보'!$G$5,3,IF(INT(U127)&gt;='3월 등급 정보'!$G$6,4,IF(INT(U127)&gt;='3월 등급 정보'!$G$7,5,IF(INT(U127)&gt;='3월 등급 정보'!$G$8,6,IF(INT(U127)&gt;='3월 등급 정보'!$G$9,7,IF(INT(U127)&gt;='3월 등급 정보'!$G$10,8,IF(INT(U127)&gt;='3월 등급 정보'!$G$11,9)))))))))</f>
        <v>4</v>
      </c>
      <c r="Y127" s="34">
        <v>35</v>
      </c>
      <c r="Z127" s="33"/>
      <c r="AA127" s="33"/>
      <c r="AB127" s="33">
        <f>IF(INT(Y127)&gt;='3월 등급 정보'!$H$3,1,IF(INT(Y127)&gt;='3월 등급 정보'!$H$4,2,IF(INT(Y127)&gt;='3월 등급 정보'!$H$5,3,IF(INT(Y127)&gt;='3월 등급 정보'!$H$6,4,IF(INT(Y127)&gt;='3월 등급 정보'!$H$7,5,IF(INT(Y127)&gt;='3월 등급 정보'!$H$8,6,IF(INT(Y127)&gt;='3월 등급 정보'!$H$9,7,IF(INT(Y127)&gt;='3월 등급 정보'!$H$10,8,IF(INT(Y127)&gt;='3월 등급 정보'!$H$11,9)))))))))</f>
        <v>2</v>
      </c>
      <c r="AC127" s="33">
        <f>E127+I127+M127+Q127+U127</f>
        <v>226.5</v>
      </c>
      <c r="AD127" s="33">
        <f>RANK(AC127,$AC$3:$AC$273)</f>
        <v>124</v>
      </c>
    </row>
    <row r="128" spans="1:30" ht="17.25" customHeight="1">
      <c r="A128" s="33" t="s">
        <v>26</v>
      </c>
      <c r="B128" s="34">
        <v>3</v>
      </c>
      <c r="C128" s="34">
        <v>10</v>
      </c>
      <c r="D128" s="34" t="s">
        <v>88</v>
      </c>
      <c r="E128" s="34">
        <v>49</v>
      </c>
      <c r="F128" s="33"/>
      <c r="G128" s="33"/>
      <c r="H128" s="33">
        <f>IF(INT(E128)&gt;='3월 등급 정보'!$C$3,1,IF(INT(E128)&gt;='3월 등급 정보'!$C$4,2,IF(INT(E128)&gt;='3월 등급 정보'!$C$5,3,IF(INT(E128)&gt;='3월 등급 정보'!$C$6,4,IF(INT(E128)&gt;='3월 등급 정보'!$C$7,5,IF(INT(E128)&gt;='3월 등급 정보'!$C$8,6,IF(INT(E128)&gt;='3월 등급 정보'!$C$9,7,IF(INT(E128)&gt;='3월 등급 정보'!$C$10,8,IF(INT(E128)&gt;='3월 등급 정보'!$C$11,9)))))))))</f>
        <v>5</v>
      </c>
      <c r="I128" s="34">
        <v>57</v>
      </c>
      <c r="J128" s="33"/>
      <c r="K128" s="33"/>
      <c r="L128" s="33">
        <f>IF(INT(I128)&gt;='3월 등급 정보'!$D$3,1,IF(INT(I128)&gt;='3월 등급 정보'!$D$4,2,IF(INT(I128)&gt;='3월 등급 정보'!$D$5,3,IF(INT(I128)&gt;='3월 등급 정보'!$D$6,4,IF(INT(I128)&gt;='3월 등급 정보'!$D$7,5,IF(INT(I128)&gt;='3월 등급 정보'!$D$8,6,IF(INT(I128)&gt;='3월 등급 정보'!$D$9,7,IF(INT(I128)&gt;='3월 등급 정보'!$D$10,8,IF(INT(I128)&gt;='3월 등급 정보'!$D$11,9)))))))))</f>
        <v>4</v>
      </c>
      <c r="M128" s="34">
        <v>57</v>
      </c>
      <c r="N128" s="33"/>
      <c r="O128" s="33"/>
      <c r="P128" s="33">
        <f>IF(INT(M128)&gt;='3월 등급 정보'!$E$3,1,IF(INT(M128)&gt;='3월 등급 정보'!$E$4,2,IF(INT(M128)&gt;='3월 등급 정보'!$E$5,3,IF(INT(M128)&gt;='3월 등급 정보'!$E$6,4,IF(INT(M128)&gt;='3월 등급 정보'!$E$7,5,IF(INT(M128)&gt;='3월 등급 정보'!$E$8,6,IF(INT(M128)&gt;='3월 등급 정보'!$E$9,7,IF(INT(M128)&gt;='3월 등급 정보'!$E$10,8,IF(INT(M128)&gt;='3월 등급 정보'!$E$11,9)))))))))</f>
        <v>5</v>
      </c>
      <c r="Q128" s="34">
        <v>38.5</v>
      </c>
      <c r="R128" s="33"/>
      <c r="S128" s="33"/>
      <c r="T128" s="33">
        <f>IF(INT(Q128)&gt;='3월 등급 정보'!$F$3,1,IF(INT(Q128)&gt;='3월 등급 정보'!$F$4,2,IF(INT(Q128)&gt;='3월 등급 정보'!$F$5,3,IF(INT(Q128)&gt;='3월 등급 정보'!$F$6,4,IF(INT(Q128)&gt;='3월 등급 정보'!$F$7,5,IF(INT(Q128)&gt;='3월 등급 정보'!$F$8,6,IF(INT(Q128)&gt;='3월 등급 정보'!$F$9,7,IF(INT(Q128)&gt;='3월 등급 정보'!$F$10,8,IF(INT(Q128)&gt;='3월 등급 정보'!$F$11,9)))))))))</f>
        <v>3</v>
      </c>
      <c r="U128" s="34">
        <v>24.5</v>
      </c>
      <c r="V128" s="33"/>
      <c r="W128" s="33"/>
      <c r="X128" s="33">
        <f>IF(INT(U128)&gt;='3월 등급 정보'!$G$3,1,IF(INT(U128)&gt;='3월 등급 정보'!$G$4,2,IF(INT(U128)&gt;='3월 등급 정보'!$G$5,3,IF(INT(U128)&gt;='3월 등급 정보'!$G$6,4,IF(INT(U128)&gt;='3월 등급 정보'!$G$7,5,IF(INT(U128)&gt;='3월 등급 정보'!$G$8,6,IF(INT(U128)&gt;='3월 등급 정보'!$G$9,7,IF(INT(U128)&gt;='3월 등급 정보'!$G$10,8,IF(INT(U128)&gt;='3월 등급 정보'!$G$11,9)))))))))</f>
        <v>5</v>
      </c>
      <c r="Y128" s="34">
        <v>35</v>
      </c>
      <c r="Z128" s="33"/>
      <c r="AA128" s="33"/>
      <c r="AB128" s="33">
        <f>IF(INT(Y128)&gt;='3월 등급 정보'!$H$3,1,IF(INT(Y128)&gt;='3월 등급 정보'!$H$4,2,IF(INT(Y128)&gt;='3월 등급 정보'!$H$5,3,IF(INT(Y128)&gt;='3월 등급 정보'!$H$6,4,IF(INT(Y128)&gt;='3월 등급 정보'!$H$7,5,IF(INT(Y128)&gt;='3월 등급 정보'!$H$8,6,IF(INT(Y128)&gt;='3월 등급 정보'!$H$9,7,IF(INT(Y128)&gt;='3월 등급 정보'!$H$10,8,IF(INT(Y128)&gt;='3월 등급 정보'!$H$11,9)))))))))</f>
        <v>2</v>
      </c>
      <c r="AC128" s="33">
        <f>E128+I128+M128+Q128+U128</f>
        <v>226</v>
      </c>
      <c r="AD128" s="33">
        <f>RANK(AC128,$AC$3:$AC$273)</f>
        <v>126</v>
      </c>
    </row>
    <row r="129" spans="1:30" ht="17.25" customHeight="1">
      <c r="A129" s="33" t="s">
        <v>26</v>
      </c>
      <c r="B129" s="34">
        <v>9</v>
      </c>
      <c r="C129" s="34">
        <v>14</v>
      </c>
      <c r="D129" s="34" t="s">
        <v>251</v>
      </c>
      <c r="E129" s="34">
        <v>61</v>
      </c>
      <c r="F129" s="33"/>
      <c r="G129" s="33"/>
      <c r="H129" s="33">
        <f>IF(INT(E129)&gt;='3월 등급 정보'!$C$3,1,IF(INT(E129)&gt;='3월 등급 정보'!$C$4,2,IF(INT(E129)&gt;='3월 등급 정보'!$C$5,3,IF(INT(E129)&gt;='3월 등급 정보'!$C$6,4,IF(INT(E129)&gt;='3월 등급 정보'!$C$7,5,IF(INT(E129)&gt;='3월 등급 정보'!$C$8,6,IF(INT(E129)&gt;='3월 등급 정보'!$C$9,7,IF(INT(E129)&gt;='3월 등급 정보'!$C$10,8,IF(INT(E129)&gt;='3월 등급 정보'!$C$11,9)))))))))</f>
        <v>4</v>
      </c>
      <c r="I129" s="34">
        <v>48</v>
      </c>
      <c r="J129" s="33"/>
      <c r="K129" s="33"/>
      <c r="L129" s="33">
        <f>IF(INT(I129)&gt;='3월 등급 정보'!$D$3,1,IF(INT(I129)&gt;='3월 등급 정보'!$D$4,2,IF(INT(I129)&gt;='3월 등급 정보'!$D$5,3,IF(INT(I129)&gt;='3월 등급 정보'!$D$6,4,IF(INT(I129)&gt;='3월 등급 정보'!$D$7,5,IF(INT(I129)&gt;='3월 등급 정보'!$D$8,6,IF(INT(I129)&gt;='3월 등급 정보'!$D$9,7,IF(INT(I129)&gt;='3월 등급 정보'!$D$10,8,IF(INT(I129)&gt;='3월 등급 정보'!$D$11,9)))))))))</f>
        <v>5</v>
      </c>
      <c r="M129" s="34">
        <v>54</v>
      </c>
      <c r="N129" s="33"/>
      <c r="O129" s="33"/>
      <c r="P129" s="33">
        <f>IF(INT(M129)&gt;='3월 등급 정보'!$E$3,1,IF(INT(M129)&gt;='3월 등급 정보'!$E$4,2,IF(INT(M129)&gt;='3월 등급 정보'!$E$5,3,IF(INT(M129)&gt;='3월 등급 정보'!$E$6,4,IF(INT(M129)&gt;='3월 등급 정보'!$E$7,5,IF(INT(M129)&gt;='3월 등급 정보'!$E$8,6,IF(INT(M129)&gt;='3월 등급 정보'!$E$9,7,IF(INT(M129)&gt;='3월 등급 정보'!$E$10,8,IF(INT(M129)&gt;='3월 등급 정보'!$E$11,9)))))))))</f>
        <v>5</v>
      </c>
      <c r="Q129" s="34">
        <v>36.5</v>
      </c>
      <c r="R129" s="33"/>
      <c r="S129" s="33"/>
      <c r="T129" s="33">
        <f>IF(INT(Q129)&gt;='3월 등급 정보'!$F$3,1,IF(INT(Q129)&gt;='3월 등급 정보'!$F$4,2,IF(INT(Q129)&gt;='3월 등급 정보'!$F$5,3,IF(INT(Q129)&gt;='3월 등급 정보'!$F$6,4,IF(INT(Q129)&gt;='3월 등급 정보'!$F$7,5,IF(INT(Q129)&gt;='3월 등급 정보'!$F$8,6,IF(INT(Q129)&gt;='3월 등급 정보'!$F$9,7,IF(INT(Q129)&gt;='3월 등급 정보'!$F$10,8,IF(INT(Q129)&gt;='3월 등급 정보'!$F$11,9)))))))))</f>
        <v>4</v>
      </c>
      <c r="U129" s="34">
        <v>25</v>
      </c>
      <c r="V129" s="33"/>
      <c r="W129" s="33"/>
      <c r="X129" s="33">
        <f>IF(INT(U129)&gt;='3월 등급 정보'!$G$3,1,IF(INT(U129)&gt;='3월 등급 정보'!$G$4,2,IF(INT(U129)&gt;='3월 등급 정보'!$G$5,3,IF(INT(U129)&gt;='3월 등급 정보'!$G$6,4,IF(INT(U129)&gt;='3월 등급 정보'!$G$7,5,IF(INT(U129)&gt;='3월 등급 정보'!$G$8,6,IF(INT(U129)&gt;='3월 등급 정보'!$G$9,7,IF(INT(U129)&gt;='3월 등급 정보'!$G$10,8,IF(INT(U129)&gt;='3월 등급 정보'!$G$11,9)))))))))</f>
        <v>5</v>
      </c>
      <c r="Y129" s="34">
        <v>37</v>
      </c>
      <c r="Z129" s="33"/>
      <c r="AA129" s="33"/>
      <c r="AB129" s="33">
        <f>IF(INT(Y129)&gt;='3월 등급 정보'!$H$3,1,IF(INT(Y129)&gt;='3월 등급 정보'!$H$4,2,IF(INT(Y129)&gt;='3월 등급 정보'!$H$5,3,IF(INT(Y129)&gt;='3월 등급 정보'!$H$6,4,IF(INT(Y129)&gt;='3월 등급 정보'!$H$7,5,IF(INT(Y129)&gt;='3월 등급 정보'!$H$8,6,IF(INT(Y129)&gt;='3월 등급 정보'!$H$9,7,IF(INT(Y129)&gt;='3월 등급 정보'!$H$10,8,IF(INT(Y129)&gt;='3월 등급 정보'!$H$11,9)))))))))</f>
        <v>2</v>
      </c>
      <c r="AC129" s="33">
        <f>E129+I129+M129+Q129+U129</f>
        <v>224.5</v>
      </c>
      <c r="AD129" s="33">
        <f>RANK(AC129,$AC$3:$AC$273)</f>
        <v>127</v>
      </c>
    </row>
    <row r="130" spans="1:30" ht="17.25" customHeight="1">
      <c r="A130" s="33" t="s">
        <v>26</v>
      </c>
      <c r="B130" s="34">
        <v>1</v>
      </c>
      <c r="C130" s="34">
        <v>25</v>
      </c>
      <c r="D130" s="34" t="s">
        <v>51</v>
      </c>
      <c r="E130" s="34">
        <v>46</v>
      </c>
      <c r="F130" s="33"/>
      <c r="G130" s="33"/>
      <c r="H130" s="33">
        <f>IF(INT(E130)&gt;='3월 등급 정보'!$C$3,1,IF(INT(E130)&gt;='3월 등급 정보'!$C$4,2,IF(INT(E130)&gt;='3월 등급 정보'!$C$5,3,IF(INT(E130)&gt;='3월 등급 정보'!$C$6,4,IF(INT(E130)&gt;='3월 등급 정보'!$C$7,5,IF(INT(E130)&gt;='3월 등급 정보'!$C$8,6,IF(INT(E130)&gt;='3월 등급 정보'!$C$9,7,IF(INT(E130)&gt;='3월 등급 정보'!$C$10,8,IF(INT(E130)&gt;='3월 등급 정보'!$C$11,9)))))))))</f>
        <v>6</v>
      </c>
      <c r="I130" s="34">
        <v>49</v>
      </c>
      <c r="J130" s="33"/>
      <c r="K130" s="33"/>
      <c r="L130" s="33">
        <f>IF(INT(I130)&gt;='3월 등급 정보'!$D$3,1,IF(INT(I130)&gt;='3월 등급 정보'!$D$4,2,IF(INT(I130)&gt;='3월 등급 정보'!$D$5,3,IF(INT(I130)&gt;='3월 등급 정보'!$D$6,4,IF(INT(I130)&gt;='3월 등급 정보'!$D$7,5,IF(INT(I130)&gt;='3월 등급 정보'!$D$8,6,IF(INT(I130)&gt;='3월 등급 정보'!$D$9,7,IF(INT(I130)&gt;='3월 등급 정보'!$D$10,8,IF(INT(I130)&gt;='3월 등급 정보'!$D$11,9)))))))))</f>
        <v>5</v>
      </c>
      <c r="M130" s="34">
        <v>63</v>
      </c>
      <c r="N130" s="33"/>
      <c r="O130" s="33"/>
      <c r="P130" s="33">
        <f>IF(INT(M130)&gt;='3월 등급 정보'!$E$3,1,IF(INT(M130)&gt;='3월 등급 정보'!$E$4,2,IF(INT(M130)&gt;='3월 등급 정보'!$E$5,3,IF(INT(M130)&gt;='3월 등급 정보'!$E$6,4,IF(INT(M130)&gt;='3월 등급 정보'!$E$7,5,IF(INT(M130)&gt;='3월 등급 정보'!$E$8,6,IF(INT(M130)&gt;='3월 등급 정보'!$E$9,7,IF(INT(M130)&gt;='3월 등급 정보'!$E$10,8,IF(INT(M130)&gt;='3월 등급 정보'!$E$11,9)))))))))</f>
        <v>4</v>
      </c>
      <c r="Q130" s="34">
        <v>32</v>
      </c>
      <c r="R130" s="33"/>
      <c r="S130" s="33"/>
      <c r="T130" s="33">
        <f>IF(INT(Q130)&gt;='3월 등급 정보'!$F$3,1,IF(INT(Q130)&gt;='3월 등급 정보'!$F$4,2,IF(INT(Q130)&gt;='3월 등급 정보'!$F$5,3,IF(INT(Q130)&gt;='3월 등급 정보'!$F$6,4,IF(INT(Q130)&gt;='3월 등급 정보'!$F$7,5,IF(INT(Q130)&gt;='3월 등급 정보'!$F$8,6,IF(INT(Q130)&gt;='3월 등급 정보'!$F$9,7,IF(INT(Q130)&gt;='3월 등급 정보'!$F$10,8,IF(INT(Q130)&gt;='3월 등급 정보'!$F$11,9)))))))))</f>
        <v>5</v>
      </c>
      <c r="U130" s="34">
        <v>34</v>
      </c>
      <c r="V130" s="33"/>
      <c r="W130" s="33"/>
      <c r="X130" s="33">
        <f>IF(INT(U130)&gt;='3월 등급 정보'!$G$3,1,IF(INT(U130)&gt;='3월 등급 정보'!$G$4,2,IF(INT(U130)&gt;='3월 등급 정보'!$G$5,3,IF(INT(U130)&gt;='3월 등급 정보'!$G$6,4,IF(INT(U130)&gt;='3월 등급 정보'!$G$7,5,IF(INT(U130)&gt;='3월 등급 정보'!$G$8,6,IF(INT(U130)&gt;='3월 등급 정보'!$G$9,7,IF(INT(U130)&gt;='3월 등급 정보'!$G$10,8,IF(INT(U130)&gt;='3월 등급 정보'!$G$11,9)))))))))</f>
        <v>3</v>
      </c>
      <c r="Y130" s="34">
        <v>29</v>
      </c>
      <c r="Z130" s="33"/>
      <c r="AA130" s="33"/>
      <c r="AB130" s="33">
        <f>IF(INT(Y130)&gt;='3월 등급 정보'!$H$3,1,IF(INT(Y130)&gt;='3월 등급 정보'!$H$4,2,IF(INT(Y130)&gt;='3월 등급 정보'!$H$5,3,IF(INT(Y130)&gt;='3월 등급 정보'!$H$6,4,IF(INT(Y130)&gt;='3월 등급 정보'!$H$7,5,IF(INT(Y130)&gt;='3월 등급 정보'!$H$8,6,IF(INT(Y130)&gt;='3월 등급 정보'!$H$9,7,IF(INT(Y130)&gt;='3월 등급 정보'!$H$10,8,IF(INT(Y130)&gt;='3월 등급 정보'!$H$11,9)))))))))</f>
        <v>4</v>
      </c>
      <c r="AC130" s="33">
        <f>E130+I130+M130+Q130+U130</f>
        <v>224</v>
      </c>
      <c r="AD130" s="33">
        <f>RANK(AC130,$AC$3:$AC$273)</f>
        <v>128</v>
      </c>
    </row>
    <row r="131" spans="1:30" ht="17.25" customHeight="1">
      <c r="A131" s="33" t="s">
        <v>26</v>
      </c>
      <c r="B131" s="34">
        <v>6</v>
      </c>
      <c r="C131" s="34">
        <v>24</v>
      </c>
      <c r="D131" s="34" t="s">
        <v>182</v>
      </c>
      <c r="E131" s="34">
        <v>60</v>
      </c>
      <c r="F131" s="33"/>
      <c r="G131" s="33"/>
      <c r="H131" s="33">
        <f>IF(INT(E131)&gt;='3월 등급 정보'!$C$3,1,IF(INT(E131)&gt;='3월 등급 정보'!$C$4,2,IF(INT(E131)&gt;='3월 등급 정보'!$C$5,3,IF(INT(E131)&gt;='3월 등급 정보'!$C$6,4,IF(INT(E131)&gt;='3월 등급 정보'!$C$7,5,IF(INT(E131)&gt;='3월 등급 정보'!$C$8,6,IF(INT(E131)&gt;='3월 등급 정보'!$C$9,7,IF(INT(E131)&gt;='3월 등급 정보'!$C$10,8,IF(INT(E131)&gt;='3월 등급 정보'!$C$11,9)))))))))</f>
        <v>4</v>
      </c>
      <c r="I131" s="34">
        <v>44</v>
      </c>
      <c r="J131" s="33"/>
      <c r="K131" s="33"/>
      <c r="L131" s="33">
        <f>IF(INT(I131)&gt;='3월 등급 정보'!$D$3,1,IF(INT(I131)&gt;='3월 등급 정보'!$D$4,2,IF(INT(I131)&gt;='3월 등급 정보'!$D$5,3,IF(INT(I131)&gt;='3월 등급 정보'!$D$6,4,IF(INT(I131)&gt;='3월 등급 정보'!$D$7,5,IF(INT(I131)&gt;='3월 등급 정보'!$D$8,6,IF(INT(I131)&gt;='3월 등급 정보'!$D$9,7,IF(INT(I131)&gt;='3월 등급 정보'!$D$10,8,IF(INT(I131)&gt;='3월 등급 정보'!$D$11,9)))))))))</f>
        <v>5</v>
      </c>
      <c r="M131" s="34">
        <v>69</v>
      </c>
      <c r="N131" s="33"/>
      <c r="O131" s="33"/>
      <c r="P131" s="33">
        <f>IF(INT(M131)&gt;='3월 등급 정보'!$E$3,1,IF(INT(M131)&gt;='3월 등급 정보'!$E$4,2,IF(INT(M131)&gt;='3월 등급 정보'!$E$5,3,IF(INT(M131)&gt;='3월 등급 정보'!$E$6,4,IF(INT(M131)&gt;='3월 등급 정보'!$E$7,5,IF(INT(M131)&gt;='3월 등급 정보'!$E$8,6,IF(INT(M131)&gt;='3월 등급 정보'!$E$9,7,IF(INT(M131)&gt;='3월 등급 정보'!$E$10,8,IF(INT(M131)&gt;='3월 등급 정보'!$E$11,9)))))))))</f>
        <v>4</v>
      </c>
      <c r="Q131" s="34">
        <v>27.5</v>
      </c>
      <c r="R131" s="33"/>
      <c r="S131" s="33"/>
      <c r="T131" s="33">
        <f>IF(INT(Q131)&gt;='3월 등급 정보'!$F$3,1,IF(INT(Q131)&gt;='3월 등급 정보'!$F$4,2,IF(INT(Q131)&gt;='3월 등급 정보'!$F$5,3,IF(INT(Q131)&gt;='3월 등급 정보'!$F$6,4,IF(INT(Q131)&gt;='3월 등급 정보'!$F$7,5,IF(INT(Q131)&gt;='3월 등급 정보'!$F$8,6,IF(INT(Q131)&gt;='3월 등급 정보'!$F$9,7,IF(INT(Q131)&gt;='3월 등급 정보'!$F$10,8,IF(INT(Q131)&gt;='3월 등급 정보'!$F$11,9)))))))))</f>
        <v>5</v>
      </c>
      <c r="U131" s="34">
        <v>23.5</v>
      </c>
      <c r="V131" s="33"/>
      <c r="W131" s="33"/>
      <c r="X131" s="33">
        <f>IF(INT(U131)&gt;='3월 등급 정보'!$G$3,1,IF(INT(U131)&gt;='3월 등급 정보'!$G$4,2,IF(INT(U131)&gt;='3월 등급 정보'!$G$5,3,IF(INT(U131)&gt;='3월 등급 정보'!$G$6,4,IF(INT(U131)&gt;='3월 등급 정보'!$G$7,5,IF(INT(U131)&gt;='3월 등급 정보'!$G$8,6,IF(INT(U131)&gt;='3월 등급 정보'!$G$9,7,IF(INT(U131)&gt;='3월 등급 정보'!$G$10,8,IF(INT(U131)&gt;='3월 등급 정보'!$G$11,9)))))))))</f>
        <v>5</v>
      </c>
      <c r="Y131" s="34">
        <v>23</v>
      </c>
      <c r="Z131" s="33"/>
      <c r="AA131" s="33"/>
      <c r="AB131" s="33">
        <f>IF(INT(Y131)&gt;='3월 등급 정보'!$H$3,1,IF(INT(Y131)&gt;='3월 등급 정보'!$H$4,2,IF(INT(Y131)&gt;='3월 등급 정보'!$H$5,3,IF(INT(Y131)&gt;='3월 등급 정보'!$H$6,4,IF(INT(Y131)&gt;='3월 등급 정보'!$H$7,5,IF(INT(Y131)&gt;='3월 등급 정보'!$H$8,6,IF(INT(Y131)&gt;='3월 등급 정보'!$H$9,7,IF(INT(Y131)&gt;='3월 등급 정보'!$H$10,8,IF(INT(Y131)&gt;='3월 등급 정보'!$H$11,9)))))))))</f>
        <v>5</v>
      </c>
      <c r="AC131" s="33">
        <f>E131+I131+M131+Q131+U131</f>
        <v>224</v>
      </c>
      <c r="AD131" s="33">
        <f>RANK(AC131,$AC$3:$AC$273)</f>
        <v>128</v>
      </c>
    </row>
    <row r="132" spans="1:30" ht="17.25" customHeight="1">
      <c r="A132" s="33" t="s">
        <v>26</v>
      </c>
      <c r="B132" s="34">
        <v>7</v>
      </c>
      <c r="C132" s="34">
        <v>7</v>
      </c>
      <c r="D132" s="34" t="s">
        <v>193</v>
      </c>
      <c r="E132" s="34">
        <v>51</v>
      </c>
      <c r="F132" s="33"/>
      <c r="G132" s="33"/>
      <c r="H132" s="33">
        <f>IF(INT(E132)&gt;='3월 등급 정보'!$C$3,1,IF(INT(E132)&gt;='3월 등급 정보'!$C$4,2,IF(INT(E132)&gt;='3월 등급 정보'!$C$5,3,IF(INT(E132)&gt;='3월 등급 정보'!$C$6,4,IF(INT(E132)&gt;='3월 등급 정보'!$C$7,5,IF(INT(E132)&gt;='3월 등급 정보'!$C$8,6,IF(INT(E132)&gt;='3월 등급 정보'!$C$9,7,IF(INT(E132)&gt;='3월 등급 정보'!$C$10,8,IF(INT(E132)&gt;='3월 등급 정보'!$C$11,9)))))))))</f>
        <v>5</v>
      </c>
      <c r="I132" s="34">
        <v>51</v>
      </c>
      <c r="J132" s="33"/>
      <c r="K132" s="33"/>
      <c r="L132" s="33">
        <f>IF(INT(I132)&gt;='3월 등급 정보'!$D$3,1,IF(INT(I132)&gt;='3월 등급 정보'!$D$4,2,IF(INT(I132)&gt;='3월 등급 정보'!$D$5,3,IF(INT(I132)&gt;='3월 등급 정보'!$D$6,4,IF(INT(I132)&gt;='3월 등급 정보'!$D$7,5,IF(INT(I132)&gt;='3월 등급 정보'!$D$8,6,IF(INT(I132)&gt;='3월 등급 정보'!$D$9,7,IF(INT(I132)&gt;='3월 등급 정보'!$D$10,8,IF(INT(I132)&gt;='3월 등급 정보'!$D$11,9)))))))))</f>
        <v>4</v>
      </c>
      <c r="M132" s="34">
        <v>67</v>
      </c>
      <c r="N132" s="33"/>
      <c r="O132" s="33"/>
      <c r="P132" s="33">
        <f>IF(INT(M132)&gt;='3월 등급 정보'!$E$3,1,IF(INT(M132)&gt;='3월 등급 정보'!$E$4,2,IF(INT(M132)&gt;='3월 등급 정보'!$E$5,3,IF(INT(M132)&gt;='3월 등급 정보'!$E$6,4,IF(INT(M132)&gt;='3월 등급 정보'!$E$7,5,IF(INT(M132)&gt;='3월 등급 정보'!$E$8,6,IF(INT(M132)&gt;='3월 등급 정보'!$E$9,7,IF(INT(M132)&gt;='3월 등급 정보'!$E$10,8,IF(INT(M132)&gt;='3월 등급 정보'!$E$11,9)))))))))</f>
        <v>4</v>
      </c>
      <c r="Q132" s="34">
        <v>40</v>
      </c>
      <c r="R132" s="33"/>
      <c r="S132" s="33"/>
      <c r="T132" s="33">
        <f>IF(INT(Q132)&gt;='3월 등급 정보'!$F$3,1,IF(INT(Q132)&gt;='3월 등급 정보'!$F$4,2,IF(INT(Q132)&gt;='3월 등급 정보'!$F$5,3,IF(INT(Q132)&gt;='3월 등급 정보'!$F$6,4,IF(INT(Q132)&gt;='3월 등급 정보'!$F$7,5,IF(INT(Q132)&gt;='3월 등급 정보'!$F$8,6,IF(INT(Q132)&gt;='3월 등급 정보'!$F$9,7,IF(INT(Q132)&gt;='3월 등급 정보'!$F$10,8,IF(INT(Q132)&gt;='3월 등급 정보'!$F$11,9)))))))))</f>
        <v>3</v>
      </c>
      <c r="U132" s="34">
        <v>15</v>
      </c>
      <c r="V132" s="33"/>
      <c r="W132" s="33"/>
      <c r="X132" s="33">
        <f>IF(INT(U132)&gt;='3월 등급 정보'!$G$3,1,IF(INT(U132)&gt;='3월 등급 정보'!$G$4,2,IF(INT(U132)&gt;='3월 등급 정보'!$G$5,3,IF(INT(U132)&gt;='3월 등급 정보'!$G$6,4,IF(INT(U132)&gt;='3월 등급 정보'!$G$7,5,IF(INT(U132)&gt;='3월 등급 정보'!$G$8,6,IF(INT(U132)&gt;='3월 등급 정보'!$G$9,7,IF(INT(U132)&gt;='3월 등급 정보'!$G$10,8,IF(INT(U132)&gt;='3월 등급 정보'!$G$11,9)))))))))</f>
        <v>6</v>
      </c>
      <c r="Y132" s="34">
        <v>16</v>
      </c>
      <c r="Z132" s="33"/>
      <c r="AA132" s="33"/>
      <c r="AB132" s="33">
        <f>IF(INT(Y132)&gt;='3월 등급 정보'!$H$3,1,IF(INT(Y132)&gt;='3월 등급 정보'!$H$4,2,IF(INT(Y132)&gt;='3월 등급 정보'!$H$5,3,IF(INT(Y132)&gt;='3월 등급 정보'!$H$6,4,IF(INT(Y132)&gt;='3월 등급 정보'!$H$7,5,IF(INT(Y132)&gt;='3월 등급 정보'!$H$8,6,IF(INT(Y132)&gt;='3월 등급 정보'!$H$9,7,IF(INT(Y132)&gt;='3월 등급 정보'!$H$10,8,IF(INT(Y132)&gt;='3월 등급 정보'!$H$11,9)))))))))</f>
        <v>6</v>
      </c>
      <c r="AC132" s="33">
        <f>E132+I132+M132+Q132+U132</f>
        <v>224</v>
      </c>
      <c r="AD132" s="33">
        <f>RANK(AC132,$AC$3:$AC$273)</f>
        <v>128</v>
      </c>
    </row>
    <row r="133" spans="1:30" ht="17.25" customHeight="1">
      <c r="A133" s="33" t="s">
        <v>26</v>
      </c>
      <c r="B133" s="34">
        <v>7</v>
      </c>
      <c r="C133" s="34">
        <v>17</v>
      </c>
      <c r="D133" s="34" t="s">
        <v>203</v>
      </c>
      <c r="E133" s="34">
        <v>60</v>
      </c>
      <c r="F133" s="33"/>
      <c r="G133" s="33"/>
      <c r="H133" s="33">
        <f>IF(INT(E133)&gt;='3월 등급 정보'!$C$3,1,IF(INT(E133)&gt;='3월 등급 정보'!$C$4,2,IF(INT(E133)&gt;='3월 등급 정보'!$C$5,3,IF(INT(E133)&gt;='3월 등급 정보'!$C$6,4,IF(INT(E133)&gt;='3월 등급 정보'!$C$7,5,IF(INT(E133)&gt;='3월 등급 정보'!$C$8,6,IF(INT(E133)&gt;='3월 등급 정보'!$C$9,7,IF(INT(E133)&gt;='3월 등급 정보'!$C$10,8,IF(INT(E133)&gt;='3월 등급 정보'!$C$11,9)))))))))</f>
        <v>4</v>
      </c>
      <c r="I133" s="34">
        <v>37</v>
      </c>
      <c r="J133" s="33"/>
      <c r="K133" s="33"/>
      <c r="L133" s="33">
        <f>IF(INT(I133)&gt;='3월 등급 정보'!$D$3,1,IF(INT(I133)&gt;='3월 등급 정보'!$D$4,2,IF(INT(I133)&gt;='3월 등급 정보'!$D$5,3,IF(INT(I133)&gt;='3월 등급 정보'!$D$6,4,IF(INT(I133)&gt;='3월 등급 정보'!$D$7,5,IF(INT(I133)&gt;='3월 등급 정보'!$D$8,6,IF(INT(I133)&gt;='3월 등급 정보'!$D$9,7,IF(INT(I133)&gt;='3월 등급 정보'!$D$10,8,IF(INT(I133)&gt;='3월 등급 정보'!$D$11,9)))))))))</f>
        <v>6</v>
      </c>
      <c r="M133" s="34">
        <v>72</v>
      </c>
      <c r="N133" s="33"/>
      <c r="O133" s="33"/>
      <c r="P133" s="33">
        <f>IF(INT(M133)&gt;='3월 등급 정보'!$E$3,1,IF(INT(M133)&gt;='3월 등급 정보'!$E$4,2,IF(INT(M133)&gt;='3월 등급 정보'!$E$5,3,IF(INT(M133)&gt;='3월 등급 정보'!$E$6,4,IF(INT(M133)&gt;='3월 등급 정보'!$E$7,5,IF(INT(M133)&gt;='3월 등급 정보'!$E$8,6,IF(INT(M133)&gt;='3월 등급 정보'!$E$9,7,IF(INT(M133)&gt;='3월 등급 정보'!$E$10,8,IF(INT(M133)&gt;='3월 등급 정보'!$E$11,9)))))))))</f>
        <v>3</v>
      </c>
      <c r="Q133" s="34">
        <v>37</v>
      </c>
      <c r="R133" s="33"/>
      <c r="S133" s="33"/>
      <c r="T133" s="33">
        <f>IF(INT(Q133)&gt;='3월 등급 정보'!$F$3,1,IF(INT(Q133)&gt;='3월 등급 정보'!$F$4,2,IF(INT(Q133)&gt;='3월 등급 정보'!$F$5,3,IF(INT(Q133)&gt;='3월 등급 정보'!$F$6,4,IF(INT(Q133)&gt;='3월 등급 정보'!$F$7,5,IF(INT(Q133)&gt;='3월 등급 정보'!$F$8,6,IF(INT(Q133)&gt;='3월 등급 정보'!$F$9,7,IF(INT(Q133)&gt;='3월 등급 정보'!$F$10,8,IF(INT(Q133)&gt;='3월 등급 정보'!$F$11,9)))))))))</f>
        <v>4</v>
      </c>
      <c r="U133" s="34">
        <v>18</v>
      </c>
      <c r="V133" s="33"/>
      <c r="W133" s="33"/>
      <c r="X133" s="33">
        <f>IF(INT(U133)&gt;='3월 등급 정보'!$G$3,1,IF(INT(U133)&gt;='3월 등급 정보'!$G$4,2,IF(INT(U133)&gt;='3월 등급 정보'!$G$5,3,IF(INT(U133)&gt;='3월 등급 정보'!$G$6,4,IF(INT(U133)&gt;='3월 등급 정보'!$G$7,5,IF(INT(U133)&gt;='3월 등급 정보'!$G$8,6,IF(INT(U133)&gt;='3월 등급 정보'!$G$9,7,IF(INT(U133)&gt;='3월 등급 정보'!$G$10,8,IF(INT(U133)&gt;='3월 등급 정보'!$G$11,9)))))))))</f>
        <v>6</v>
      </c>
      <c r="Y133" s="34">
        <v>45</v>
      </c>
      <c r="Z133" s="33"/>
      <c r="AA133" s="33"/>
      <c r="AB133" s="33">
        <f>IF(INT(Y133)&gt;='3월 등급 정보'!$H$3,1,IF(INT(Y133)&gt;='3월 등급 정보'!$H$4,2,IF(INT(Y133)&gt;='3월 등급 정보'!$H$5,3,IF(INT(Y133)&gt;='3월 등급 정보'!$H$6,4,IF(INT(Y133)&gt;='3월 등급 정보'!$H$7,5,IF(INT(Y133)&gt;='3월 등급 정보'!$H$8,6,IF(INT(Y133)&gt;='3월 등급 정보'!$H$9,7,IF(INT(Y133)&gt;='3월 등급 정보'!$H$10,8,IF(INT(Y133)&gt;='3월 등급 정보'!$H$11,9)))))))))</f>
        <v>1</v>
      </c>
      <c r="AC133" s="33">
        <f>E133+I133+M133+Q133+U133</f>
        <v>224</v>
      </c>
      <c r="AD133" s="33">
        <f>RANK(AC133,$AC$3:$AC$273)</f>
        <v>128</v>
      </c>
    </row>
    <row r="134" spans="1:30" ht="17.25" customHeight="1">
      <c r="A134" s="33" t="s">
        <v>26</v>
      </c>
      <c r="B134" s="34">
        <v>8</v>
      </c>
      <c r="C134" s="34">
        <v>15</v>
      </c>
      <c r="D134" s="34" t="s">
        <v>227</v>
      </c>
      <c r="E134" s="34">
        <v>55</v>
      </c>
      <c r="F134" s="33"/>
      <c r="G134" s="33"/>
      <c r="H134" s="33">
        <f>IF(INT(E134)&gt;='3월 등급 정보'!$C$3,1,IF(INT(E134)&gt;='3월 등급 정보'!$C$4,2,IF(INT(E134)&gt;='3월 등급 정보'!$C$5,3,IF(INT(E134)&gt;='3월 등급 정보'!$C$6,4,IF(INT(E134)&gt;='3월 등급 정보'!$C$7,5,IF(INT(E134)&gt;='3월 등급 정보'!$C$8,6,IF(INT(E134)&gt;='3월 등급 정보'!$C$9,7,IF(INT(E134)&gt;='3월 등급 정보'!$C$10,8,IF(INT(E134)&gt;='3월 등급 정보'!$C$11,9)))))))))</f>
        <v>5</v>
      </c>
      <c r="I134" s="34">
        <v>47</v>
      </c>
      <c r="J134" s="33"/>
      <c r="K134" s="33"/>
      <c r="L134" s="33">
        <f>IF(INT(I134)&gt;='3월 등급 정보'!$D$3,1,IF(INT(I134)&gt;='3월 등급 정보'!$D$4,2,IF(INT(I134)&gt;='3월 등급 정보'!$D$5,3,IF(INT(I134)&gt;='3월 등급 정보'!$D$6,4,IF(INT(I134)&gt;='3월 등급 정보'!$D$7,5,IF(INT(I134)&gt;='3월 등급 정보'!$D$8,6,IF(INT(I134)&gt;='3월 등급 정보'!$D$9,7,IF(INT(I134)&gt;='3월 등급 정보'!$D$10,8,IF(INT(I134)&gt;='3월 등급 정보'!$D$11,9)))))))))</f>
        <v>5</v>
      </c>
      <c r="M134" s="34">
        <v>57</v>
      </c>
      <c r="N134" s="33"/>
      <c r="O134" s="33"/>
      <c r="P134" s="33">
        <f>IF(INT(M134)&gt;='3월 등급 정보'!$E$3,1,IF(INT(M134)&gt;='3월 등급 정보'!$E$4,2,IF(INT(M134)&gt;='3월 등급 정보'!$E$5,3,IF(INT(M134)&gt;='3월 등급 정보'!$E$6,4,IF(INT(M134)&gt;='3월 등급 정보'!$E$7,5,IF(INT(M134)&gt;='3월 등급 정보'!$E$8,6,IF(INT(M134)&gt;='3월 등급 정보'!$E$9,7,IF(INT(M134)&gt;='3월 등급 정보'!$E$10,8,IF(INT(M134)&gt;='3월 등급 정보'!$E$11,9)))))))))</f>
        <v>5</v>
      </c>
      <c r="Q134" s="34">
        <v>41</v>
      </c>
      <c r="R134" s="33"/>
      <c r="S134" s="33"/>
      <c r="T134" s="33">
        <f>IF(INT(Q134)&gt;='3월 등급 정보'!$F$3,1,IF(INT(Q134)&gt;='3월 등급 정보'!$F$4,2,IF(INT(Q134)&gt;='3월 등급 정보'!$F$5,3,IF(INT(Q134)&gt;='3월 등급 정보'!$F$6,4,IF(INT(Q134)&gt;='3월 등급 정보'!$F$7,5,IF(INT(Q134)&gt;='3월 등급 정보'!$F$8,6,IF(INT(Q134)&gt;='3월 등급 정보'!$F$9,7,IF(INT(Q134)&gt;='3월 등급 정보'!$F$10,8,IF(INT(Q134)&gt;='3월 등급 정보'!$F$11,9)))))))))</f>
        <v>3</v>
      </c>
      <c r="U134" s="34">
        <v>24</v>
      </c>
      <c r="V134" s="33"/>
      <c r="W134" s="33"/>
      <c r="X134" s="33">
        <f>IF(INT(U134)&gt;='3월 등급 정보'!$G$3,1,IF(INT(U134)&gt;='3월 등급 정보'!$G$4,2,IF(INT(U134)&gt;='3월 등급 정보'!$G$5,3,IF(INT(U134)&gt;='3월 등급 정보'!$G$6,4,IF(INT(U134)&gt;='3월 등급 정보'!$G$7,5,IF(INT(U134)&gt;='3월 등급 정보'!$G$8,6,IF(INT(U134)&gt;='3월 등급 정보'!$G$9,7,IF(INT(U134)&gt;='3월 등급 정보'!$G$10,8,IF(INT(U134)&gt;='3월 등급 정보'!$G$11,9)))))))))</f>
        <v>5</v>
      </c>
      <c r="Y134" s="34">
        <v>26</v>
      </c>
      <c r="Z134" s="33"/>
      <c r="AA134" s="33"/>
      <c r="AB134" s="33">
        <f>IF(INT(Y134)&gt;='3월 등급 정보'!$H$3,1,IF(INT(Y134)&gt;='3월 등급 정보'!$H$4,2,IF(INT(Y134)&gt;='3월 등급 정보'!$H$5,3,IF(INT(Y134)&gt;='3월 등급 정보'!$H$6,4,IF(INT(Y134)&gt;='3월 등급 정보'!$H$7,5,IF(INT(Y134)&gt;='3월 등급 정보'!$H$8,6,IF(INT(Y134)&gt;='3월 등급 정보'!$H$9,7,IF(INT(Y134)&gt;='3월 등급 정보'!$H$10,8,IF(INT(Y134)&gt;='3월 등급 정보'!$H$11,9)))))))))</f>
        <v>4</v>
      </c>
      <c r="AC134" s="33">
        <f>E134+I134+M134+Q134+U134</f>
        <v>224</v>
      </c>
      <c r="AD134" s="33">
        <f>RANK(AC134,$AC$3:$AC$273)</f>
        <v>128</v>
      </c>
    </row>
    <row r="135" spans="1:30" ht="17.25" customHeight="1">
      <c r="A135" s="33" t="s">
        <v>26</v>
      </c>
      <c r="B135" s="34">
        <v>1</v>
      </c>
      <c r="C135" s="34">
        <v>11</v>
      </c>
      <c r="D135" s="34" t="s">
        <v>38</v>
      </c>
      <c r="E135" s="34">
        <v>40</v>
      </c>
      <c r="F135" s="33"/>
      <c r="G135" s="33"/>
      <c r="H135" s="33">
        <f>IF(INT(E135)&gt;='3월 등급 정보'!$C$3,1,IF(INT(E135)&gt;='3월 등급 정보'!$C$4,2,IF(INT(E135)&gt;='3월 등급 정보'!$C$5,3,IF(INT(E135)&gt;='3월 등급 정보'!$C$6,4,IF(INT(E135)&gt;='3월 등급 정보'!$C$7,5,IF(INT(E135)&gt;='3월 등급 정보'!$C$8,6,IF(INT(E135)&gt;='3월 등급 정보'!$C$9,7,IF(INT(E135)&gt;='3월 등급 정보'!$C$10,8,IF(INT(E135)&gt;='3월 등급 정보'!$C$11,9)))))))))</f>
        <v>6</v>
      </c>
      <c r="I135" s="34">
        <v>65</v>
      </c>
      <c r="J135" s="33"/>
      <c r="K135" s="33"/>
      <c r="L135" s="33">
        <f>IF(INT(I135)&gt;='3월 등급 정보'!$D$3,1,IF(INT(I135)&gt;='3월 등급 정보'!$D$4,2,IF(INT(I135)&gt;='3월 등급 정보'!$D$5,3,IF(INT(I135)&gt;='3월 등급 정보'!$D$6,4,IF(INT(I135)&gt;='3월 등급 정보'!$D$7,5,IF(INT(I135)&gt;='3월 등급 정보'!$D$8,6,IF(INT(I135)&gt;='3월 등급 정보'!$D$9,7,IF(INT(I135)&gt;='3월 등급 정보'!$D$10,8,IF(INT(I135)&gt;='3월 등급 정보'!$D$11,9)))))))))</f>
        <v>3</v>
      </c>
      <c r="M135" s="34">
        <v>68</v>
      </c>
      <c r="N135" s="33"/>
      <c r="O135" s="33"/>
      <c r="P135" s="33">
        <f>IF(INT(M135)&gt;='3월 등급 정보'!$E$3,1,IF(INT(M135)&gt;='3월 등급 정보'!$E$4,2,IF(INT(M135)&gt;='3월 등급 정보'!$E$5,3,IF(INT(M135)&gt;='3월 등급 정보'!$E$6,4,IF(INT(M135)&gt;='3월 등급 정보'!$E$7,5,IF(INT(M135)&gt;='3월 등급 정보'!$E$8,6,IF(INT(M135)&gt;='3월 등급 정보'!$E$9,7,IF(INT(M135)&gt;='3월 등급 정보'!$E$10,8,IF(INT(M135)&gt;='3월 등급 정보'!$E$11,9)))))))))</f>
        <v>4</v>
      </c>
      <c r="Q135" s="34">
        <v>17.5</v>
      </c>
      <c r="R135" s="33"/>
      <c r="S135" s="33"/>
      <c r="T135" s="33">
        <f>IF(INT(Q135)&gt;='3월 등급 정보'!$F$3,1,IF(INT(Q135)&gt;='3월 등급 정보'!$F$4,2,IF(INT(Q135)&gt;='3월 등급 정보'!$F$5,3,IF(INT(Q135)&gt;='3월 등급 정보'!$F$6,4,IF(INT(Q135)&gt;='3월 등급 정보'!$F$7,5,IF(INT(Q135)&gt;='3월 등급 정보'!$F$8,6,IF(INT(Q135)&gt;='3월 등급 정보'!$F$9,7,IF(INT(Q135)&gt;='3월 등급 정보'!$F$10,8,IF(INT(Q135)&gt;='3월 등급 정보'!$F$11,9)))))))))</f>
        <v>7</v>
      </c>
      <c r="U135" s="34">
        <v>33</v>
      </c>
      <c r="V135" s="33"/>
      <c r="W135" s="33"/>
      <c r="X135" s="33">
        <f>IF(INT(U135)&gt;='3월 등급 정보'!$G$3,1,IF(INT(U135)&gt;='3월 등급 정보'!$G$4,2,IF(INT(U135)&gt;='3월 등급 정보'!$G$5,3,IF(INT(U135)&gt;='3월 등급 정보'!$G$6,4,IF(INT(U135)&gt;='3월 등급 정보'!$G$7,5,IF(INT(U135)&gt;='3월 등급 정보'!$G$8,6,IF(INT(U135)&gt;='3월 등급 정보'!$G$9,7,IF(INT(U135)&gt;='3월 등급 정보'!$G$10,8,IF(INT(U135)&gt;='3월 등급 정보'!$G$11,9)))))))))</f>
        <v>3</v>
      </c>
      <c r="Y135" s="34">
        <v>19</v>
      </c>
      <c r="Z135" s="33"/>
      <c r="AA135" s="33"/>
      <c r="AB135" s="33">
        <f>IF(INT(Y135)&gt;='3월 등급 정보'!$H$3,1,IF(INT(Y135)&gt;='3월 등급 정보'!$H$4,2,IF(INT(Y135)&gt;='3월 등급 정보'!$H$5,3,IF(INT(Y135)&gt;='3월 등급 정보'!$H$6,4,IF(INT(Y135)&gt;='3월 등급 정보'!$H$7,5,IF(INT(Y135)&gt;='3월 등급 정보'!$H$8,6,IF(INT(Y135)&gt;='3월 등급 정보'!$H$9,7,IF(INT(Y135)&gt;='3월 등급 정보'!$H$10,8,IF(INT(Y135)&gt;='3월 등급 정보'!$H$11,9)))))))))</f>
        <v>6</v>
      </c>
      <c r="AC135" s="33">
        <f>E135+I135+M135+Q135+U135</f>
        <v>223.5</v>
      </c>
      <c r="AD135" s="33">
        <f>RANK(AC135,$AC$3:$AC$273)</f>
        <v>133</v>
      </c>
    </row>
    <row r="136" spans="1:30" ht="17.25" customHeight="1">
      <c r="A136" s="33" t="s">
        <v>26</v>
      </c>
      <c r="B136" s="34">
        <v>5</v>
      </c>
      <c r="C136" s="34">
        <v>3</v>
      </c>
      <c r="D136" s="34" t="s">
        <v>135</v>
      </c>
      <c r="E136" s="34">
        <v>53</v>
      </c>
      <c r="F136" s="33"/>
      <c r="G136" s="33"/>
      <c r="H136" s="33">
        <f>IF(INT(E136)&gt;='3월 등급 정보'!$C$3,1,IF(INT(E136)&gt;='3월 등급 정보'!$C$4,2,IF(INT(E136)&gt;='3월 등급 정보'!$C$5,3,IF(INT(E136)&gt;='3월 등급 정보'!$C$6,4,IF(INT(E136)&gt;='3월 등급 정보'!$C$7,5,IF(INT(E136)&gt;='3월 등급 정보'!$C$8,6,IF(INT(E136)&gt;='3월 등급 정보'!$C$9,7,IF(INT(E136)&gt;='3월 등급 정보'!$C$10,8,IF(INT(E136)&gt;='3월 등급 정보'!$C$11,9)))))))))</f>
        <v>5</v>
      </c>
      <c r="I136" s="34">
        <v>69</v>
      </c>
      <c r="J136" s="33"/>
      <c r="K136" s="33"/>
      <c r="L136" s="33">
        <f>IF(INT(I136)&gt;='3월 등급 정보'!$D$3,1,IF(INT(I136)&gt;='3월 등급 정보'!$D$4,2,IF(INT(I136)&gt;='3월 등급 정보'!$D$5,3,IF(INT(I136)&gt;='3월 등급 정보'!$D$6,4,IF(INT(I136)&gt;='3월 등급 정보'!$D$7,5,IF(INT(I136)&gt;='3월 등급 정보'!$D$8,6,IF(INT(I136)&gt;='3월 등급 정보'!$D$9,7,IF(INT(I136)&gt;='3월 등급 정보'!$D$10,8,IF(INT(I136)&gt;='3월 등급 정보'!$D$11,9)))))))))</f>
        <v>3</v>
      </c>
      <c r="M136" s="34">
        <v>49</v>
      </c>
      <c r="N136" s="33"/>
      <c r="O136" s="33"/>
      <c r="P136" s="33">
        <f>IF(INT(M136)&gt;='3월 등급 정보'!$E$3,1,IF(INT(M136)&gt;='3월 등급 정보'!$E$4,2,IF(INT(M136)&gt;='3월 등급 정보'!$E$5,3,IF(INT(M136)&gt;='3월 등급 정보'!$E$6,4,IF(INT(M136)&gt;='3월 등급 정보'!$E$7,5,IF(INT(M136)&gt;='3월 등급 정보'!$E$8,6,IF(INT(M136)&gt;='3월 등급 정보'!$E$9,7,IF(INT(M136)&gt;='3월 등급 정보'!$E$10,8,IF(INT(M136)&gt;='3월 등급 정보'!$E$11,9)))))))))</f>
        <v>6</v>
      </c>
      <c r="Q136" s="34">
        <v>29.5</v>
      </c>
      <c r="R136" s="33"/>
      <c r="S136" s="33"/>
      <c r="T136" s="33">
        <f>IF(INT(Q136)&gt;='3월 등급 정보'!$F$3,1,IF(INT(Q136)&gt;='3월 등급 정보'!$F$4,2,IF(INT(Q136)&gt;='3월 등급 정보'!$F$5,3,IF(INT(Q136)&gt;='3월 등급 정보'!$F$6,4,IF(INT(Q136)&gt;='3월 등급 정보'!$F$7,5,IF(INT(Q136)&gt;='3월 등급 정보'!$F$8,6,IF(INT(Q136)&gt;='3월 등급 정보'!$F$9,7,IF(INT(Q136)&gt;='3월 등급 정보'!$F$10,8,IF(INT(Q136)&gt;='3월 등급 정보'!$F$11,9)))))))))</f>
        <v>5</v>
      </c>
      <c r="U136" s="34">
        <v>22</v>
      </c>
      <c r="V136" s="33"/>
      <c r="W136" s="33"/>
      <c r="X136" s="33">
        <f>IF(INT(U136)&gt;='3월 등급 정보'!$G$3,1,IF(INT(U136)&gt;='3월 등급 정보'!$G$4,2,IF(INT(U136)&gt;='3월 등급 정보'!$G$5,3,IF(INT(U136)&gt;='3월 등급 정보'!$G$6,4,IF(INT(U136)&gt;='3월 등급 정보'!$G$7,5,IF(INT(U136)&gt;='3월 등급 정보'!$G$8,6,IF(INT(U136)&gt;='3월 등급 정보'!$G$9,7,IF(INT(U136)&gt;='3월 등급 정보'!$G$10,8,IF(INT(U136)&gt;='3월 등급 정보'!$G$11,9)))))))))</f>
        <v>5</v>
      </c>
      <c r="Y136" s="34">
        <v>31</v>
      </c>
      <c r="Z136" s="33"/>
      <c r="AA136" s="33"/>
      <c r="AB136" s="33">
        <f>IF(INT(Y136)&gt;='3월 등급 정보'!$H$3,1,IF(INT(Y136)&gt;='3월 등급 정보'!$H$4,2,IF(INT(Y136)&gt;='3월 등급 정보'!$H$5,3,IF(INT(Y136)&gt;='3월 등급 정보'!$H$6,4,IF(INT(Y136)&gt;='3월 등급 정보'!$H$7,5,IF(INT(Y136)&gt;='3월 등급 정보'!$H$8,6,IF(INT(Y136)&gt;='3월 등급 정보'!$H$9,7,IF(INT(Y136)&gt;='3월 등급 정보'!$H$10,8,IF(INT(Y136)&gt;='3월 등급 정보'!$H$11,9)))))))))</f>
        <v>3</v>
      </c>
      <c r="AC136" s="33">
        <f>E136+I136+M136+Q136+U136</f>
        <v>222.5</v>
      </c>
      <c r="AD136" s="33">
        <f>RANK(AC136,$AC$3:$AC$273)</f>
        <v>134</v>
      </c>
    </row>
    <row r="137" spans="1:30" ht="17.25" customHeight="1">
      <c r="A137" s="33" t="s">
        <v>26</v>
      </c>
      <c r="B137" s="34">
        <v>7</v>
      </c>
      <c r="C137" s="34">
        <v>26</v>
      </c>
      <c r="D137" s="34" t="s">
        <v>212</v>
      </c>
      <c r="E137" s="34">
        <v>58</v>
      </c>
      <c r="F137" s="33"/>
      <c r="G137" s="33"/>
      <c r="H137" s="33">
        <f>IF(INT(E137)&gt;='3월 등급 정보'!$C$3,1,IF(INT(E137)&gt;='3월 등급 정보'!$C$4,2,IF(INT(E137)&gt;='3월 등급 정보'!$C$5,3,IF(INT(E137)&gt;='3월 등급 정보'!$C$6,4,IF(INT(E137)&gt;='3월 등급 정보'!$C$7,5,IF(INT(E137)&gt;='3월 등급 정보'!$C$8,6,IF(INT(E137)&gt;='3월 등급 정보'!$C$9,7,IF(INT(E137)&gt;='3월 등급 정보'!$C$10,8,IF(INT(E137)&gt;='3월 등급 정보'!$C$11,9)))))))))</f>
        <v>5</v>
      </c>
      <c r="I137" s="34">
        <v>51</v>
      </c>
      <c r="J137" s="33"/>
      <c r="K137" s="33"/>
      <c r="L137" s="33">
        <f>IF(INT(I137)&gt;='3월 등급 정보'!$D$3,1,IF(INT(I137)&gt;='3월 등급 정보'!$D$4,2,IF(INT(I137)&gt;='3월 등급 정보'!$D$5,3,IF(INT(I137)&gt;='3월 등급 정보'!$D$6,4,IF(INT(I137)&gt;='3월 등급 정보'!$D$7,5,IF(INT(I137)&gt;='3월 등급 정보'!$D$8,6,IF(INT(I137)&gt;='3월 등급 정보'!$D$9,7,IF(INT(I137)&gt;='3월 등급 정보'!$D$10,8,IF(INT(I137)&gt;='3월 등급 정보'!$D$11,9)))))))))</f>
        <v>4</v>
      </c>
      <c r="M137" s="34">
        <v>46</v>
      </c>
      <c r="N137" s="33"/>
      <c r="O137" s="33"/>
      <c r="P137" s="33">
        <f>IF(INT(M137)&gt;='3월 등급 정보'!$E$3,1,IF(INT(M137)&gt;='3월 등급 정보'!$E$4,2,IF(INT(M137)&gt;='3월 등급 정보'!$E$5,3,IF(INT(M137)&gt;='3월 등급 정보'!$E$6,4,IF(INT(M137)&gt;='3월 등급 정보'!$E$7,5,IF(INT(M137)&gt;='3월 등급 정보'!$E$8,6,IF(INT(M137)&gt;='3월 등급 정보'!$E$9,7,IF(INT(M137)&gt;='3월 등급 정보'!$E$10,8,IF(INT(M137)&gt;='3월 등급 정보'!$E$11,9)))))))))</f>
        <v>6</v>
      </c>
      <c r="Q137" s="34">
        <v>32.5</v>
      </c>
      <c r="R137" s="33"/>
      <c r="S137" s="33"/>
      <c r="T137" s="33">
        <f>IF(INT(Q137)&gt;='3월 등급 정보'!$F$3,1,IF(INT(Q137)&gt;='3월 등급 정보'!$F$4,2,IF(INT(Q137)&gt;='3월 등급 정보'!$F$5,3,IF(INT(Q137)&gt;='3월 등급 정보'!$F$6,4,IF(INT(Q137)&gt;='3월 등급 정보'!$F$7,5,IF(INT(Q137)&gt;='3월 등급 정보'!$F$8,6,IF(INT(Q137)&gt;='3월 등급 정보'!$F$9,7,IF(INT(Q137)&gt;='3월 등급 정보'!$F$10,8,IF(INT(Q137)&gt;='3월 등급 정보'!$F$11,9)))))))))</f>
        <v>5</v>
      </c>
      <c r="U137" s="34">
        <v>35</v>
      </c>
      <c r="V137" s="33"/>
      <c r="W137" s="33"/>
      <c r="X137" s="33">
        <f>IF(INT(U137)&gt;='3월 등급 정보'!$G$3,1,IF(INT(U137)&gt;='3월 등급 정보'!$G$4,2,IF(INT(U137)&gt;='3월 등급 정보'!$G$5,3,IF(INT(U137)&gt;='3월 등급 정보'!$G$6,4,IF(INT(U137)&gt;='3월 등급 정보'!$G$7,5,IF(INT(U137)&gt;='3월 등급 정보'!$G$8,6,IF(INT(U137)&gt;='3월 등급 정보'!$G$9,7,IF(INT(U137)&gt;='3월 등급 정보'!$G$10,8,IF(INT(U137)&gt;='3월 등급 정보'!$G$11,9)))))))))</f>
        <v>3</v>
      </c>
      <c r="Y137" s="34">
        <v>20</v>
      </c>
      <c r="Z137" s="33"/>
      <c r="AA137" s="33"/>
      <c r="AB137" s="33">
        <f>IF(INT(Y137)&gt;='3월 등급 정보'!$H$3,1,IF(INT(Y137)&gt;='3월 등급 정보'!$H$4,2,IF(INT(Y137)&gt;='3월 등급 정보'!$H$5,3,IF(INT(Y137)&gt;='3월 등급 정보'!$H$6,4,IF(INT(Y137)&gt;='3월 등급 정보'!$H$7,5,IF(INT(Y137)&gt;='3월 등급 정보'!$H$8,6,IF(INT(Y137)&gt;='3월 등급 정보'!$H$9,7,IF(INT(Y137)&gt;='3월 등급 정보'!$H$10,8,IF(INT(Y137)&gt;='3월 등급 정보'!$H$11,9)))))))))</f>
        <v>5</v>
      </c>
      <c r="AC137" s="33">
        <f>E137+I137+M137+Q137+U137</f>
        <v>222.5</v>
      </c>
      <c r="AD137" s="33">
        <f>RANK(AC137,$AC$3:$AC$273)</f>
        <v>134</v>
      </c>
    </row>
    <row r="138" spans="1:30" ht="17.25" customHeight="1">
      <c r="A138" s="33" t="s">
        <v>26</v>
      </c>
      <c r="B138" s="34">
        <v>4</v>
      </c>
      <c r="C138" s="34">
        <v>8</v>
      </c>
      <c r="D138" s="34" t="s">
        <v>113</v>
      </c>
      <c r="E138" s="34">
        <v>63</v>
      </c>
      <c r="F138" s="33"/>
      <c r="G138" s="33"/>
      <c r="H138" s="33">
        <f>IF(INT(E138)&gt;='3월 등급 정보'!$C$3,1,IF(INT(E138)&gt;='3월 등급 정보'!$C$4,2,IF(INT(E138)&gt;='3월 등급 정보'!$C$5,3,IF(INT(E138)&gt;='3월 등급 정보'!$C$6,4,IF(INT(E138)&gt;='3월 등급 정보'!$C$7,5,IF(INT(E138)&gt;='3월 등급 정보'!$C$8,6,IF(INT(E138)&gt;='3월 등급 정보'!$C$9,7,IF(INT(E138)&gt;='3월 등급 정보'!$C$10,8,IF(INT(E138)&gt;='3월 등급 정보'!$C$11,9)))))))))</f>
        <v>4</v>
      </c>
      <c r="I138" s="34">
        <v>45</v>
      </c>
      <c r="J138" s="33"/>
      <c r="K138" s="33"/>
      <c r="L138" s="33">
        <f>IF(INT(I138)&gt;='3월 등급 정보'!$D$3,1,IF(INT(I138)&gt;='3월 등급 정보'!$D$4,2,IF(INT(I138)&gt;='3월 등급 정보'!$D$5,3,IF(INT(I138)&gt;='3월 등급 정보'!$D$6,4,IF(INT(I138)&gt;='3월 등급 정보'!$D$7,5,IF(INT(I138)&gt;='3월 등급 정보'!$D$8,6,IF(INT(I138)&gt;='3월 등급 정보'!$D$9,7,IF(INT(I138)&gt;='3월 등급 정보'!$D$10,8,IF(INT(I138)&gt;='3월 등급 정보'!$D$11,9)))))))))</f>
        <v>5</v>
      </c>
      <c r="M138" s="34">
        <v>50</v>
      </c>
      <c r="N138" s="33"/>
      <c r="O138" s="33"/>
      <c r="P138" s="33">
        <f>IF(INT(M138)&gt;='3월 등급 정보'!$E$3,1,IF(INT(M138)&gt;='3월 등급 정보'!$E$4,2,IF(INT(M138)&gt;='3월 등급 정보'!$E$5,3,IF(INT(M138)&gt;='3월 등급 정보'!$E$6,4,IF(INT(M138)&gt;='3월 등급 정보'!$E$7,5,IF(INT(M138)&gt;='3월 등급 정보'!$E$8,6,IF(INT(M138)&gt;='3월 등급 정보'!$E$9,7,IF(INT(M138)&gt;='3월 등급 정보'!$E$10,8,IF(INT(M138)&gt;='3월 등급 정보'!$E$11,9)))))))))</f>
        <v>5</v>
      </c>
      <c r="Q138" s="34">
        <v>37</v>
      </c>
      <c r="R138" s="33"/>
      <c r="S138" s="33"/>
      <c r="T138" s="33">
        <f>IF(INT(Q138)&gt;='3월 등급 정보'!$F$3,1,IF(INT(Q138)&gt;='3월 등급 정보'!$F$4,2,IF(INT(Q138)&gt;='3월 등급 정보'!$F$5,3,IF(INT(Q138)&gt;='3월 등급 정보'!$F$6,4,IF(INT(Q138)&gt;='3월 등급 정보'!$F$7,5,IF(INT(Q138)&gt;='3월 등급 정보'!$F$8,6,IF(INT(Q138)&gt;='3월 등급 정보'!$F$9,7,IF(INT(Q138)&gt;='3월 등급 정보'!$F$10,8,IF(INT(Q138)&gt;='3월 등급 정보'!$F$11,9)))))))))</f>
        <v>4</v>
      </c>
      <c r="U138" s="34">
        <v>26.5</v>
      </c>
      <c r="V138" s="33"/>
      <c r="W138" s="33"/>
      <c r="X138" s="33">
        <f>IF(INT(U138)&gt;='3월 등급 정보'!$G$3,1,IF(INT(U138)&gt;='3월 등급 정보'!$G$4,2,IF(INT(U138)&gt;='3월 등급 정보'!$G$5,3,IF(INT(U138)&gt;='3월 등급 정보'!$G$6,4,IF(INT(U138)&gt;='3월 등급 정보'!$G$7,5,IF(INT(U138)&gt;='3월 등급 정보'!$G$8,6,IF(INT(U138)&gt;='3월 등급 정보'!$G$9,7,IF(INT(U138)&gt;='3월 등급 정보'!$G$10,8,IF(INT(U138)&gt;='3월 등급 정보'!$G$11,9)))))))))</f>
        <v>4</v>
      </c>
      <c r="Y138" s="34">
        <v>37</v>
      </c>
      <c r="Z138" s="33"/>
      <c r="AA138" s="33"/>
      <c r="AB138" s="33">
        <f>IF(INT(Y138)&gt;='3월 등급 정보'!$H$3,1,IF(INT(Y138)&gt;='3월 등급 정보'!$H$4,2,IF(INT(Y138)&gt;='3월 등급 정보'!$H$5,3,IF(INT(Y138)&gt;='3월 등급 정보'!$H$6,4,IF(INT(Y138)&gt;='3월 등급 정보'!$H$7,5,IF(INT(Y138)&gt;='3월 등급 정보'!$H$8,6,IF(INT(Y138)&gt;='3월 등급 정보'!$H$9,7,IF(INT(Y138)&gt;='3월 등급 정보'!$H$10,8,IF(INT(Y138)&gt;='3월 등급 정보'!$H$11,9)))))))))</f>
        <v>2</v>
      </c>
      <c r="AC138" s="33">
        <f>E138+I138+M138+Q138+U138</f>
        <v>221.5</v>
      </c>
      <c r="AD138" s="33">
        <f>RANK(AC138,$AC$3:$AC$273)</f>
        <v>136</v>
      </c>
    </row>
    <row r="139" spans="1:30" ht="17.25" customHeight="1">
      <c r="A139" s="33" t="s">
        <v>26</v>
      </c>
      <c r="B139" s="34">
        <v>6</v>
      </c>
      <c r="C139" s="34">
        <v>18</v>
      </c>
      <c r="D139" s="34" t="s">
        <v>176</v>
      </c>
      <c r="E139" s="34">
        <v>65</v>
      </c>
      <c r="F139" s="33"/>
      <c r="G139" s="33"/>
      <c r="H139" s="33">
        <f>IF(INT(E139)&gt;='3월 등급 정보'!$C$3,1,IF(INT(E139)&gt;='3월 등급 정보'!$C$4,2,IF(INT(E139)&gt;='3월 등급 정보'!$C$5,3,IF(INT(E139)&gt;='3월 등급 정보'!$C$6,4,IF(INT(E139)&gt;='3월 등급 정보'!$C$7,5,IF(INT(E139)&gt;='3월 등급 정보'!$C$8,6,IF(INT(E139)&gt;='3월 등급 정보'!$C$9,7,IF(INT(E139)&gt;='3월 등급 정보'!$C$10,8,IF(INT(E139)&gt;='3월 등급 정보'!$C$11,9)))))))))</f>
        <v>4</v>
      </c>
      <c r="I139" s="34">
        <v>31</v>
      </c>
      <c r="J139" s="33"/>
      <c r="K139" s="33"/>
      <c r="L139" s="33">
        <f>IF(INT(I139)&gt;='3월 등급 정보'!$D$3,1,IF(INT(I139)&gt;='3월 등급 정보'!$D$4,2,IF(INT(I139)&gt;='3월 등급 정보'!$D$5,3,IF(INT(I139)&gt;='3월 등급 정보'!$D$6,4,IF(INT(I139)&gt;='3월 등급 정보'!$D$7,5,IF(INT(I139)&gt;='3월 등급 정보'!$D$8,6,IF(INT(I139)&gt;='3월 등급 정보'!$D$9,7,IF(INT(I139)&gt;='3월 등급 정보'!$D$10,8,IF(INT(I139)&gt;='3월 등급 정보'!$D$11,9)))))))))</f>
        <v>6</v>
      </c>
      <c r="M139" s="34">
        <v>86</v>
      </c>
      <c r="N139" s="33"/>
      <c r="O139" s="33"/>
      <c r="P139" s="33">
        <f>IF(INT(M139)&gt;='3월 등급 정보'!$E$3,1,IF(INT(M139)&gt;='3월 등급 정보'!$E$4,2,IF(INT(M139)&gt;='3월 등급 정보'!$E$5,3,IF(INT(M139)&gt;='3월 등급 정보'!$E$6,4,IF(INT(M139)&gt;='3월 등급 정보'!$E$7,5,IF(INT(M139)&gt;='3월 등급 정보'!$E$8,6,IF(INT(M139)&gt;='3월 등급 정보'!$E$9,7,IF(INT(M139)&gt;='3월 등급 정보'!$E$10,8,IF(INT(M139)&gt;='3월 등급 정보'!$E$11,9)))))))))</f>
        <v>2</v>
      </c>
      <c r="Q139" s="34">
        <v>23.5</v>
      </c>
      <c r="R139" s="33"/>
      <c r="S139" s="33"/>
      <c r="T139" s="33">
        <f>IF(INT(Q139)&gt;='3월 등급 정보'!$F$3,1,IF(INT(Q139)&gt;='3월 등급 정보'!$F$4,2,IF(INT(Q139)&gt;='3월 등급 정보'!$F$5,3,IF(INT(Q139)&gt;='3월 등급 정보'!$F$6,4,IF(INT(Q139)&gt;='3월 등급 정보'!$F$7,5,IF(INT(Q139)&gt;='3월 등급 정보'!$F$8,6,IF(INT(Q139)&gt;='3월 등급 정보'!$F$9,7,IF(INT(Q139)&gt;='3월 등급 정보'!$F$10,8,IF(INT(Q139)&gt;='3월 등급 정보'!$F$11,9)))))))))</f>
        <v>6</v>
      </c>
      <c r="U139" s="34">
        <v>16</v>
      </c>
      <c r="V139" s="33"/>
      <c r="W139" s="33"/>
      <c r="X139" s="33">
        <f>IF(INT(U139)&gt;='3월 등급 정보'!$G$3,1,IF(INT(U139)&gt;='3월 등급 정보'!$G$4,2,IF(INT(U139)&gt;='3월 등급 정보'!$G$5,3,IF(INT(U139)&gt;='3월 등급 정보'!$G$6,4,IF(INT(U139)&gt;='3월 등급 정보'!$G$7,5,IF(INT(U139)&gt;='3월 등급 정보'!$G$8,6,IF(INT(U139)&gt;='3월 등급 정보'!$G$9,7,IF(INT(U139)&gt;='3월 등급 정보'!$G$10,8,IF(INT(U139)&gt;='3월 등급 정보'!$G$11,9)))))))))</f>
        <v>6</v>
      </c>
      <c r="Y139" s="34">
        <v>3</v>
      </c>
      <c r="Z139" s="33"/>
      <c r="AA139" s="33"/>
      <c r="AB139" s="33">
        <f>IF(INT(Y139)&gt;='3월 등급 정보'!$H$3,1,IF(INT(Y139)&gt;='3월 등급 정보'!$H$4,2,IF(INT(Y139)&gt;='3월 등급 정보'!$H$5,3,IF(INT(Y139)&gt;='3월 등급 정보'!$H$6,4,IF(INT(Y139)&gt;='3월 등급 정보'!$H$7,5,IF(INT(Y139)&gt;='3월 등급 정보'!$H$8,6,IF(INT(Y139)&gt;='3월 등급 정보'!$H$9,7,IF(INT(Y139)&gt;='3월 등급 정보'!$H$10,8,IF(INT(Y139)&gt;='3월 등급 정보'!$H$11,9)))))))))</f>
        <v>9</v>
      </c>
      <c r="AC139" s="33">
        <f>E139+I139+M139+Q139+U139</f>
        <v>221.5</v>
      </c>
      <c r="AD139" s="33">
        <f>RANK(AC139,$AC$3:$AC$273)</f>
        <v>136</v>
      </c>
    </row>
    <row r="140" spans="1:30" ht="17.25" customHeight="1">
      <c r="A140" s="33" t="s">
        <v>26</v>
      </c>
      <c r="B140" s="34">
        <v>7</v>
      </c>
      <c r="C140" s="34">
        <v>3</v>
      </c>
      <c r="D140" s="34" t="s">
        <v>189</v>
      </c>
      <c r="E140" s="34">
        <v>62</v>
      </c>
      <c r="F140" s="33"/>
      <c r="G140" s="33"/>
      <c r="H140" s="33">
        <f>IF(INT(E140)&gt;='3월 등급 정보'!$C$3,1,IF(INT(E140)&gt;='3월 등급 정보'!$C$4,2,IF(INT(E140)&gt;='3월 등급 정보'!$C$5,3,IF(INT(E140)&gt;='3월 등급 정보'!$C$6,4,IF(INT(E140)&gt;='3월 등급 정보'!$C$7,5,IF(INT(E140)&gt;='3월 등급 정보'!$C$8,6,IF(INT(E140)&gt;='3월 등급 정보'!$C$9,7,IF(INT(E140)&gt;='3월 등급 정보'!$C$10,8,IF(INT(E140)&gt;='3월 등급 정보'!$C$11,9)))))))))</f>
        <v>4</v>
      </c>
      <c r="I140" s="34">
        <v>40</v>
      </c>
      <c r="J140" s="33"/>
      <c r="K140" s="33"/>
      <c r="L140" s="33">
        <f>IF(INT(I140)&gt;='3월 등급 정보'!$D$3,1,IF(INT(I140)&gt;='3월 등급 정보'!$D$4,2,IF(INT(I140)&gt;='3월 등급 정보'!$D$5,3,IF(INT(I140)&gt;='3월 등급 정보'!$D$6,4,IF(INT(I140)&gt;='3월 등급 정보'!$D$7,5,IF(INT(I140)&gt;='3월 등급 정보'!$D$8,6,IF(INT(I140)&gt;='3월 등급 정보'!$D$9,7,IF(INT(I140)&gt;='3월 등급 정보'!$D$10,8,IF(INT(I140)&gt;='3월 등급 정보'!$D$11,9)))))))))</f>
        <v>5</v>
      </c>
      <c r="M140" s="34">
        <v>66</v>
      </c>
      <c r="N140" s="33"/>
      <c r="O140" s="33"/>
      <c r="P140" s="33">
        <f>IF(INT(M140)&gt;='3월 등급 정보'!$E$3,1,IF(INT(M140)&gt;='3월 등급 정보'!$E$4,2,IF(INT(M140)&gt;='3월 등급 정보'!$E$5,3,IF(INT(M140)&gt;='3월 등급 정보'!$E$6,4,IF(INT(M140)&gt;='3월 등급 정보'!$E$7,5,IF(INT(M140)&gt;='3월 등급 정보'!$E$8,6,IF(INT(M140)&gt;='3월 등급 정보'!$E$9,7,IF(INT(M140)&gt;='3월 등급 정보'!$E$10,8,IF(INT(M140)&gt;='3월 등급 정보'!$E$11,9)))))))))</f>
        <v>4</v>
      </c>
      <c r="Q140" s="34">
        <v>35</v>
      </c>
      <c r="R140" s="33"/>
      <c r="S140" s="33"/>
      <c r="T140" s="33">
        <f>IF(INT(Q140)&gt;='3월 등급 정보'!$F$3,1,IF(INT(Q140)&gt;='3월 등급 정보'!$F$4,2,IF(INT(Q140)&gt;='3월 등급 정보'!$F$5,3,IF(INT(Q140)&gt;='3월 등급 정보'!$F$6,4,IF(INT(Q140)&gt;='3월 등급 정보'!$F$7,5,IF(INT(Q140)&gt;='3월 등급 정보'!$F$8,6,IF(INT(Q140)&gt;='3월 등급 정보'!$F$9,7,IF(INT(Q140)&gt;='3월 등급 정보'!$F$10,8,IF(INT(Q140)&gt;='3월 등급 정보'!$F$11,9)))))))))</f>
        <v>4</v>
      </c>
      <c r="U140" s="34">
        <v>18.5</v>
      </c>
      <c r="V140" s="33"/>
      <c r="W140" s="33"/>
      <c r="X140" s="33">
        <f>IF(INT(U140)&gt;='3월 등급 정보'!$G$3,1,IF(INT(U140)&gt;='3월 등급 정보'!$G$4,2,IF(INT(U140)&gt;='3월 등급 정보'!$G$5,3,IF(INT(U140)&gt;='3월 등급 정보'!$G$6,4,IF(INT(U140)&gt;='3월 등급 정보'!$G$7,5,IF(INT(U140)&gt;='3월 등급 정보'!$G$8,6,IF(INT(U140)&gt;='3월 등급 정보'!$G$9,7,IF(INT(U140)&gt;='3월 등급 정보'!$G$10,8,IF(INT(U140)&gt;='3월 등급 정보'!$G$11,9)))))))))</f>
        <v>6</v>
      </c>
      <c r="Y140" s="34">
        <v>21</v>
      </c>
      <c r="Z140" s="33"/>
      <c r="AA140" s="33"/>
      <c r="AB140" s="33">
        <f>IF(INT(Y140)&gt;='3월 등급 정보'!$H$3,1,IF(INT(Y140)&gt;='3월 등급 정보'!$H$4,2,IF(INT(Y140)&gt;='3월 등급 정보'!$H$5,3,IF(INT(Y140)&gt;='3월 등급 정보'!$H$6,4,IF(INT(Y140)&gt;='3월 등급 정보'!$H$7,5,IF(INT(Y140)&gt;='3월 등급 정보'!$H$8,6,IF(INT(Y140)&gt;='3월 등급 정보'!$H$9,7,IF(INT(Y140)&gt;='3월 등급 정보'!$H$10,8,IF(INT(Y140)&gt;='3월 등급 정보'!$H$11,9)))))))))</f>
        <v>5</v>
      </c>
      <c r="AC140" s="33">
        <f>E140+I140+M140+Q140+U140</f>
        <v>221.5</v>
      </c>
      <c r="AD140" s="33">
        <f>RANK(AC140,$AC$3:$AC$273)</f>
        <v>136</v>
      </c>
    </row>
    <row r="141" spans="1:30" ht="17.25" customHeight="1">
      <c r="A141" s="33" t="s">
        <v>26</v>
      </c>
      <c r="B141" s="34">
        <v>1</v>
      </c>
      <c r="C141" s="34">
        <v>14</v>
      </c>
      <c r="D141" s="34" t="s">
        <v>41</v>
      </c>
      <c r="E141" s="34">
        <v>61</v>
      </c>
      <c r="F141" s="33"/>
      <c r="G141" s="33"/>
      <c r="H141" s="33">
        <f>IF(INT(E141)&gt;='3월 등급 정보'!$C$3,1,IF(INT(E141)&gt;='3월 등급 정보'!$C$4,2,IF(INT(E141)&gt;='3월 등급 정보'!$C$5,3,IF(INT(E141)&gt;='3월 등급 정보'!$C$6,4,IF(INT(E141)&gt;='3월 등급 정보'!$C$7,5,IF(INT(E141)&gt;='3월 등급 정보'!$C$8,6,IF(INT(E141)&gt;='3월 등급 정보'!$C$9,7,IF(INT(E141)&gt;='3월 등급 정보'!$C$10,8,IF(INT(E141)&gt;='3월 등급 정보'!$C$11,9)))))))))</f>
        <v>4</v>
      </c>
      <c r="I141" s="34">
        <v>48</v>
      </c>
      <c r="J141" s="33"/>
      <c r="K141" s="33"/>
      <c r="L141" s="33">
        <f>IF(INT(I141)&gt;='3월 등급 정보'!$D$3,1,IF(INT(I141)&gt;='3월 등급 정보'!$D$4,2,IF(INT(I141)&gt;='3월 등급 정보'!$D$5,3,IF(INT(I141)&gt;='3월 등급 정보'!$D$6,4,IF(INT(I141)&gt;='3월 등급 정보'!$D$7,5,IF(INT(I141)&gt;='3월 등급 정보'!$D$8,6,IF(INT(I141)&gt;='3월 등급 정보'!$D$9,7,IF(INT(I141)&gt;='3월 등급 정보'!$D$10,8,IF(INT(I141)&gt;='3월 등급 정보'!$D$11,9)))))))))</f>
        <v>5</v>
      </c>
      <c r="M141" s="34">
        <v>54</v>
      </c>
      <c r="N141" s="33"/>
      <c r="O141" s="33"/>
      <c r="P141" s="33">
        <f>IF(INT(M141)&gt;='3월 등급 정보'!$E$3,1,IF(INT(M141)&gt;='3월 등급 정보'!$E$4,2,IF(INT(M141)&gt;='3월 등급 정보'!$E$5,3,IF(INT(M141)&gt;='3월 등급 정보'!$E$6,4,IF(INT(M141)&gt;='3월 등급 정보'!$E$7,5,IF(INT(M141)&gt;='3월 등급 정보'!$E$8,6,IF(INT(M141)&gt;='3월 등급 정보'!$E$9,7,IF(INT(M141)&gt;='3월 등급 정보'!$E$10,8,IF(INT(M141)&gt;='3월 등급 정보'!$E$11,9)))))))))</f>
        <v>5</v>
      </c>
      <c r="Q141" s="34">
        <v>30.5</v>
      </c>
      <c r="R141" s="33"/>
      <c r="S141" s="33"/>
      <c r="T141" s="33">
        <f>IF(INT(Q141)&gt;='3월 등급 정보'!$F$3,1,IF(INT(Q141)&gt;='3월 등급 정보'!$F$4,2,IF(INT(Q141)&gt;='3월 등급 정보'!$F$5,3,IF(INT(Q141)&gt;='3월 등급 정보'!$F$6,4,IF(INT(Q141)&gt;='3월 등급 정보'!$F$7,5,IF(INT(Q141)&gt;='3월 등급 정보'!$F$8,6,IF(INT(Q141)&gt;='3월 등급 정보'!$F$9,7,IF(INT(Q141)&gt;='3월 등급 정보'!$F$10,8,IF(INT(Q141)&gt;='3월 등급 정보'!$F$11,9)))))))))</f>
        <v>5</v>
      </c>
      <c r="U141" s="34">
        <v>27.5</v>
      </c>
      <c r="V141" s="33"/>
      <c r="W141" s="33"/>
      <c r="X141" s="33">
        <f>IF(INT(U141)&gt;='3월 등급 정보'!$G$3,1,IF(INT(U141)&gt;='3월 등급 정보'!$G$4,2,IF(INT(U141)&gt;='3월 등급 정보'!$G$5,3,IF(INT(U141)&gt;='3월 등급 정보'!$G$6,4,IF(INT(U141)&gt;='3월 등급 정보'!$G$7,5,IF(INT(U141)&gt;='3월 등급 정보'!$G$8,6,IF(INT(U141)&gt;='3월 등급 정보'!$G$9,7,IF(INT(U141)&gt;='3월 등급 정보'!$G$10,8,IF(INT(U141)&gt;='3월 등급 정보'!$G$11,9)))))))))</f>
        <v>4</v>
      </c>
      <c r="Y141" s="34">
        <v>26</v>
      </c>
      <c r="Z141" s="33"/>
      <c r="AA141" s="33"/>
      <c r="AB141" s="33">
        <f>IF(INT(Y141)&gt;='3월 등급 정보'!$H$3,1,IF(INT(Y141)&gt;='3월 등급 정보'!$H$4,2,IF(INT(Y141)&gt;='3월 등급 정보'!$H$5,3,IF(INT(Y141)&gt;='3월 등급 정보'!$H$6,4,IF(INT(Y141)&gt;='3월 등급 정보'!$H$7,5,IF(INT(Y141)&gt;='3월 등급 정보'!$H$8,6,IF(INT(Y141)&gt;='3월 등급 정보'!$H$9,7,IF(INT(Y141)&gt;='3월 등급 정보'!$H$10,8,IF(INT(Y141)&gt;='3월 등급 정보'!$H$11,9)))))))))</f>
        <v>4</v>
      </c>
      <c r="AC141" s="33">
        <f>E141+I141+M141+Q141+U141</f>
        <v>221</v>
      </c>
      <c r="AD141" s="33">
        <f>RANK(AC141,$AC$3:$AC$273)</f>
        <v>139</v>
      </c>
    </row>
    <row r="142" spans="1:30" ht="17.25" customHeight="1">
      <c r="A142" s="33" t="s">
        <v>26</v>
      </c>
      <c r="B142" s="34">
        <v>7</v>
      </c>
      <c r="C142" s="34">
        <v>1</v>
      </c>
      <c r="D142" s="34" t="s">
        <v>187</v>
      </c>
      <c r="E142" s="34">
        <v>65</v>
      </c>
      <c r="F142" s="33"/>
      <c r="G142" s="33"/>
      <c r="H142" s="33">
        <f>IF(INT(E142)&gt;='3월 등급 정보'!$C$3,1,IF(INT(E142)&gt;='3월 등급 정보'!$C$4,2,IF(INT(E142)&gt;='3월 등급 정보'!$C$5,3,IF(INT(E142)&gt;='3월 등급 정보'!$C$6,4,IF(INT(E142)&gt;='3월 등급 정보'!$C$7,5,IF(INT(E142)&gt;='3월 등급 정보'!$C$8,6,IF(INT(E142)&gt;='3월 등급 정보'!$C$9,7,IF(INT(E142)&gt;='3월 등급 정보'!$C$10,8,IF(INT(E142)&gt;='3월 등급 정보'!$C$11,9)))))))))</f>
        <v>4</v>
      </c>
      <c r="I142" s="34">
        <v>44</v>
      </c>
      <c r="J142" s="33"/>
      <c r="K142" s="33"/>
      <c r="L142" s="33">
        <f>IF(INT(I142)&gt;='3월 등급 정보'!$D$3,1,IF(INT(I142)&gt;='3월 등급 정보'!$D$4,2,IF(INT(I142)&gt;='3월 등급 정보'!$D$5,3,IF(INT(I142)&gt;='3월 등급 정보'!$D$6,4,IF(INT(I142)&gt;='3월 등급 정보'!$D$7,5,IF(INT(I142)&gt;='3월 등급 정보'!$D$8,6,IF(INT(I142)&gt;='3월 등급 정보'!$D$9,7,IF(INT(I142)&gt;='3월 등급 정보'!$D$10,8,IF(INT(I142)&gt;='3월 등급 정보'!$D$11,9)))))))))</f>
        <v>5</v>
      </c>
      <c r="M142" s="34">
        <v>62</v>
      </c>
      <c r="N142" s="33"/>
      <c r="O142" s="33"/>
      <c r="P142" s="33">
        <f>IF(INT(M142)&gt;='3월 등급 정보'!$E$3,1,IF(INT(M142)&gt;='3월 등급 정보'!$E$4,2,IF(INT(M142)&gt;='3월 등급 정보'!$E$5,3,IF(INT(M142)&gt;='3월 등급 정보'!$E$6,4,IF(INT(M142)&gt;='3월 등급 정보'!$E$7,5,IF(INT(M142)&gt;='3월 등급 정보'!$E$8,6,IF(INT(M142)&gt;='3월 등급 정보'!$E$9,7,IF(INT(M142)&gt;='3월 등급 정보'!$E$10,8,IF(INT(M142)&gt;='3월 등급 정보'!$E$11,9)))))))))</f>
        <v>4</v>
      </c>
      <c r="Q142" s="34">
        <v>33.5</v>
      </c>
      <c r="R142" s="33"/>
      <c r="S142" s="33"/>
      <c r="T142" s="33">
        <f>IF(INT(Q142)&gt;='3월 등급 정보'!$F$3,1,IF(INT(Q142)&gt;='3월 등급 정보'!$F$4,2,IF(INT(Q142)&gt;='3월 등급 정보'!$F$5,3,IF(INT(Q142)&gt;='3월 등급 정보'!$F$6,4,IF(INT(Q142)&gt;='3월 등급 정보'!$F$7,5,IF(INT(Q142)&gt;='3월 등급 정보'!$F$8,6,IF(INT(Q142)&gt;='3월 등급 정보'!$F$9,7,IF(INT(Q142)&gt;='3월 등급 정보'!$F$10,8,IF(INT(Q142)&gt;='3월 등급 정보'!$F$11,9)))))))))</f>
        <v>4</v>
      </c>
      <c r="U142" s="34">
        <v>16.5</v>
      </c>
      <c r="V142" s="33"/>
      <c r="W142" s="33"/>
      <c r="X142" s="33">
        <f>IF(INT(U142)&gt;='3월 등급 정보'!$G$3,1,IF(INT(U142)&gt;='3월 등급 정보'!$G$4,2,IF(INT(U142)&gt;='3월 등급 정보'!$G$5,3,IF(INT(U142)&gt;='3월 등급 정보'!$G$6,4,IF(INT(U142)&gt;='3월 등급 정보'!$G$7,5,IF(INT(U142)&gt;='3월 등급 정보'!$G$8,6,IF(INT(U142)&gt;='3월 등급 정보'!$G$9,7,IF(INT(U142)&gt;='3월 등급 정보'!$G$10,8,IF(INT(U142)&gt;='3월 등급 정보'!$G$11,9)))))))))</f>
        <v>6</v>
      </c>
      <c r="Y142" s="34">
        <v>43</v>
      </c>
      <c r="Z142" s="33"/>
      <c r="AA142" s="33"/>
      <c r="AB142" s="33">
        <f>IF(INT(Y142)&gt;='3월 등급 정보'!$H$3,1,IF(INT(Y142)&gt;='3월 등급 정보'!$H$4,2,IF(INT(Y142)&gt;='3월 등급 정보'!$H$5,3,IF(INT(Y142)&gt;='3월 등급 정보'!$H$6,4,IF(INT(Y142)&gt;='3월 등급 정보'!$H$7,5,IF(INT(Y142)&gt;='3월 등급 정보'!$H$8,6,IF(INT(Y142)&gt;='3월 등급 정보'!$H$9,7,IF(INT(Y142)&gt;='3월 등급 정보'!$H$10,8,IF(INT(Y142)&gt;='3월 등급 정보'!$H$11,9)))))))))</f>
        <v>1</v>
      </c>
      <c r="AC142" s="33">
        <f>E142+I142+M142+Q142+U142</f>
        <v>221</v>
      </c>
      <c r="AD142" s="33">
        <f>RANK(AC142,$AC$3:$AC$273)</f>
        <v>139</v>
      </c>
    </row>
    <row r="143" spans="1:30" ht="17.25" customHeight="1">
      <c r="A143" s="33" t="s">
        <v>26</v>
      </c>
      <c r="B143" s="34">
        <v>2</v>
      </c>
      <c r="C143" s="34">
        <v>14</v>
      </c>
      <c r="D143" s="34" t="s">
        <v>66</v>
      </c>
      <c r="E143" s="34">
        <v>51</v>
      </c>
      <c r="F143" s="33"/>
      <c r="G143" s="33"/>
      <c r="H143" s="33">
        <f>IF(INT(E143)&gt;='3월 등급 정보'!$C$3,1,IF(INT(E143)&gt;='3월 등급 정보'!$C$4,2,IF(INT(E143)&gt;='3월 등급 정보'!$C$5,3,IF(INT(E143)&gt;='3월 등급 정보'!$C$6,4,IF(INT(E143)&gt;='3월 등급 정보'!$C$7,5,IF(INT(E143)&gt;='3월 등급 정보'!$C$8,6,IF(INT(E143)&gt;='3월 등급 정보'!$C$9,7,IF(INT(E143)&gt;='3월 등급 정보'!$C$10,8,IF(INT(E143)&gt;='3월 등급 정보'!$C$11,9)))))))))</f>
        <v>5</v>
      </c>
      <c r="I143" s="34">
        <v>46</v>
      </c>
      <c r="J143" s="33"/>
      <c r="K143" s="33"/>
      <c r="L143" s="33">
        <f>IF(INT(I143)&gt;='3월 등급 정보'!$D$3,1,IF(INT(I143)&gt;='3월 등급 정보'!$D$4,2,IF(INT(I143)&gt;='3월 등급 정보'!$D$5,3,IF(INT(I143)&gt;='3월 등급 정보'!$D$6,4,IF(INT(I143)&gt;='3월 등급 정보'!$D$7,5,IF(INT(I143)&gt;='3월 등급 정보'!$D$8,6,IF(INT(I143)&gt;='3월 등급 정보'!$D$9,7,IF(INT(I143)&gt;='3월 등급 정보'!$D$10,8,IF(INT(I143)&gt;='3월 등급 정보'!$D$11,9)))))))))</f>
        <v>5</v>
      </c>
      <c r="M143" s="34">
        <v>72</v>
      </c>
      <c r="N143" s="33"/>
      <c r="O143" s="33"/>
      <c r="P143" s="33">
        <f>IF(INT(M143)&gt;='3월 등급 정보'!$E$3,1,IF(INT(M143)&gt;='3월 등급 정보'!$E$4,2,IF(INT(M143)&gt;='3월 등급 정보'!$E$5,3,IF(INT(M143)&gt;='3월 등급 정보'!$E$6,4,IF(INT(M143)&gt;='3월 등급 정보'!$E$7,5,IF(INT(M143)&gt;='3월 등급 정보'!$E$8,6,IF(INT(M143)&gt;='3월 등급 정보'!$E$9,7,IF(INT(M143)&gt;='3월 등급 정보'!$E$10,8,IF(INT(M143)&gt;='3월 등급 정보'!$E$11,9)))))))))</f>
        <v>3</v>
      </c>
      <c r="Q143" s="34">
        <v>25.5</v>
      </c>
      <c r="R143" s="33"/>
      <c r="S143" s="33"/>
      <c r="T143" s="33">
        <f>IF(INT(Q143)&gt;='3월 등급 정보'!$F$3,1,IF(INT(Q143)&gt;='3월 등급 정보'!$F$4,2,IF(INT(Q143)&gt;='3월 등급 정보'!$F$5,3,IF(INT(Q143)&gt;='3월 등급 정보'!$F$6,4,IF(INT(Q143)&gt;='3월 등급 정보'!$F$7,5,IF(INT(Q143)&gt;='3월 등급 정보'!$F$8,6,IF(INT(Q143)&gt;='3월 등급 정보'!$F$9,7,IF(INT(Q143)&gt;='3월 등급 정보'!$F$10,8,IF(INT(Q143)&gt;='3월 등급 정보'!$F$11,9)))))))))</f>
        <v>6</v>
      </c>
      <c r="U143" s="34">
        <v>26</v>
      </c>
      <c r="V143" s="33"/>
      <c r="W143" s="33"/>
      <c r="X143" s="33">
        <f>IF(INT(U143)&gt;='3월 등급 정보'!$G$3,1,IF(INT(U143)&gt;='3월 등급 정보'!$G$4,2,IF(INT(U143)&gt;='3월 등급 정보'!$G$5,3,IF(INT(U143)&gt;='3월 등급 정보'!$G$6,4,IF(INT(U143)&gt;='3월 등급 정보'!$G$7,5,IF(INT(U143)&gt;='3월 등급 정보'!$G$8,6,IF(INT(U143)&gt;='3월 등급 정보'!$G$9,7,IF(INT(U143)&gt;='3월 등급 정보'!$G$10,8,IF(INT(U143)&gt;='3월 등급 정보'!$G$11,9)))))))))</f>
        <v>4</v>
      </c>
      <c r="Y143" s="34">
        <v>30</v>
      </c>
      <c r="Z143" s="33"/>
      <c r="AA143" s="33"/>
      <c r="AB143" s="33">
        <f>IF(INT(Y143)&gt;='3월 등급 정보'!$H$3,1,IF(INT(Y143)&gt;='3월 등급 정보'!$H$4,2,IF(INT(Y143)&gt;='3월 등급 정보'!$H$5,3,IF(INT(Y143)&gt;='3월 등급 정보'!$H$6,4,IF(INT(Y143)&gt;='3월 등급 정보'!$H$7,5,IF(INT(Y143)&gt;='3월 등급 정보'!$H$8,6,IF(INT(Y143)&gt;='3월 등급 정보'!$H$9,7,IF(INT(Y143)&gt;='3월 등급 정보'!$H$10,8,IF(INT(Y143)&gt;='3월 등급 정보'!$H$11,9)))))))))</f>
        <v>3</v>
      </c>
      <c r="AC143" s="33">
        <f>E143+I143+M143+Q143+U143</f>
        <v>220.5</v>
      </c>
      <c r="AD143" s="33">
        <f>RANK(AC143,$AC$3:$AC$273)</f>
        <v>141</v>
      </c>
    </row>
    <row r="144" spans="1:30" ht="17.25" customHeight="1">
      <c r="A144" s="33" t="s">
        <v>26</v>
      </c>
      <c r="B144" s="34">
        <v>3</v>
      </c>
      <c r="C144" s="34">
        <v>11</v>
      </c>
      <c r="D144" s="34" t="s">
        <v>89</v>
      </c>
      <c r="E144" s="34">
        <v>47</v>
      </c>
      <c r="F144" s="33"/>
      <c r="G144" s="33"/>
      <c r="H144" s="33">
        <f>IF(INT(E144)&gt;='3월 등급 정보'!$C$3,1,IF(INT(E144)&gt;='3월 등급 정보'!$C$4,2,IF(INT(E144)&gt;='3월 등급 정보'!$C$5,3,IF(INT(E144)&gt;='3월 등급 정보'!$C$6,4,IF(INT(E144)&gt;='3월 등급 정보'!$C$7,5,IF(INT(E144)&gt;='3월 등급 정보'!$C$8,6,IF(INT(E144)&gt;='3월 등급 정보'!$C$9,7,IF(INT(E144)&gt;='3월 등급 정보'!$C$10,8,IF(INT(E144)&gt;='3월 등급 정보'!$C$11,9)))))))))</f>
        <v>6</v>
      </c>
      <c r="I144" s="34">
        <v>42</v>
      </c>
      <c r="J144" s="33"/>
      <c r="K144" s="33"/>
      <c r="L144" s="33">
        <f>IF(INT(I144)&gt;='3월 등급 정보'!$D$3,1,IF(INT(I144)&gt;='3월 등급 정보'!$D$4,2,IF(INT(I144)&gt;='3월 등급 정보'!$D$5,3,IF(INT(I144)&gt;='3월 등급 정보'!$D$6,4,IF(INT(I144)&gt;='3월 등급 정보'!$D$7,5,IF(INT(I144)&gt;='3월 등급 정보'!$D$8,6,IF(INT(I144)&gt;='3월 등급 정보'!$D$9,7,IF(INT(I144)&gt;='3월 등급 정보'!$D$10,8,IF(INT(I144)&gt;='3월 등급 정보'!$D$11,9)))))))))</f>
        <v>5</v>
      </c>
      <c r="M144" s="34">
        <v>61</v>
      </c>
      <c r="N144" s="33"/>
      <c r="O144" s="33"/>
      <c r="P144" s="33">
        <f>IF(INT(M144)&gt;='3월 등급 정보'!$E$3,1,IF(INT(M144)&gt;='3월 등급 정보'!$E$4,2,IF(INT(M144)&gt;='3월 등급 정보'!$E$5,3,IF(INT(M144)&gt;='3월 등급 정보'!$E$6,4,IF(INT(M144)&gt;='3월 등급 정보'!$E$7,5,IF(INT(M144)&gt;='3월 등급 정보'!$E$8,6,IF(INT(M144)&gt;='3월 등급 정보'!$E$9,7,IF(INT(M144)&gt;='3월 등급 정보'!$E$10,8,IF(INT(M144)&gt;='3월 등급 정보'!$E$11,9)))))))))</f>
        <v>4</v>
      </c>
      <c r="Q144" s="34">
        <v>34.5</v>
      </c>
      <c r="R144" s="33"/>
      <c r="S144" s="33"/>
      <c r="T144" s="33">
        <f>IF(INT(Q144)&gt;='3월 등급 정보'!$F$3,1,IF(INT(Q144)&gt;='3월 등급 정보'!$F$4,2,IF(INT(Q144)&gt;='3월 등급 정보'!$F$5,3,IF(INT(Q144)&gt;='3월 등급 정보'!$F$6,4,IF(INT(Q144)&gt;='3월 등급 정보'!$F$7,5,IF(INT(Q144)&gt;='3월 등급 정보'!$F$8,6,IF(INT(Q144)&gt;='3월 등급 정보'!$F$9,7,IF(INT(Q144)&gt;='3월 등급 정보'!$F$10,8,IF(INT(Q144)&gt;='3월 등급 정보'!$F$11,9)))))))))</f>
        <v>4</v>
      </c>
      <c r="U144" s="34">
        <v>34.5</v>
      </c>
      <c r="V144" s="33"/>
      <c r="W144" s="33"/>
      <c r="X144" s="33">
        <f>IF(INT(U144)&gt;='3월 등급 정보'!$G$3,1,IF(INT(U144)&gt;='3월 등급 정보'!$G$4,2,IF(INT(U144)&gt;='3월 등급 정보'!$G$5,3,IF(INT(U144)&gt;='3월 등급 정보'!$G$6,4,IF(INT(U144)&gt;='3월 등급 정보'!$G$7,5,IF(INT(U144)&gt;='3월 등급 정보'!$G$8,6,IF(INT(U144)&gt;='3월 등급 정보'!$G$9,7,IF(INT(U144)&gt;='3월 등급 정보'!$G$10,8,IF(INT(U144)&gt;='3월 등급 정보'!$G$11,9)))))))))</f>
        <v>3</v>
      </c>
      <c r="Y144" s="34">
        <v>37</v>
      </c>
      <c r="Z144" s="33"/>
      <c r="AA144" s="33"/>
      <c r="AB144" s="33">
        <f>IF(INT(Y144)&gt;='3월 등급 정보'!$H$3,1,IF(INT(Y144)&gt;='3월 등급 정보'!$H$4,2,IF(INT(Y144)&gt;='3월 등급 정보'!$H$5,3,IF(INT(Y144)&gt;='3월 등급 정보'!$H$6,4,IF(INT(Y144)&gt;='3월 등급 정보'!$H$7,5,IF(INT(Y144)&gt;='3월 등급 정보'!$H$8,6,IF(INT(Y144)&gt;='3월 등급 정보'!$H$9,7,IF(INT(Y144)&gt;='3월 등급 정보'!$H$10,8,IF(INT(Y144)&gt;='3월 등급 정보'!$H$11,9)))))))))</f>
        <v>2</v>
      </c>
      <c r="AC144" s="33">
        <f>E144+I144+M144+Q144+U144</f>
        <v>219</v>
      </c>
      <c r="AD144" s="33">
        <f>RANK(AC144,$AC$3:$AC$273)</f>
        <v>142</v>
      </c>
    </row>
    <row r="145" spans="1:30" ht="17.25" customHeight="1">
      <c r="A145" s="33" t="s">
        <v>26</v>
      </c>
      <c r="B145" s="34">
        <v>3</v>
      </c>
      <c r="C145" s="34">
        <v>26</v>
      </c>
      <c r="D145" s="34" t="s">
        <v>103</v>
      </c>
      <c r="E145" s="34">
        <v>49</v>
      </c>
      <c r="F145" s="33"/>
      <c r="G145" s="33"/>
      <c r="H145" s="33">
        <f>IF(INT(E145)&gt;='3월 등급 정보'!$C$3,1,IF(INT(E145)&gt;='3월 등급 정보'!$C$4,2,IF(INT(E145)&gt;='3월 등급 정보'!$C$5,3,IF(INT(E145)&gt;='3월 등급 정보'!$C$6,4,IF(INT(E145)&gt;='3월 등급 정보'!$C$7,5,IF(INT(E145)&gt;='3월 등급 정보'!$C$8,6,IF(INT(E145)&gt;='3월 등급 정보'!$C$9,7,IF(INT(E145)&gt;='3월 등급 정보'!$C$10,8,IF(INT(E145)&gt;='3월 등급 정보'!$C$11,9)))))))))</f>
        <v>5</v>
      </c>
      <c r="I145" s="34">
        <v>50</v>
      </c>
      <c r="J145" s="33"/>
      <c r="K145" s="33"/>
      <c r="L145" s="33">
        <f>IF(INT(I145)&gt;='3월 등급 정보'!$D$3,1,IF(INT(I145)&gt;='3월 등급 정보'!$D$4,2,IF(INT(I145)&gt;='3월 등급 정보'!$D$5,3,IF(INT(I145)&gt;='3월 등급 정보'!$D$6,4,IF(INT(I145)&gt;='3월 등급 정보'!$D$7,5,IF(INT(I145)&gt;='3월 등급 정보'!$D$8,6,IF(INT(I145)&gt;='3월 등급 정보'!$D$9,7,IF(INT(I145)&gt;='3월 등급 정보'!$D$10,8,IF(INT(I145)&gt;='3월 등급 정보'!$D$11,9)))))))))</f>
        <v>4</v>
      </c>
      <c r="M145" s="34">
        <v>69</v>
      </c>
      <c r="N145" s="33"/>
      <c r="O145" s="33"/>
      <c r="P145" s="33">
        <f>IF(INT(M145)&gt;='3월 등급 정보'!$E$3,1,IF(INT(M145)&gt;='3월 등급 정보'!$E$4,2,IF(INT(M145)&gt;='3월 등급 정보'!$E$5,3,IF(INT(M145)&gt;='3월 등급 정보'!$E$6,4,IF(INT(M145)&gt;='3월 등급 정보'!$E$7,5,IF(INT(M145)&gt;='3월 등급 정보'!$E$8,6,IF(INT(M145)&gt;='3월 등급 정보'!$E$9,7,IF(INT(M145)&gt;='3월 등급 정보'!$E$10,8,IF(INT(M145)&gt;='3월 등급 정보'!$E$11,9)))))))))</f>
        <v>4</v>
      </c>
      <c r="Q145" s="34">
        <v>23.5</v>
      </c>
      <c r="R145" s="33"/>
      <c r="S145" s="33"/>
      <c r="T145" s="33">
        <f>IF(INT(Q145)&gt;='3월 등급 정보'!$F$3,1,IF(INT(Q145)&gt;='3월 등급 정보'!$F$4,2,IF(INT(Q145)&gt;='3월 등급 정보'!$F$5,3,IF(INT(Q145)&gt;='3월 등급 정보'!$F$6,4,IF(INT(Q145)&gt;='3월 등급 정보'!$F$7,5,IF(INT(Q145)&gt;='3월 등급 정보'!$F$8,6,IF(INT(Q145)&gt;='3월 등급 정보'!$F$9,7,IF(INT(Q145)&gt;='3월 등급 정보'!$F$10,8,IF(INT(Q145)&gt;='3월 등급 정보'!$F$11,9)))))))))</f>
        <v>6</v>
      </c>
      <c r="U145" s="34">
        <v>26</v>
      </c>
      <c r="V145" s="33"/>
      <c r="W145" s="33"/>
      <c r="X145" s="33">
        <f>IF(INT(U145)&gt;='3월 등급 정보'!$G$3,1,IF(INT(U145)&gt;='3월 등급 정보'!$G$4,2,IF(INT(U145)&gt;='3월 등급 정보'!$G$5,3,IF(INT(U145)&gt;='3월 등급 정보'!$G$6,4,IF(INT(U145)&gt;='3월 등급 정보'!$G$7,5,IF(INT(U145)&gt;='3월 등급 정보'!$G$8,6,IF(INT(U145)&gt;='3월 등급 정보'!$G$9,7,IF(INT(U145)&gt;='3월 등급 정보'!$G$10,8,IF(INT(U145)&gt;='3월 등급 정보'!$G$11,9)))))))))</f>
        <v>4</v>
      </c>
      <c r="Y145" s="34">
        <v>16</v>
      </c>
      <c r="Z145" s="33"/>
      <c r="AA145" s="33"/>
      <c r="AB145" s="33">
        <f>IF(INT(Y145)&gt;='3월 등급 정보'!$H$3,1,IF(INT(Y145)&gt;='3월 등급 정보'!$H$4,2,IF(INT(Y145)&gt;='3월 등급 정보'!$H$5,3,IF(INT(Y145)&gt;='3월 등급 정보'!$H$6,4,IF(INT(Y145)&gt;='3월 등급 정보'!$H$7,5,IF(INT(Y145)&gt;='3월 등급 정보'!$H$8,6,IF(INT(Y145)&gt;='3월 등급 정보'!$H$9,7,IF(INT(Y145)&gt;='3월 등급 정보'!$H$10,8,IF(INT(Y145)&gt;='3월 등급 정보'!$H$11,9)))))))))</f>
        <v>6</v>
      </c>
      <c r="AC145" s="33">
        <f>E145+I145+M145+Q145+U145</f>
        <v>217.5</v>
      </c>
      <c r="AD145" s="33">
        <f>RANK(AC145,$AC$3:$AC$273)</f>
        <v>143</v>
      </c>
    </row>
    <row r="146" spans="1:30" ht="17.25" customHeight="1">
      <c r="A146" s="33" t="s">
        <v>26</v>
      </c>
      <c r="B146" s="34">
        <v>10</v>
      </c>
      <c r="C146" s="34">
        <v>2</v>
      </c>
      <c r="D146" s="34" t="s">
        <v>266</v>
      </c>
      <c r="E146" s="34">
        <v>52</v>
      </c>
      <c r="F146" s="33"/>
      <c r="G146" s="33"/>
      <c r="H146" s="33">
        <f>IF(INT(E146)&gt;='3월 등급 정보'!$C$3,1,IF(INT(E146)&gt;='3월 등급 정보'!$C$4,2,IF(INT(E146)&gt;='3월 등급 정보'!$C$5,3,IF(INT(E146)&gt;='3월 등급 정보'!$C$6,4,IF(INT(E146)&gt;='3월 등급 정보'!$C$7,5,IF(INT(E146)&gt;='3월 등급 정보'!$C$8,6,IF(INT(E146)&gt;='3월 등급 정보'!$C$9,7,IF(INT(E146)&gt;='3월 등급 정보'!$C$10,8,IF(INT(E146)&gt;='3월 등급 정보'!$C$11,9)))))))))</f>
        <v>5</v>
      </c>
      <c r="I146" s="34">
        <v>42</v>
      </c>
      <c r="J146" s="33"/>
      <c r="K146" s="33"/>
      <c r="L146" s="33">
        <f>IF(INT(I146)&gt;='3월 등급 정보'!$D$3,1,IF(INT(I146)&gt;='3월 등급 정보'!$D$4,2,IF(INT(I146)&gt;='3월 등급 정보'!$D$5,3,IF(INT(I146)&gt;='3월 등급 정보'!$D$6,4,IF(INT(I146)&gt;='3월 등급 정보'!$D$7,5,IF(INT(I146)&gt;='3월 등급 정보'!$D$8,6,IF(INT(I146)&gt;='3월 등급 정보'!$D$9,7,IF(INT(I146)&gt;='3월 등급 정보'!$D$10,8,IF(INT(I146)&gt;='3월 등급 정보'!$D$11,9)))))))))</f>
        <v>5</v>
      </c>
      <c r="M146" s="34">
        <v>74</v>
      </c>
      <c r="N146" s="33"/>
      <c r="O146" s="33"/>
      <c r="P146" s="33">
        <f>IF(INT(M146)&gt;='3월 등급 정보'!$E$3,1,IF(INT(M146)&gt;='3월 등급 정보'!$E$4,2,IF(INT(M146)&gt;='3월 등급 정보'!$E$5,3,IF(INT(M146)&gt;='3월 등급 정보'!$E$6,4,IF(INT(M146)&gt;='3월 등급 정보'!$E$7,5,IF(INT(M146)&gt;='3월 등급 정보'!$E$8,6,IF(INT(M146)&gt;='3월 등급 정보'!$E$9,7,IF(INT(M146)&gt;='3월 등급 정보'!$E$10,8,IF(INT(M146)&gt;='3월 등급 정보'!$E$11,9)))))))))</f>
        <v>3</v>
      </c>
      <c r="Q146" s="34">
        <v>31</v>
      </c>
      <c r="R146" s="33"/>
      <c r="S146" s="33"/>
      <c r="T146" s="33">
        <f>IF(INT(Q146)&gt;='3월 등급 정보'!$F$3,1,IF(INT(Q146)&gt;='3월 등급 정보'!$F$4,2,IF(INT(Q146)&gt;='3월 등급 정보'!$F$5,3,IF(INT(Q146)&gt;='3월 등급 정보'!$F$6,4,IF(INT(Q146)&gt;='3월 등급 정보'!$F$7,5,IF(INT(Q146)&gt;='3월 등급 정보'!$F$8,6,IF(INT(Q146)&gt;='3월 등급 정보'!$F$9,7,IF(INT(Q146)&gt;='3월 등급 정보'!$F$10,8,IF(INT(Q146)&gt;='3월 등급 정보'!$F$11,9)))))))))</f>
        <v>5</v>
      </c>
      <c r="U146" s="34">
        <v>18.5</v>
      </c>
      <c r="V146" s="33"/>
      <c r="W146" s="33"/>
      <c r="X146" s="33">
        <f>IF(INT(U146)&gt;='3월 등급 정보'!$G$3,1,IF(INT(U146)&gt;='3월 등급 정보'!$G$4,2,IF(INT(U146)&gt;='3월 등급 정보'!$G$5,3,IF(INT(U146)&gt;='3월 등급 정보'!$G$6,4,IF(INT(U146)&gt;='3월 등급 정보'!$G$7,5,IF(INT(U146)&gt;='3월 등급 정보'!$G$8,6,IF(INT(U146)&gt;='3월 등급 정보'!$G$9,7,IF(INT(U146)&gt;='3월 등급 정보'!$G$10,8,IF(INT(U146)&gt;='3월 등급 정보'!$G$11,9)))))))))</f>
        <v>6</v>
      </c>
      <c r="Y146" s="34">
        <v>27</v>
      </c>
      <c r="Z146" s="33"/>
      <c r="AA146" s="33"/>
      <c r="AB146" s="33">
        <f>IF(INT(Y146)&gt;='3월 등급 정보'!$H$3,1,IF(INT(Y146)&gt;='3월 등급 정보'!$H$4,2,IF(INT(Y146)&gt;='3월 등급 정보'!$H$5,3,IF(INT(Y146)&gt;='3월 등급 정보'!$H$6,4,IF(INT(Y146)&gt;='3월 등급 정보'!$H$7,5,IF(INT(Y146)&gt;='3월 등급 정보'!$H$8,6,IF(INT(Y146)&gt;='3월 등급 정보'!$H$9,7,IF(INT(Y146)&gt;='3월 등급 정보'!$H$10,8,IF(INT(Y146)&gt;='3월 등급 정보'!$H$11,9)))))))))</f>
        <v>4</v>
      </c>
      <c r="AC146" s="33">
        <f>E146+I146+M146+Q146+U146</f>
        <v>217.5</v>
      </c>
      <c r="AD146" s="33">
        <f>RANK(AC146,$AC$3:$AC$273)</f>
        <v>143</v>
      </c>
    </row>
    <row r="147" spans="1:30" ht="17.25" customHeight="1">
      <c r="A147" s="33" t="s">
        <v>26</v>
      </c>
      <c r="B147" s="34">
        <v>5</v>
      </c>
      <c r="C147" s="34">
        <v>12</v>
      </c>
      <c r="D147" s="34" t="s">
        <v>143</v>
      </c>
      <c r="E147" s="34">
        <v>56</v>
      </c>
      <c r="F147" s="33"/>
      <c r="G147" s="33"/>
      <c r="H147" s="33">
        <f>IF(INT(E147)&gt;='3월 등급 정보'!$C$3,1,IF(INT(E147)&gt;='3월 등급 정보'!$C$4,2,IF(INT(E147)&gt;='3월 등급 정보'!$C$5,3,IF(INT(E147)&gt;='3월 등급 정보'!$C$6,4,IF(INT(E147)&gt;='3월 등급 정보'!$C$7,5,IF(INT(E147)&gt;='3월 등급 정보'!$C$8,6,IF(INT(E147)&gt;='3월 등급 정보'!$C$9,7,IF(INT(E147)&gt;='3월 등급 정보'!$C$10,8,IF(INT(E147)&gt;='3월 등급 정보'!$C$11,9)))))))))</f>
        <v>5</v>
      </c>
      <c r="I147" s="34">
        <v>54</v>
      </c>
      <c r="J147" s="33"/>
      <c r="K147" s="33"/>
      <c r="L147" s="33">
        <f>IF(INT(I147)&gt;='3월 등급 정보'!$D$3,1,IF(INT(I147)&gt;='3월 등급 정보'!$D$4,2,IF(INT(I147)&gt;='3월 등급 정보'!$D$5,3,IF(INT(I147)&gt;='3월 등급 정보'!$D$6,4,IF(INT(I147)&gt;='3월 등급 정보'!$D$7,5,IF(INT(I147)&gt;='3월 등급 정보'!$D$8,6,IF(INT(I147)&gt;='3월 등급 정보'!$D$9,7,IF(INT(I147)&gt;='3월 등급 정보'!$D$10,8,IF(INT(I147)&gt;='3월 등급 정보'!$D$11,9)))))))))</f>
        <v>4</v>
      </c>
      <c r="M147" s="34">
        <v>69</v>
      </c>
      <c r="N147" s="33"/>
      <c r="O147" s="33"/>
      <c r="P147" s="33">
        <f>IF(INT(M147)&gt;='3월 등급 정보'!$E$3,1,IF(INT(M147)&gt;='3월 등급 정보'!$E$4,2,IF(INT(M147)&gt;='3월 등급 정보'!$E$5,3,IF(INT(M147)&gt;='3월 등급 정보'!$E$6,4,IF(INT(M147)&gt;='3월 등급 정보'!$E$7,5,IF(INT(M147)&gt;='3월 등급 정보'!$E$8,6,IF(INT(M147)&gt;='3월 등급 정보'!$E$9,7,IF(INT(M147)&gt;='3월 등급 정보'!$E$10,8,IF(INT(M147)&gt;='3월 등급 정보'!$E$11,9)))))))))</f>
        <v>4</v>
      </c>
      <c r="Q147" s="34">
        <v>18.5</v>
      </c>
      <c r="R147" s="33"/>
      <c r="S147" s="33"/>
      <c r="T147" s="33">
        <f>IF(INT(Q147)&gt;='3월 등급 정보'!$F$3,1,IF(INT(Q147)&gt;='3월 등급 정보'!$F$4,2,IF(INT(Q147)&gt;='3월 등급 정보'!$F$5,3,IF(INT(Q147)&gt;='3월 등급 정보'!$F$6,4,IF(INT(Q147)&gt;='3월 등급 정보'!$F$7,5,IF(INT(Q147)&gt;='3월 등급 정보'!$F$8,6,IF(INT(Q147)&gt;='3월 등급 정보'!$F$9,7,IF(INT(Q147)&gt;='3월 등급 정보'!$F$10,8,IF(INT(Q147)&gt;='3월 등급 정보'!$F$11,9)))))))))</f>
        <v>7</v>
      </c>
      <c r="U147" s="34">
        <v>19.5</v>
      </c>
      <c r="V147" s="33"/>
      <c r="W147" s="33"/>
      <c r="X147" s="33">
        <f>IF(INT(U147)&gt;='3월 등급 정보'!$G$3,1,IF(INT(U147)&gt;='3월 등급 정보'!$G$4,2,IF(INT(U147)&gt;='3월 등급 정보'!$G$5,3,IF(INT(U147)&gt;='3월 등급 정보'!$G$6,4,IF(INT(U147)&gt;='3월 등급 정보'!$G$7,5,IF(INT(U147)&gt;='3월 등급 정보'!$G$8,6,IF(INT(U147)&gt;='3월 등급 정보'!$G$9,7,IF(INT(U147)&gt;='3월 등급 정보'!$G$10,8,IF(INT(U147)&gt;='3월 등급 정보'!$G$11,9)))))))))</f>
        <v>5</v>
      </c>
      <c r="Y147" s="34">
        <v>17</v>
      </c>
      <c r="Z147" s="33"/>
      <c r="AA147" s="33"/>
      <c r="AB147" s="33">
        <f>IF(INT(Y147)&gt;='3월 등급 정보'!$H$3,1,IF(INT(Y147)&gt;='3월 등급 정보'!$H$4,2,IF(INT(Y147)&gt;='3월 등급 정보'!$H$5,3,IF(INT(Y147)&gt;='3월 등급 정보'!$H$6,4,IF(INT(Y147)&gt;='3월 등급 정보'!$H$7,5,IF(INT(Y147)&gt;='3월 등급 정보'!$H$8,6,IF(INT(Y147)&gt;='3월 등급 정보'!$H$9,7,IF(INT(Y147)&gt;='3월 등급 정보'!$H$10,8,IF(INT(Y147)&gt;='3월 등급 정보'!$H$11,9)))))))))</f>
        <v>6</v>
      </c>
      <c r="AC147" s="33">
        <f>E147+I147+M147+Q147+U147</f>
        <v>217</v>
      </c>
      <c r="AD147" s="33">
        <f>RANK(AC147,$AC$3:$AC$273)</f>
        <v>145</v>
      </c>
    </row>
    <row r="148" spans="1:30" ht="17.25" customHeight="1">
      <c r="A148" s="33" t="s">
        <v>26</v>
      </c>
      <c r="B148" s="34">
        <v>6</v>
      </c>
      <c r="C148" s="34">
        <v>9</v>
      </c>
      <c r="D148" s="34" t="s">
        <v>167</v>
      </c>
      <c r="E148" s="34">
        <v>66</v>
      </c>
      <c r="F148" s="33"/>
      <c r="G148" s="33"/>
      <c r="H148" s="33">
        <f>IF(INT(E148)&gt;='3월 등급 정보'!$C$3,1,IF(INT(E148)&gt;='3월 등급 정보'!$C$4,2,IF(INT(E148)&gt;='3월 등급 정보'!$C$5,3,IF(INT(E148)&gt;='3월 등급 정보'!$C$6,4,IF(INT(E148)&gt;='3월 등급 정보'!$C$7,5,IF(INT(E148)&gt;='3월 등급 정보'!$C$8,6,IF(INT(E148)&gt;='3월 등급 정보'!$C$9,7,IF(INT(E148)&gt;='3월 등급 정보'!$C$10,8,IF(INT(E148)&gt;='3월 등급 정보'!$C$11,9)))))))))</f>
        <v>4</v>
      </c>
      <c r="I148" s="34">
        <v>45</v>
      </c>
      <c r="J148" s="33"/>
      <c r="K148" s="33"/>
      <c r="L148" s="33">
        <f>IF(INT(I148)&gt;='3월 등급 정보'!$D$3,1,IF(INT(I148)&gt;='3월 등급 정보'!$D$4,2,IF(INT(I148)&gt;='3월 등급 정보'!$D$5,3,IF(INT(I148)&gt;='3월 등급 정보'!$D$6,4,IF(INT(I148)&gt;='3월 등급 정보'!$D$7,5,IF(INT(I148)&gt;='3월 등급 정보'!$D$8,6,IF(INT(I148)&gt;='3월 등급 정보'!$D$9,7,IF(INT(I148)&gt;='3월 등급 정보'!$D$10,8,IF(INT(I148)&gt;='3월 등급 정보'!$D$11,9)))))))))</f>
        <v>5</v>
      </c>
      <c r="M148" s="34">
        <v>55</v>
      </c>
      <c r="N148" s="33"/>
      <c r="O148" s="33"/>
      <c r="P148" s="33">
        <f>IF(INT(M148)&gt;='3월 등급 정보'!$E$3,1,IF(INT(M148)&gt;='3월 등급 정보'!$E$4,2,IF(INT(M148)&gt;='3월 등급 정보'!$E$5,3,IF(INT(M148)&gt;='3월 등급 정보'!$E$6,4,IF(INT(M148)&gt;='3월 등급 정보'!$E$7,5,IF(INT(M148)&gt;='3월 등급 정보'!$E$8,6,IF(INT(M148)&gt;='3월 등급 정보'!$E$9,7,IF(INT(M148)&gt;='3월 등급 정보'!$E$10,8,IF(INT(M148)&gt;='3월 등급 정보'!$E$11,9)))))))))</f>
        <v>5</v>
      </c>
      <c r="Q148" s="34">
        <v>28.5</v>
      </c>
      <c r="R148" s="33"/>
      <c r="S148" s="33"/>
      <c r="T148" s="33">
        <f>IF(INT(Q148)&gt;='3월 등급 정보'!$F$3,1,IF(INT(Q148)&gt;='3월 등급 정보'!$F$4,2,IF(INT(Q148)&gt;='3월 등급 정보'!$F$5,3,IF(INT(Q148)&gt;='3월 등급 정보'!$F$6,4,IF(INT(Q148)&gt;='3월 등급 정보'!$F$7,5,IF(INT(Q148)&gt;='3월 등급 정보'!$F$8,6,IF(INT(Q148)&gt;='3월 등급 정보'!$F$9,7,IF(INT(Q148)&gt;='3월 등급 정보'!$F$10,8,IF(INT(Q148)&gt;='3월 등급 정보'!$F$11,9)))))))))</f>
        <v>5</v>
      </c>
      <c r="U148" s="34">
        <v>21.5</v>
      </c>
      <c r="V148" s="33"/>
      <c r="W148" s="33"/>
      <c r="X148" s="33">
        <f>IF(INT(U148)&gt;='3월 등급 정보'!$G$3,1,IF(INT(U148)&gt;='3월 등급 정보'!$G$4,2,IF(INT(U148)&gt;='3월 등급 정보'!$G$5,3,IF(INT(U148)&gt;='3월 등급 정보'!$G$6,4,IF(INT(U148)&gt;='3월 등급 정보'!$G$7,5,IF(INT(U148)&gt;='3월 등급 정보'!$G$8,6,IF(INT(U148)&gt;='3월 등급 정보'!$G$9,7,IF(INT(U148)&gt;='3월 등급 정보'!$G$10,8,IF(INT(U148)&gt;='3월 등급 정보'!$G$11,9)))))))))</f>
        <v>5</v>
      </c>
      <c r="Y148" s="34">
        <v>29</v>
      </c>
      <c r="Z148" s="33"/>
      <c r="AA148" s="33"/>
      <c r="AB148" s="33">
        <f>IF(INT(Y148)&gt;='3월 등급 정보'!$H$3,1,IF(INT(Y148)&gt;='3월 등급 정보'!$H$4,2,IF(INT(Y148)&gt;='3월 등급 정보'!$H$5,3,IF(INT(Y148)&gt;='3월 등급 정보'!$H$6,4,IF(INT(Y148)&gt;='3월 등급 정보'!$H$7,5,IF(INT(Y148)&gt;='3월 등급 정보'!$H$8,6,IF(INT(Y148)&gt;='3월 등급 정보'!$H$9,7,IF(INT(Y148)&gt;='3월 등급 정보'!$H$10,8,IF(INT(Y148)&gt;='3월 등급 정보'!$H$11,9)))))))))</f>
        <v>4</v>
      </c>
      <c r="AC148" s="33">
        <f>E148+I148+M148+Q148+U148</f>
        <v>216</v>
      </c>
      <c r="AD148" s="33">
        <f>RANK(AC148,$AC$3:$AC$273)</f>
        <v>146</v>
      </c>
    </row>
    <row r="149" spans="1:30" ht="17.25" customHeight="1">
      <c r="A149" s="33" t="s">
        <v>26</v>
      </c>
      <c r="B149" s="34">
        <v>6</v>
      </c>
      <c r="C149" s="34">
        <v>28</v>
      </c>
      <c r="D149" s="34" t="s">
        <v>186</v>
      </c>
      <c r="E149" s="34">
        <v>67</v>
      </c>
      <c r="F149" s="33"/>
      <c r="G149" s="33"/>
      <c r="H149" s="33">
        <f>IF(INT(E149)&gt;='3월 등급 정보'!$C$3,1,IF(INT(E149)&gt;='3월 등급 정보'!$C$4,2,IF(INT(E149)&gt;='3월 등급 정보'!$C$5,3,IF(INT(E149)&gt;='3월 등급 정보'!$C$6,4,IF(INT(E149)&gt;='3월 등급 정보'!$C$7,5,IF(INT(E149)&gt;='3월 등급 정보'!$C$8,6,IF(INT(E149)&gt;='3월 등급 정보'!$C$9,7,IF(INT(E149)&gt;='3월 등급 정보'!$C$10,8,IF(INT(E149)&gt;='3월 등급 정보'!$C$11,9)))))))))</f>
        <v>4</v>
      </c>
      <c r="I149" s="34">
        <v>44</v>
      </c>
      <c r="J149" s="33"/>
      <c r="K149" s="33"/>
      <c r="L149" s="33">
        <f>IF(INT(I149)&gt;='3월 등급 정보'!$D$3,1,IF(INT(I149)&gt;='3월 등급 정보'!$D$4,2,IF(INT(I149)&gt;='3월 등급 정보'!$D$5,3,IF(INT(I149)&gt;='3월 등급 정보'!$D$6,4,IF(INT(I149)&gt;='3월 등급 정보'!$D$7,5,IF(INT(I149)&gt;='3월 등급 정보'!$D$8,6,IF(INT(I149)&gt;='3월 등급 정보'!$D$9,7,IF(INT(I149)&gt;='3월 등급 정보'!$D$10,8,IF(INT(I149)&gt;='3월 등급 정보'!$D$11,9)))))))))</f>
        <v>5</v>
      </c>
      <c r="M149" s="34">
        <v>66</v>
      </c>
      <c r="N149" s="33"/>
      <c r="O149" s="33"/>
      <c r="P149" s="33">
        <f>IF(INT(M149)&gt;='3월 등급 정보'!$E$3,1,IF(INT(M149)&gt;='3월 등급 정보'!$E$4,2,IF(INT(M149)&gt;='3월 등급 정보'!$E$5,3,IF(INT(M149)&gt;='3월 등급 정보'!$E$6,4,IF(INT(M149)&gt;='3월 등급 정보'!$E$7,5,IF(INT(M149)&gt;='3월 등급 정보'!$E$8,6,IF(INT(M149)&gt;='3월 등급 정보'!$E$9,7,IF(INT(M149)&gt;='3월 등급 정보'!$E$10,8,IF(INT(M149)&gt;='3월 등급 정보'!$E$11,9)))))))))</f>
        <v>4</v>
      </c>
      <c r="Q149" s="34">
        <v>24.5</v>
      </c>
      <c r="R149" s="33"/>
      <c r="S149" s="33"/>
      <c r="T149" s="33">
        <f>IF(INT(Q149)&gt;='3월 등급 정보'!$F$3,1,IF(INT(Q149)&gt;='3월 등급 정보'!$F$4,2,IF(INT(Q149)&gt;='3월 등급 정보'!$F$5,3,IF(INT(Q149)&gt;='3월 등급 정보'!$F$6,4,IF(INT(Q149)&gt;='3월 등급 정보'!$F$7,5,IF(INT(Q149)&gt;='3월 등급 정보'!$F$8,6,IF(INT(Q149)&gt;='3월 등급 정보'!$F$9,7,IF(INT(Q149)&gt;='3월 등급 정보'!$F$10,8,IF(INT(Q149)&gt;='3월 등급 정보'!$F$11,9)))))))))</f>
        <v>6</v>
      </c>
      <c r="U149" s="34">
        <v>14</v>
      </c>
      <c r="V149" s="33"/>
      <c r="W149" s="33"/>
      <c r="X149" s="33">
        <f>IF(INT(U149)&gt;='3월 등급 정보'!$G$3,1,IF(INT(U149)&gt;='3월 등급 정보'!$G$4,2,IF(INT(U149)&gt;='3월 등급 정보'!$G$5,3,IF(INT(U149)&gt;='3월 등급 정보'!$G$6,4,IF(INT(U149)&gt;='3월 등급 정보'!$G$7,5,IF(INT(U149)&gt;='3월 등급 정보'!$G$8,6,IF(INT(U149)&gt;='3월 등급 정보'!$G$9,7,IF(INT(U149)&gt;='3월 등급 정보'!$G$10,8,IF(INT(U149)&gt;='3월 등급 정보'!$G$11,9)))))))))</f>
        <v>6</v>
      </c>
      <c r="Y149" s="34">
        <v>30</v>
      </c>
      <c r="Z149" s="33"/>
      <c r="AA149" s="33"/>
      <c r="AB149" s="33">
        <f>IF(INT(Y149)&gt;='3월 등급 정보'!$H$3,1,IF(INT(Y149)&gt;='3월 등급 정보'!$H$4,2,IF(INT(Y149)&gt;='3월 등급 정보'!$H$5,3,IF(INT(Y149)&gt;='3월 등급 정보'!$H$6,4,IF(INT(Y149)&gt;='3월 등급 정보'!$H$7,5,IF(INT(Y149)&gt;='3월 등급 정보'!$H$8,6,IF(INT(Y149)&gt;='3월 등급 정보'!$H$9,7,IF(INT(Y149)&gt;='3월 등급 정보'!$H$10,8,IF(INT(Y149)&gt;='3월 등급 정보'!$H$11,9)))))))))</f>
        <v>3</v>
      </c>
      <c r="AC149" s="33">
        <f>E149+I149+M149+Q149+U149</f>
        <v>215.5</v>
      </c>
      <c r="AD149" s="33">
        <f>RANK(AC149,$AC$3:$AC$273)</f>
        <v>147</v>
      </c>
    </row>
    <row r="150" spans="1:30" ht="17.25" customHeight="1">
      <c r="A150" s="33" t="s">
        <v>26</v>
      </c>
      <c r="B150" s="34">
        <v>6</v>
      </c>
      <c r="C150" s="34">
        <v>16</v>
      </c>
      <c r="D150" s="34" t="s">
        <v>174</v>
      </c>
      <c r="E150" s="34">
        <v>73</v>
      </c>
      <c r="F150" s="33"/>
      <c r="G150" s="33"/>
      <c r="H150" s="33">
        <f>IF(INT(E150)&gt;='3월 등급 정보'!$C$3,1,IF(INT(E150)&gt;='3월 등급 정보'!$C$4,2,IF(INT(E150)&gt;='3월 등급 정보'!$C$5,3,IF(INT(E150)&gt;='3월 등급 정보'!$C$6,4,IF(INT(E150)&gt;='3월 등급 정보'!$C$7,5,IF(INT(E150)&gt;='3월 등급 정보'!$C$8,6,IF(INT(E150)&gt;='3월 등급 정보'!$C$9,7,IF(INT(E150)&gt;='3월 등급 정보'!$C$10,8,IF(INT(E150)&gt;='3월 등급 정보'!$C$11,9)))))))))</f>
        <v>3</v>
      </c>
      <c r="I150" s="34">
        <v>40</v>
      </c>
      <c r="J150" s="33"/>
      <c r="K150" s="33"/>
      <c r="L150" s="33">
        <f>IF(INT(I150)&gt;='3월 등급 정보'!$D$3,1,IF(INT(I150)&gt;='3월 등급 정보'!$D$4,2,IF(INT(I150)&gt;='3월 등급 정보'!$D$5,3,IF(INT(I150)&gt;='3월 등급 정보'!$D$6,4,IF(INT(I150)&gt;='3월 등급 정보'!$D$7,5,IF(INT(I150)&gt;='3월 등급 정보'!$D$8,6,IF(INT(I150)&gt;='3월 등급 정보'!$D$9,7,IF(INT(I150)&gt;='3월 등급 정보'!$D$10,8,IF(INT(I150)&gt;='3월 등급 정보'!$D$11,9)))))))))</f>
        <v>5</v>
      </c>
      <c r="M150" s="34">
        <v>65</v>
      </c>
      <c r="N150" s="33"/>
      <c r="O150" s="33"/>
      <c r="P150" s="33">
        <f>IF(INT(M150)&gt;='3월 등급 정보'!$E$3,1,IF(INT(M150)&gt;='3월 등급 정보'!$E$4,2,IF(INT(M150)&gt;='3월 등급 정보'!$E$5,3,IF(INT(M150)&gt;='3월 등급 정보'!$E$6,4,IF(INT(M150)&gt;='3월 등급 정보'!$E$7,5,IF(INT(M150)&gt;='3월 등급 정보'!$E$8,6,IF(INT(M150)&gt;='3월 등급 정보'!$E$9,7,IF(INT(M150)&gt;='3월 등급 정보'!$E$10,8,IF(INT(M150)&gt;='3월 등급 정보'!$E$11,9)))))))))</f>
        <v>4</v>
      </c>
      <c r="Q150" s="34">
        <v>21.5</v>
      </c>
      <c r="R150" s="33"/>
      <c r="S150" s="33"/>
      <c r="T150" s="33">
        <f>IF(INT(Q150)&gt;='3월 등급 정보'!$F$3,1,IF(INT(Q150)&gt;='3월 등급 정보'!$F$4,2,IF(INT(Q150)&gt;='3월 등급 정보'!$F$5,3,IF(INT(Q150)&gt;='3월 등급 정보'!$F$6,4,IF(INT(Q150)&gt;='3월 등급 정보'!$F$7,5,IF(INT(Q150)&gt;='3월 등급 정보'!$F$8,6,IF(INT(Q150)&gt;='3월 등급 정보'!$F$9,7,IF(INT(Q150)&gt;='3월 등급 정보'!$F$10,8,IF(INT(Q150)&gt;='3월 등급 정보'!$F$11,9)))))))))</f>
        <v>6</v>
      </c>
      <c r="U150" s="34">
        <v>14</v>
      </c>
      <c r="V150" s="33"/>
      <c r="W150" s="33"/>
      <c r="X150" s="33">
        <f>IF(INT(U150)&gt;='3월 등급 정보'!$G$3,1,IF(INT(U150)&gt;='3월 등급 정보'!$G$4,2,IF(INT(U150)&gt;='3월 등급 정보'!$G$5,3,IF(INT(U150)&gt;='3월 등급 정보'!$G$6,4,IF(INT(U150)&gt;='3월 등급 정보'!$G$7,5,IF(INT(U150)&gt;='3월 등급 정보'!$G$8,6,IF(INT(U150)&gt;='3월 등급 정보'!$G$9,7,IF(INT(U150)&gt;='3월 등급 정보'!$G$10,8,IF(INT(U150)&gt;='3월 등급 정보'!$G$11,9)))))))))</f>
        <v>6</v>
      </c>
      <c r="Y150" s="34">
        <v>23</v>
      </c>
      <c r="Z150" s="33"/>
      <c r="AA150" s="33"/>
      <c r="AB150" s="33">
        <f>IF(INT(Y150)&gt;='3월 등급 정보'!$H$3,1,IF(INT(Y150)&gt;='3월 등급 정보'!$H$4,2,IF(INT(Y150)&gt;='3월 등급 정보'!$H$5,3,IF(INT(Y150)&gt;='3월 등급 정보'!$H$6,4,IF(INT(Y150)&gt;='3월 등급 정보'!$H$7,5,IF(INT(Y150)&gt;='3월 등급 정보'!$H$8,6,IF(INT(Y150)&gt;='3월 등급 정보'!$H$9,7,IF(INT(Y150)&gt;='3월 등급 정보'!$H$10,8,IF(INT(Y150)&gt;='3월 등급 정보'!$H$11,9)))))))))</f>
        <v>5</v>
      </c>
      <c r="AC150" s="33">
        <f>E150+I150+M150+Q150+U150</f>
        <v>213.5</v>
      </c>
      <c r="AD150" s="33">
        <f>RANK(AC150,$AC$3:$AC$273)</f>
        <v>148</v>
      </c>
    </row>
    <row r="151" spans="1:30" ht="17.25" customHeight="1">
      <c r="A151" s="33" t="s">
        <v>26</v>
      </c>
      <c r="B151" s="34">
        <v>9</v>
      </c>
      <c r="C151" s="34">
        <v>10</v>
      </c>
      <c r="D151" s="34" t="s">
        <v>247</v>
      </c>
      <c r="E151" s="34">
        <v>58</v>
      </c>
      <c r="F151" s="33"/>
      <c r="G151" s="33"/>
      <c r="H151" s="33">
        <f>IF(INT(E151)&gt;='3월 등급 정보'!$C$3,1,IF(INT(E151)&gt;='3월 등급 정보'!$C$4,2,IF(INT(E151)&gt;='3월 등급 정보'!$C$5,3,IF(INT(E151)&gt;='3월 등급 정보'!$C$6,4,IF(INT(E151)&gt;='3월 등급 정보'!$C$7,5,IF(INT(E151)&gt;='3월 등급 정보'!$C$8,6,IF(INT(E151)&gt;='3월 등급 정보'!$C$9,7,IF(INT(E151)&gt;='3월 등급 정보'!$C$10,8,IF(INT(E151)&gt;='3월 등급 정보'!$C$11,9)))))))))</f>
        <v>5</v>
      </c>
      <c r="I151" s="34">
        <v>51</v>
      </c>
      <c r="J151" s="33"/>
      <c r="K151" s="33"/>
      <c r="L151" s="33">
        <f>IF(INT(I151)&gt;='3월 등급 정보'!$D$3,1,IF(INT(I151)&gt;='3월 등급 정보'!$D$4,2,IF(INT(I151)&gt;='3월 등급 정보'!$D$5,3,IF(INT(I151)&gt;='3월 등급 정보'!$D$6,4,IF(INT(I151)&gt;='3월 등급 정보'!$D$7,5,IF(INT(I151)&gt;='3월 등급 정보'!$D$8,6,IF(INT(I151)&gt;='3월 등급 정보'!$D$9,7,IF(INT(I151)&gt;='3월 등급 정보'!$D$10,8,IF(INT(I151)&gt;='3월 등급 정보'!$D$11,9)))))))))</f>
        <v>4</v>
      </c>
      <c r="M151" s="34">
        <v>48</v>
      </c>
      <c r="N151" s="33"/>
      <c r="O151" s="33"/>
      <c r="P151" s="33">
        <f>IF(INT(M151)&gt;='3월 등급 정보'!$E$3,1,IF(INT(M151)&gt;='3월 등급 정보'!$E$4,2,IF(INT(M151)&gt;='3월 등급 정보'!$E$5,3,IF(INT(M151)&gt;='3월 등급 정보'!$E$6,4,IF(INT(M151)&gt;='3월 등급 정보'!$E$7,5,IF(INT(M151)&gt;='3월 등급 정보'!$E$8,6,IF(INT(M151)&gt;='3월 등급 정보'!$E$9,7,IF(INT(M151)&gt;='3월 등급 정보'!$E$10,8,IF(INT(M151)&gt;='3월 등급 정보'!$E$11,9)))))))))</f>
        <v>6</v>
      </c>
      <c r="Q151" s="34">
        <v>29</v>
      </c>
      <c r="R151" s="33"/>
      <c r="S151" s="33"/>
      <c r="T151" s="33">
        <f>IF(INT(Q151)&gt;='3월 등급 정보'!$F$3,1,IF(INT(Q151)&gt;='3월 등급 정보'!$F$4,2,IF(INT(Q151)&gt;='3월 등급 정보'!$F$5,3,IF(INT(Q151)&gt;='3월 등급 정보'!$F$6,4,IF(INT(Q151)&gt;='3월 등급 정보'!$F$7,5,IF(INT(Q151)&gt;='3월 등급 정보'!$F$8,6,IF(INT(Q151)&gt;='3월 등급 정보'!$F$9,7,IF(INT(Q151)&gt;='3월 등급 정보'!$F$10,8,IF(INT(Q151)&gt;='3월 등급 정보'!$F$11,9)))))))))</f>
        <v>5</v>
      </c>
      <c r="U151" s="34">
        <v>27.5</v>
      </c>
      <c r="V151" s="33"/>
      <c r="W151" s="33"/>
      <c r="X151" s="33">
        <f>IF(INT(U151)&gt;='3월 등급 정보'!$G$3,1,IF(INT(U151)&gt;='3월 등급 정보'!$G$4,2,IF(INT(U151)&gt;='3월 등급 정보'!$G$5,3,IF(INT(U151)&gt;='3월 등급 정보'!$G$6,4,IF(INT(U151)&gt;='3월 등급 정보'!$G$7,5,IF(INT(U151)&gt;='3월 등급 정보'!$G$8,6,IF(INT(U151)&gt;='3월 등급 정보'!$G$9,7,IF(INT(U151)&gt;='3월 등급 정보'!$G$10,8,IF(INT(U151)&gt;='3월 등급 정보'!$G$11,9)))))))))</f>
        <v>4</v>
      </c>
      <c r="Y151" s="34">
        <v>40</v>
      </c>
      <c r="Z151" s="33"/>
      <c r="AA151" s="33"/>
      <c r="AB151" s="33">
        <f>IF(INT(Y151)&gt;='3월 등급 정보'!$H$3,1,IF(INT(Y151)&gt;='3월 등급 정보'!$H$4,2,IF(INT(Y151)&gt;='3월 등급 정보'!$H$5,3,IF(INT(Y151)&gt;='3월 등급 정보'!$H$6,4,IF(INT(Y151)&gt;='3월 등급 정보'!$H$7,5,IF(INT(Y151)&gt;='3월 등급 정보'!$H$8,6,IF(INT(Y151)&gt;='3월 등급 정보'!$H$9,7,IF(INT(Y151)&gt;='3월 등급 정보'!$H$10,8,IF(INT(Y151)&gt;='3월 등급 정보'!$H$11,9)))))))))</f>
        <v>1</v>
      </c>
      <c r="AC151" s="33">
        <f>E151+I151+M151+Q151+U151</f>
        <v>213.5</v>
      </c>
      <c r="AD151" s="33">
        <f>RANK(AC151,$AC$3:$AC$273)</f>
        <v>148</v>
      </c>
    </row>
    <row r="152" spans="1:30" ht="17.25" customHeight="1">
      <c r="A152" s="33" t="s">
        <v>26</v>
      </c>
      <c r="B152" s="34">
        <v>10</v>
      </c>
      <c r="C152" s="34">
        <v>22</v>
      </c>
      <c r="D152" s="34" t="s">
        <v>284</v>
      </c>
      <c r="E152" s="34">
        <v>55</v>
      </c>
      <c r="F152" s="33"/>
      <c r="G152" s="33"/>
      <c r="H152" s="33">
        <f>IF(INT(E152)&gt;='3월 등급 정보'!$C$3,1,IF(INT(E152)&gt;='3월 등급 정보'!$C$4,2,IF(INT(E152)&gt;='3월 등급 정보'!$C$5,3,IF(INT(E152)&gt;='3월 등급 정보'!$C$6,4,IF(INT(E152)&gt;='3월 등급 정보'!$C$7,5,IF(INT(E152)&gt;='3월 등급 정보'!$C$8,6,IF(INT(E152)&gt;='3월 등급 정보'!$C$9,7,IF(INT(E152)&gt;='3월 등급 정보'!$C$10,8,IF(INT(E152)&gt;='3월 등급 정보'!$C$11,9)))))))))</f>
        <v>5</v>
      </c>
      <c r="I152" s="34">
        <v>52</v>
      </c>
      <c r="J152" s="33"/>
      <c r="K152" s="33"/>
      <c r="L152" s="33">
        <f>IF(INT(I152)&gt;='3월 등급 정보'!$D$3,1,IF(INT(I152)&gt;='3월 등급 정보'!$D$4,2,IF(INT(I152)&gt;='3월 등급 정보'!$D$5,3,IF(INT(I152)&gt;='3월 등급 정보'!$D$6,4,IF(INT(I152)&gt;='3월 등급 정보'!$D$7,5,IF(INT(I152)&gt;='3월 등급 정보'!$D$8,6,IF(INT(I152)&gt;='3월 등급 정보'!$D$9,7,IF(INT(I152)&gt;='3월 등급 정보'!$D$10,8,IF(INT(I152)&gt;='3월 등급 정보'!$D$11,9)))))))))</f>
        <v>4</v>
      </c>
      <c r="M152" s="34">
        <v>50</v>
      </c>
      <c r="N152" s="33"/>
      <c r="O152" s="33"/>
      <c r="P152" s="33">
        <f>IF(INT(M152)&gt;='3월 등급 정보'!$E$3,1,IF(INT(M152)&gt;='3월 등급 정보'!$E$4,2,IF(INT(M152)&gt;='3월 등급 정보'!$E$5,3,IF(INT(M152)&gt;='3월 등급 정보'!$E$6,4,IF(INT(M152)&gt;='3월 등급 정보'!$E$7,5,IF(INT(M152)&gt;='3월 등급 정보'!$E$8,6,IF(INT(M152)&gt;='3월 등급 정보'!$E$9,7,IF(INT(M152)&gt;='3월 등급 정보'!$E$10,8,IF(INT(M152)&gt;='3월 등급 정보'!$E$11,9)))))))))</f>
        <v>5</v>
      </c>
      <c r="Q152" s="34">
        <v>26.5</v>
      </c>
      <c r="R152" s="33"/>
      <c r="S152" s="33"/>
      <c r="T152" s="33">
        <f>IF(INT(Q152)&gt;='3월 등급 정보'!$F$3,1,IF(INT(Q152)&gt;='3월 등급 정보'!$F$4,2,IF(INT(Q152)&gt;='3월 등급 정보'!$F$5,3,IF(INT(Q152)&gt;='3월 등급 정보'!$F$6,4,IF(INT(Q152)&gt;='3월 등급 정보'!$F$7,5,IF(INT(Q152)&gt;='3월 등급 정보'!$F$8,6,IF(INT(Q152)&gt;='3월 등급 정보'!$F$9,7,IF(INT(Q152)&gt;='3월 등급 정보'!$F$10,8,IF(INT(Q152)&gt;='3월 등급 정보'!$F$11,9)))))))))</f>
        <v>5</v>
      </c>
      <c r="U152" s="34">
        <v>29</v>
      </c>
      <c r="V152" s="33"/>
      <c r="W152" s="33"/>
      <c r="X152" s="33">
        <f>IF(INT(U152)&gt;='3월 등급 정보'!$G$3,1,IF(INT(U152)&gt;='3월 등급 정보'!$G$4,2,IF(INT(U152)&gt;='3월 등급 정보'!$G$5,3,IF(INT(U152)&gt;='3월 등급 정보'!$G$6,4,IF(INT(U152)&gt;='3월 등급 정보'!$G$7,5,IF(INT(U152)&gt;='3월 등급 정보'!$G$8,6,IF(INT(U152)&gt;='3월 등급 정보'!$G$9,7,IF(INT(U152)&gt;='3월 등급 정보'!$G$10,8,IF(INT(U152)&gt;='3월 등급 정보'!$G$11,9)))))))))</f>
        <v>4</v>
      </c>
      <c r="Y152" s="34">
        <v>28</v>
      </c>
      <c r="Z152" s="33"/>
      <c r="AA152" s="33"/>
      <c r="AB152" s="33">
        <f>IF(INT(Y152)&gt;='3월 등급 정보'!$H$3,1,IF(INT(Y152)&gt;='3월 등급 정보'!$H$4,2,IF(INT(Y152)&gt;='3월 등급 정보'!$H$5,3,IF(INT(Y152)&gt;='3월 등급 정보'!$H$6,4,IF(INT(Y152)&gt;='3월 등급 정보'!$H$7,5,IF(INT(Y152)&gt;='3월 등급 정보'!$H$8,6,IF(INT(Y152)&gt;='3월 등급 정보'!$H$9,7,IF(INT(Y152)&gt;='3월 등급 정보'!$H$10,8,IF(INT(Y152)&gt;='3월 등급 정보'!$H$11,9)))))))))</f>
        <v>4</v>
      </c>
      <c r="AC152" s="33">
        <f>E152+I152+M152+Q152+U152</f>
        <v>212.5</v>
      </c>
      <c r="AD152" s="33">
        <f>RANK(AC152,$AC$3:$AC$273)</f>
        <v>150</v>
      </c>
    </row>
    <row r="153" spans="1:30" ht="17.25" customHeight="1">
      <c r="A153" s="33" t="s">
        <v>26</v>
      </c>
      <c r="B153" s="34">
        <v>2</v>
      </c>
      <c r="C153" s="34">
        <v>27</v>
      </c>
      <c r="D153" s="34" t="s">
        <v>78</v>
      </c>
      <c r="E153" s="34">
        <v>45</v>
      </c>
      <c r="F153" s="33"/>
      <c r="G153" s="33"/>
      <c r="H153" s="33">
        <f>IF(INT(E153)&gt;='3월 등급 정보'!$C$3,1,IF(INT(E153)&gt;='3월 등급 정보'!$C$4,2,IF(INT(E153)&gt;='3월 등급 정보'!$C$5,3,IF(INT(E153)&gt;='3월 등급 정보'!$C$6,4,IF(INT(E153)&gt;='3월 등급 정보'!$C$7,5,IF(INT(E153)&gt;='3월 등급 정보'!$C$8,6,IF(INT(E153)&gt;='3월 등급 정보'!$C$9,7,IF(INT(E153)&gt;='3월 등급 정보'!$C$10,8,IF(INT(E153)&gt;='3월 등급 정보'!$C$11,9)))))))))</f>
        <v>6</v>
      </c>
      <c r="I153" s="34">
        <v>52</v>
      </c>
      <c r="J153" s="33"/>
      <c r="K153" s="33"/>
      <c r="L153" s="33">
        <f>IF(INT(I153)&gt;='3월 등급 정보'!$D$3,1,IF(INT(I153)&gt;='3월 등급 정보'!$D$4,2,IF(INT(I153)&gt;='3월 등급 정보'!$D$5,3,IF(INT(I153)&gt;='3월 등급 정보'!$D$6,4,IF(INT(I153)&gt;='3월 등급 정보'!$D$7,5,IF(INT(I153)&gt;='3월 등급 정보'!$D$8,6,IF(INT(I153)&gt;='3월 등급 정보'!$D$9,7,IF(INT(I153)&gt;='3월 등급 정보'!$D$10,8,IF(INT(I153)&gt;='3월 등급 정보'!$D$11,9)))))))))</f>
        <v>4</v>
      </c>
      <c r="M153" s="34">
        <v>60</v>
      </c>
      <c r="N153" s="33"/>
      <c r="O153" s="33"/>
      <c r="P153" s="33">
        <f>IF(INT(M153)&gt;='3월 등급 정보'!$E$3,1,IF(INT(M153)&gt;='3월 등급 정보'!$E$4,2,IF(INT(M153)&gt;='3월 등급 정보'!$E$5,3,IF(INT(M153)&gt;='3월 등급 정보'!$E$6,4,IF(INT(M153)&gt;='3월 등급 정보'!$E$7,5,IF(INT(M153)&gt;='3월 등급 정보'!$E$8,6,IF(INT(M153)&gt;='3월 등급 정보'!$E$9,7,IF(INT(M153)&gt;='3월 등급 정보'!$E$10,8,IF(INT(M153)&gt;='3월 등급 정보'!$E$11,9)))))))))</f>
        <v>4</v>
      </c>
      <c r="Q153" s="34">
        <v>38.5</v>
      </c>
      <c r="R153" s="33"/>
      <c r="S153" s="33"/>
      <c r="T153" s="33">
        <f>IF(INT(Q153)&gt;='3월 등급 정보'!$F$3,1,IF(INT(Q153)&gt;='3월 등급 정보'!$F$4,2,IF(INT(Q153)&gt;='3월 등급 정보'!$F$5,3,IF(INT(Q153)&gt;='3월 등급 정보'!$F$6,4,IF(INT(Q153)&gt;='3월 등급 정보'!$F$7,5,IF(INT(Q153)&gt;='3월 등급 정보'!$F$8,6,IF(INT(Q153)&gt;='3월 등급 정보'!$F$9,7,IF(INT(Q153)&gt;='3월 등급 정보'!$F$10,8,IF(INT(Q153)&gt;='3월 등급 정보'!$F$11,9)))))))))</f>
        <v>3</v>
      </c>
      <c r="U153" s="34">
        <v>16.5</v>
      </c>
      <c r="V153" s="33"/>
      <c r="W153" s="33"/>
      <c r="X153" s="33">
        <f>IF(INT(U153)&gt;='3월 등급 정보'!$G$3,1,IF(INT(U153)&gt;='3월 등급 정보'!$G$4,2,IF(INT(U153)&gt;='3월 등급 정보'!$G$5,3,IF(INT(U153)&gt;='3월 등급 정보'!$G$6,4,IF(INT(U153)&gt;='3월 등급 정보'!$G$7,5,IF(INT(U153)&gt;='3월 등급 정보'!$G$8,6,IF(INT(U153)&gt;='3월 등급 정보'!$G$9,7,IF(INT(U153)&gt;='3월 등급 정보'!$G$10,8,IF(INT(U153)&gt;='3월 등급 정보'!$G$11,9)))))))))</f>
        <v>6</v>
      </c>
      <c r="Y153" s="34">
        <v>23</v>
      </c>
      <c r="Z153" s="33"/>
      <c r="AA153" s="33"/>
      <c r="AB153" s="33">
        <f>IF(INT(Y153)&gt;='3월 등급 정보'!$H$3,1,IF(INT(Y153)&gt;='3월 등급 정보'!$H$4,2,IF(INT(Y153)&gt;='3월 등급 정보'!$H$5,3,IF(INT(Y153)&gt;='3월 등급 정보'!$H$6,4,IF(INT(Y153)&gt;='3월 등급 정보'!$H$7,5,IF(INT(Y153)&gt;='3월 등급 정보'!$H$8,6,IF(INT(Y153)&gt;='3월 등급 정보'!$H$9,7,IF(INT(Y153)&gt;='3월 등급 정보'!$H$10,8,IF(INT(Y153)&gt;='3월 등급 정보'!$H$11,9)))))))))</f>
        <v>5</v>
      </c>
      <c r="AC153" s="33">
        <f>E153+I153+M153+Q153+U153</f>
        <v>212</v>
      </c>
      <c r="AD153" s="33">
        <f>RANK(AC153,$AC$3:$AC$273)</f>
        <v>151</v>
      </c>
    </row>
    <row r="154" spans="1:30" ht="17.25" customHeight="1">
      <c r="A154" s="33" t="s">
        <v>26</v>
      </c>
      <c r="B154" s="34">
        <v>9</v>
      </c>
      <c r="C154" s="34">
        <v>16</v>
      </c>
      <c r="D154" s="34" t="s">
        <v>253</v>
      </c>
      <c r="E154" s="34">
        <v>59</v>
      </c>
      <c r="F154" s="33"/>
      <c r="G154" s="33"/>
      <c r="H154" s="33">
        <f>IF(INT(E154)&gt;='3월 등급 정보'!$C$3,1,IF(INT(E154)&gt;='3월 등급 정보'!$C$4,2,IF(INT(E154)&gt;='3월 등급 정보'!$C$5,3,IF(INT(E154)&gt;='3월 등급 정보'!$C$6,4,IF(INT(E154)&gt;='3월 등급 정보'!$C$7,5,IF(INT(E154)&gt;='3월 등급 정보'!$C$8,6,IF(INT(E154)&gt;='3월 등급 정보'!$C$9,7,IF(INT(E154)&gt;='3월 등급 정보'!$C$10,8,IF(INT(E154)&gt;='3월 등급 정보'!$C$11,9)))))))))</f>
        <v>5</v>
      </c>
      <c r="I154" s="34">
        <v>44</v>
      </c>
      <c r="J154" s="33"/>
      <c r="K154" s="33"/>
      <c r="L154" s="33">
        <f>IF(INT(I154)&gt;='3월 등급 정보'!$D$3,1,IF(INT(I154)&gt;='3월 등급 정보'!$D$4,2,IF(INT(I154)&gt;='3월 등급 정보'!$D$5,3,IF(INT(I154)&gt;='3월 등급 정보'!$D$6,4,IF(INT(I154)&gt;='3월 등급 정보'!$D$7,5,IF(INT(I154)&gt;='3월 등급 정보'!$D$8,6,IF(INT(I154)&gt;='3월 등급 정보'!$D$9,7,IF(INT(I154)&gt;='3월 등급 정보'!$D$10,8,IF(INT(I154)&gt;='3월 등급 정보'!$D$11,9)))))))))</f>
        <v>5</v>
      </c>
      <c r="M154" s="34">
        <v>64</v>
      </c>
      <c r="N154" s="33"/>
      <c r="O154" s="33"/>
      <c r="P154" s="33">
        <f>IF(INT(M154)&gt;='3월 등급 정보'!$E$3,1,IF(INT(M154)&gt;='3월 등급 정보'!$E$4,2,IF(INT(M154)&gt;='3월 등급 정보'!$E$5,3,IF(INT(M154)&gt;='3월 등급 정보'!$E$6,4,IF(INT(M154)&gt;='3월 등급 정보'!$E$7,5,IF(INT(M154)&gt;='3월 등급 정보'!$E$8,6,IF(INT(M154)&gt;='3월 등급 정보'!$E$9,7,IF(INT(M154)&gt;='3월 등급 정보'!$E$10,8,IF(INT(M154)&gt;='3월 등급 정보'!$E$11,9)))))))))</f>
        <v>4</v>
      </c>
      <c r="Q154" s="34">
        <v>21.5</v>
      </c>
      <c r="R154" s="33"/>
      <c r="S154" s="33"/>
      <c r="T154" s="33">
        <f>IF(INT(Q154)&gt;='3월 등급 정보'!$F$3,1,IF(INT(Q154)&gt;='3월 등급 정보'!$F$4,2,IF(INT(Q154)&gt;='3월 등급 정보'!$F$5,3,IF(INT(Q154)&gt;='3월 등급 정보'!$F$6,4,IF(INT(Q154)&gt;='3월 등급 정보'!$F$7,5,IF(INT(Q154)&gt;='3월 등급 정보'!$F$8,6,IF(INT(Q154)&gt;='3월 등급 정보'!$F$9,7,IF(INT(Q154)&gt;='3월 등급 정보'!$F$10,8,IF(INT(Q154)&gt;='3월 등급 정보'!$F$11,9)))))))))</f>
        <v>6</v>
      </c>
      <c r="U154" s="34">
        <v>23</v>
      </c>
      <c r="V154" s="33"/>
      <c r="W154" s="33"/>
      <c r="X154" s="33">
        <f>IF(INT(U154)&gt;='3월 등급 정보'!$G$3,1,IF(INT(U154)&gt;='3월 등급 정보'!$G$4,2,IF(INT(U154)&gt;='3월 등급 정보'!$G$5,3,IF(INT(U154)&gt;='3월 등급 정보'!$G$6,4,IF(INT(U154)&gt;='3월 등급 정보'!$G$7,5,IF(INT(U154)&gt;='3월 등급 정보'!$G$8,6,IF(INT(U154)&gt;='3월 등급 정보'!$G$9,7,IF(INT(U154)&gt;='3월 등급 정보'!$G$10,8,IF(INT(U154)&gt;='3월 등급 정보'!$G$11,9)))))))))</f>
        <v>5</v>
      </c>
      <c r="Y154" s="34">
        <v>18</v>
      </c>
      <c r="Z154" s="33"/>
      <c r="AA154" s="33"/>
      <c r="AB154" s="33">
        <f>IF(INT(Y154)&gt;='3월 등급 정보'!$H$3,1,IF(INT(Y154)&gt;='3월 등급 정보'!$H$4,2,IF(INT(Y154)&gt;='3월 등급 정보'!$H$5,3,IF(INT(Y154)&gt;='3월 등급 정보'!$H$6,4,IF(INT(Y154)&gt;='3월 등급 정보'!$H$7,5,IF(INT(Y154)&gt;='3월 등급 정보'!$H$8,6,IF(INT(Y154)&gt;='3월 등급 정보'!$H$9,7,IF(INT(Y154)&gt;='3월 등급 정보'!$H$10,8,IF(INT(Y154)&gt;='3월 등급 정보'!$H$11,9)))))))))</f>
        <v>6</v>
      </c>
      <c r="AC154" s="33">
        <f>E154+I154+M154+Q154+U154</f>
        <v>211.5</v>
      </c>
      <c r="AD154" s="33">
        <f>RANK(AC154,$AC$3:$AC$273)</f>
        <v>152</v>
      </c>
    </row>
    <row r="155" spans="1:30" ht="17.25" customHeight="1">
      <c r="A155" s="33" t="s">
        <v>26</v>
      </c>
      <c r="B155" s="34">
        <v>9</v>
      </c>
      <c r="C155" s="34">
        <v>6</v>
      </c>
      <c r="D155" s="34" t="s">
        <v>163</v>
      </c>
      <c r="E155" s="34">
        <v>60</v>
      </c>
      <c r="F155" s="33"/>
      <c r="G155" s="33"/>
      <c r="H155" s="33">
        <f>IF(INT(E155)&gt;='3월 등급 정보'!$C$3,1,IF(INT(E155)&gt;='3월 등급 정보'!$C$4,2,IF(INT(E155)&gt;='3월 등급 정보'!$C$5,3,IF(INT(E155)&gt;='3월 등급 정보'!$C$6,4,IF(INT(E155)&gt;='3월 등급 정보'!$C$7,5,IF(INT(E155)&gt;='3월 등급 정보'!$C$8,6,IF(INT(E155)&gt;='3월 등급 정보'!$C$9,7,IF(INT(E155)&gt;='3월 등급 정보'!$C$10,8,IF(INT(E155)&gt;='3월 등급 정보'!$C$11,9)))))))))</f>
        <v>4</v>
      </c>
      <c r="I155" s="34">
        <v>38</v>
      </c>
      <c r="J155" s="33"/>
      <c r="K155" s="33"/>
      <c r="L155" s="33">
        <f>IF(INT(I155)&gt;='3월 등급 정보'!$D$3,1,IF(INT(I155)&gt;='3월 등급 정보'!$D$4,2,IF(INT(I155)&gt;='3월 등급 정보'!$D$5,3,IF(INT(I155)&gt;='3월 등급 정보'!$D$6,4,IF(INT(I155)&gt;='3월 등급 정보'!$D$7,5,IF(INT(I155)&gt;='3월 등급 정보'!$D$8,6,IF(INT(I155)&gt;='3월 등급 정보'!$D$9,7,IF(INT(I155)&gt;='3월 등급 정보'!$D$10,8,IF(INT(I155)&gt;='3월 등급 정보'!$D$11,9)))))))))</f>
        <v>5</v>
      </c>
      <c r="M155" s="34">
        <v>61</v>
      </c>
      <c r="N155" s="33"/>
      <c r="O155" s="33"/>
      <c r="P155" s="33">
        <f>IF(INT(M155)&gt;='3월 등급 정보'!$E$3,1,IF(INT(M155)&gt;='3월 등급 정보'!$E$4,2,IF(INT(M155)&gt;='3월 등급 정보'!$E$5,3,IF(INT(M155)&gt;='3월 등급 정보'!$E$6,4,IF(INT(M155)&gt;='3월 등급 정보'!$E$7,5,IF(INT(M155)&gt;='3월 등급 정보'!$E$8,6,IF(INT(M155)&gt;='3월 등급 정보'!$E$9,7,IF(INT(M155)&gt;='3월 등급 정보'!$E$10,8,IF(INT(M155)&gt;='3월 등급 정보'!$E$11,9)))))))))</f>
        <v>4</v>
      </c>
      <c r="Q155" s="34">
        <v>29.5</v>
      </c>
      <c r="R155" s="33"/>
      <c r="S155" s="33"/>
      <c r="T155" s="33">
        <f>IF(INT(Q155)&gt;='3월 등급 정보'!$F$3,1,IF(INT(Q155)&gt;='3월 등급 정보'!$F$4,2,IF(INT(Q155)&gt;='3월 등급 정보'!$F$5,3,IF(INT(Q155)&gt;='3월 등급 정보'!$F$6,4,IF(INT(Q155)&gt;='3월 등급 정보'!$F$7,5,IF(INT(Q155)&gt;='3월 등급 정보'!$F$8,6,IF(INT(Q155)&gt;='3월 등급 정보'!$F$9,7,IF(INT(Q155)&gt;='3월 등급 정보'!$F$10,8,IF(INT(Q155)&gt;='3월 등급 정보'!$F$11,9)))))))))</f>
        <v>5</v>
      </c>
      <c r="U155" s="34">
        <v>22.5</v>
      </c>
      <c r="V155" s="33"/>
      <c r="W155" s="33"/>
      <c r="X155" s="33">
        <f>IF(INT(U155)&gt;='3월 등급 정보'!$G$3,1,IF(INT(U155)&gt;='3월 등급 정보'!$G$4,2,IF(INT(U155)&gt;='3월 등급 정보'!$G$5,3,IF(INT(U155)&gt;='3월 등급 정보'!$G$6,4,IF(INT(U155)&gt;='3월 등급 정보'!$G$7,5,IF(INT(U155)&gt;='3월 등급 정보'!$G$8,6,IF(INT(U155)&gt;='3월 등급 정보'!$G$9,7,IF(INT(U155)&gt;='3월 등급 정보'!$G$10,8,IF(INT(U155)&gt;='3월 등급 정보'!$G$11,9)))))))))</f>
        <v>5</v>
      </c>
      <c r="Y155" s="34">
        <v>28</v>
      </c>
      <c r="Z155" s="33"/>
      <c r="AA155" s="33"/>
      <c r="AB155" s="33">
        <f>IF(INT(Y155)&gt;='3월 등급 정보'!$H$3,1,IF(INT(Y155)&gt;='3월 등급 정보'!$H$4,2,IF(INT(Y155)&gt;='3월 등급 정보'!$H$5,3,IF(INT(Y155)&gt;='3월 등급 정보'!$H$6,4,IF(INT(Y155)&gt;='3월 등급 정보'!$H$7,5,IF(INT(Y155)&gt;='3월 등급 정보'!$H$8,6,IF(INT(Y155)&gt;='3월 등급 정보'!$H$9,7,IF(INT(Y155)&gt;='3월 등급 정보'!$H$10,8,IF(INT(Y155)&gt;='3월 등급 정보'!$H$11,9)))))))))</f>
        <v>4</v>
      </c>
      <c r="AC155" s="33">
        <f>E155+I155+M155+Q155+U155</f>
        <v>211</v>
      </c>
      <c r="AD155" s="33">
        <f>RANK(AC155,$AC$3:$AC$273)</f>
        <v>153</v>
      </c>
    </row>
    <row r="156" spans="1:30" ht="17.25" customHeight="1">
      <c r="A156" s="33" t="s">
        <v>26</v>
      </c>
      <c r="B156" s="34">
        <v>1</v>
      </c>
      <c r="C156" s="34">
        <v>8</v>
      </c>
      <c r="D156" s="34" t="s">
        <v>35</v>
      </c>
      <c r="E156" s="34">
        <v>57</v>
      </c>
      <c r="F156" s="33"/>
      <c r="G156" s="33"/>
      <c r="H156" s="33">
        <f>IF(INT(E156)&gt;='3월 등급 정보'!$C$3,1,IF(INT(E156)&gt;='3월 등급 정보'!$C$4,2,IF(INT(E156)&gt;='3월 등급 정보'!$C$5,3,IF(INT(E156)&gt;='3월 등급 정보'!$C$6,4,IF(INT(E156)&gt;='3월 등급 정보'!$C$7,5,IF(INT(E156)&gt;='3월 등급 정보'!$C$8,6,IF(INT(E156)&gt;='3월 등급 정보'!$C$9,7,IF(INT(E156)&gt;='3월 등급 정보'!$C$10,8,IF(INT(E156)&gt;='3월 등급 정보'!$C$11,9)))))))))</f>
        <v>5</v>
      </c>
      <c r="I156" s="34">
        <v>45</v>
      </c>
      <c r="J156" s="33"/>
      <c r="K156" s="33"/>
      <c r="L156" s="33">
        <f>IF(INT(I156)&gt;='3월 등급 정보'!$D$3,1,IF(INT(I156)&gt;='3월 등급 정보'!$D$4,2,IF(INT(I156)&gt;='3월 등급 정보'!$D$5,3,IF(INT(I156)&gt;='3월 등급 정보'!$D$6,4,IF(INT(I156)&gt;='3월 등급 정보'!$D$7,5,IF(INT(I156)&gt;='3월 등급 정보'!$D$8,6,IF(INT(I156)&gt;='3월 등급 정보'!$D$9,7,IF(INT(I156)&gt;='3월 등급 정보'!$D$10,8,IF(INT(I156)&gt;='3월 등급 정보'!$D$11,9)))))))))</f>
        <v>5</v>
      </c>
      <c r="M156" s="34">
        <v>52</v>
      </c>
      <c r="N156" s="33"/>
      <c r="O156" s="33"/>
      <c r="P156" s="33">
        <f>IF(INT(M156)&gt;='3월 등급 정보'!$E$3,1,IF(INT(M156)&gt;='3월 등급 정보'!$E$4,2,IF(INT(M156)&gt;='3월 등급 정보'!$E$5,3,IF(INT(M156)&gt;='3월 등급 정보'!$E$6,4,IF(INT(M156)&gt;='3월 등급 정보'!$E$7,5,IF(INT(M156)&gt;='3월 등급 정보'!$E$8,6,IF(INT(M156)&gt;='3월 등급 정보'!$E$9,7,IF(INT(M156)&gt;='3월 등급 정보'!$E$10,8,IF(INT(M156)&gt;='3월 등급 정보'!$E$11,9)))))))))</f>
        <v>5</v>
      </c>
      <c r="Q156" s="34">
        <v>32</v>
      </c>
      <c r="R156" s="33"/>
      <c r="S156" s="33"/>
      <c r="T156" s="33">
        <f>IF(INT(Q156)&gt;='3월 등급 정보'!$F$3,1,IF(INT(Q156)&gt;='3월 등급 정보'!$F$4,2,IF(INT(Q156)&gt;='3월 등급 정보'!$F$5,3,IF(INT(Q156)&gt;='3월 등급 정보'!$F$6,4,IF(INT(Q156)&gt;='3월 등급 정보'!$F$7,5,IF(INT(Q156)&gt;='3월 등급 정보'!$F$8,6,IF(INT(Q156)&gt;='3월 등급 정보'!$F$9,7,IF(INT(Q156)&gt;='3월 등급 정보'!$F$10,8,IF(INT(Q156)&gt;='3월 등급 정보'!$F$11,9)))))))))</f>
        <v>5</v>
      </c>
      <c r="U156" s="34">
        <v>24.5</v>
      </c>
      <c r="V156" s="33"/>
      <c r="W156" s="33"/>
      <c r="X156" s="33">
        <f>IF(INT(U156)&gt;='3월 등급 정보'!$G$3,1,IF(INT(U156)&gt;='3월 등급 정보'!$G$4,2,IF(INT(U156)&gt;='3월 등급 정보'!$G$5,3,IF(INT(U156)&gt;='3월 등급 정보'!$G$6,4,IF(INT(U156)&gt;='3월 등급 정보'!$G$7,5,IF(INT(U156)&gt;='3월 등급 정보'!$G$8,6,IF(INT(U156)&gt;='3월 등급 정보'!$G$9,7,IF(INT(U156)&gt;='3월 등급 정보'!$G$10,8,IF(INT(U156)&gt;='3월 등급 정보'!$G$11,9)))))))))</f>
        <v>5</v>
      </c>
      <c r="Y156" s="34">
        <v>31</v>
      </c>
      <c r="Z156" s="33"/>
      <c r="AA156" s="33"/>
      <c r="AB156" s="33">
        <f>IF(INT(Y156)&gt;='3월 등급 정보'!$H$3,1,IF(INT(Y156)&gt;='3월 등급 정보'!$H$4,2,IF(INT(Y156)&gt;='3월 등급 정보'!$H$5,3,IF(INT(Y156)&gt;='3월 등급 정보'!$H$6,4,IF(INT(Y156)&gt;='3월 등급 정보'!$H$7,5,IF(INT(Y156)&gt;='3월 등급 정보'!$H$8,6,IF(INT(Y156)&gt;='3월 등급 정보'!$H$9,7,IF(INT(Y156)&gt;='3월 등급 정보'!$H$10,8,IF(INT(Y156)&gt;='3월 등급 정보'!$H$11,9)))))))))</f>
        <v>3</v>
      </c>
      <c r="AC156" s="33">
        <f>E156+I156+M156+Q156+U156</f>
        <v>210.5</v>
      </c>
      <c r="AD156" s="33">
        <f>RANK(AC156,$AC$3:$AC$273)</f>
        <v>154</v>
      </c>
    </row>
    <row r="157" spans="1:30" ht="17.25" customHeight="1">
      <c r="A157" s="33" t="s">
        <v>26</v>
      </c>
      <c r="B157" s="34">
        <v>3</v>
      </c>
      <c r="C157" s="34">
        <v>20</v>
      </c>
      <c r="D157" s="34" t="s">
        <v>44</v>
      </c>
      <c r="E157" s="34">
        <v>46</v>
      </c>
      <c r="F157" s="33"/>
      <c r="G157" s="33"/>
      <c r="H157" s="33">
        <f>IF(INT(E157)&gt;='3월 등급 정보'!$C$3,1,IF(INT(E157)&gt;='3월 등급 정보'!$C$4,2,IF(INT(E157)&gt;='3월 등급 정보'!$C$5,3,IF(INT(E157)&gt;='3월 등급 정보'!$C$6,4,IF(INT(E157)&gt;='3월 등급 정보'!$C$7,5,IF(INT(E157)&gt;='3월 등급 정보'!$C$8,6,IF(INT(E157)&gt;='3월 등급 정보'!$C$9,7,IF(INT(E157)&gt;='3월 등급 정보'!$C$10,8,IF(INT(E157)&gt;='3월 등급 정보'!$C$11,9)))))))))</f>
        <v>6</v>
      </c>
      <c r="I157" s="34">
        <v>60</v>
      </c>
      <c r="J157" s="33"/>
      <c r="K157" s="33"/>
      <c r="L157" s="33">
        <f>IF(INT(I157)&gt;='3월 등급 정보'!$D$3,1,IF(INT(I157)&gt;='3월 등급 정보'!$D$4,2,IF(INT(I157)&gt;='3월 등급 정보'!$D$5,3,IF(INT(I157)&gt;='3월 등급 정보'!$D$6,4,IF(INT(I157)&gt;='3월 등급 정보'!$D$7,5,IF(INT(I157)&gt;='3월 등급 정보'!$D$8,6,IF(INT(I157)&gt;='3월 등급 정보'!$D$9,7,IF(INT(I157)&gt;='3월 등급 정보'!$D$10,8,IF(INT(I157)&gt;='3월 등급 정보'!$D$11,9)))))))))</f>
        <v>4</v>
      </c>
      <c r="M157" s="34">
        <v>50</v>
      </c>
      <c r="N157" s="33"/>
      <c r="O157" s="33"/>
      <c r="P157" s="33">
        <f>IF(INT(M157)&gt;='3월 등급 정보'!$E$3,1,IF(INT(M157)&gt;='3월 등급 정보'!$E$4,2,IF(INT(M157)&gt;='3월 등급 정보'!$E$5,3,IF(INT(M157)&gt;='3월 등급 정보'!$E$6,4,IF(INT(M157)&gt;='3월 등급 정보'!$E$7,5,IF(INT(M157)&gt;='3월 등급 정보'!$E$8,6,IF(INT(M157)&gt;='3월 등급 정보'!$E$9,7,IF(INT(M157)&gt;='3월 등급 정보'!$E$10,8,IF(INT(M157)&gt;='3월 등급 정보'!$E$11,9)))))))))</f>
        <v>5</v>
      </c>
      <c r="Q157" s="34">
        <v>26</v>
      </c>
      <c r="R157" s="33"/>
      <c r="S157" s="33"/>
      <c r="T157" s="33">
        <f>IF(INT(Q157)&gt;='3월 등급 정보'!$F$3,1,IF(INT(Q157)&gt;='3월 등급 정보'!$F$4,2,IF(INT(Q157)&gt;='3월 등급 정보'!$F$5,3,IF(INT(Q157)&gt;='3월 등급 정보'!$F$6,4,IF(INT(Q157)&gt;='3월 등급 정보'!$F$7,5,IF(INT(Q157)&gt;='3월 등급 정보'!$F$8,6,IF(INT(Q157)&gt;='3월 등급 정보'!$F$9,7,IF(INT(Q157)&gt;='3월 등급 정보'!$F$10,8,IF(INT(Q157)&gt;='3월 등급 정보'!$F$11,9)))))))))</f>
        <v>5</v>
      </c>
      <c r="U157" s="34">
        <v>27.5</v>
      </c>
      <c r="V157" s="33"/>
      <c r="W157" s="33"/>
      <c r="X157" s="33">
        <f>IF(INT(U157)&gt;='3월 등급 정보'!$G$3,1,IF(INT(U157)&gt;='3월 등급 정보'!$G$4,2,IF(INT(U157)&gt;='3월 등급 정보'!$G$5,3,IF(INT(U157)&gt;='3월 등급 정보'!$G$6,4,IF(INT(U157)&gt;='3월 등급 정보'!$G$7,5,IF(INT(U157)&gt;='3월 등급 정보'!$G$8,6,IF(INT(U157)&gt;='3월 등급 정보'!$G$9,7,IF(INT(U157)&gt;='3월 등급 정보'!$G$10,8,IF(INT(U157)&gt;='3월 등급 정보'!$G$11,9)))))))))</f>
        <v>4</v>
      </c>
      <c r="Y157" s="34">
        <v>37</v>
      </c>
      <c r="Z157" s="33"/>
      <c r="AA157" s="33"/>
      <c r="AB157" s="33">
        <f>IF(INT(Y157)&gt;='3월 등급 정보'!$H$3,1,IF(INT(Y157)&gt;='3월 등급 정보'!$H$4,2,IF(INT(Y157)&gt;='3월 등급 정보'!$H$5,3,IF(INT(Y157)&gt;='3월 등급 정보'!$H$6,4,IF(INT(Y157)&gt;='3월 등급 정보'!$H$7,5,IF(INT(Y157)&gt;='3월 등급 정보'!$H$8,6,IF(INT(Y157)&gt;='3월 등급 정보'!$H$9,7,IF(INT(Y157)&gt;='3월 등급 정보'!$H$10,8,IF(INT(Y157)&gt;='3월 등급 정보'!$H$11,9)))))))))</f>
        <v>2</v>
      </c>
      <c r="AC157" s="33">
        <f>E157+I157+M157+Q157+U157</f>
        <v>209.5</v>
      </c>
      <c r="AD157" s="33">
        <f>RANK(AC157,$AC$3:$AC$273)</f>
        <v>155</v>
      </c>
    </row>
    <row r="158" spans="1:30" ht="17.25" customHeight="1">
      <c r="A158" s="33" t="s">
        <v>26</v>
      </c>
      <c r="B158" s="34">
        <v>7</v>
      </c>
      <c r="C158" s="34">
        <v>27</v>
      </c>
      <c r="D158" s="34" t="s">
        <v>213</v>
      </c>
      <c r="E158" s="34">
        <v>63</v>
      </c>
      <c r="F158" s="33"/>
      <c r="G158" s="33"/>
      <c r="H158" s="33">
        <f>IF(INT(E158)&gt;='3월 등급 정보'!$C$3,1,IF(INT(E158)&gt;='3월 등급 정보'!$C$4,2,IF(INT(E158)&gt;='3월 등급 정보'!$C$5,3,IF(INT(E158)&gt;='3월 등급 정보'!$C$6,4,IF(INT(E158)&gt;='3월 등급 정보'!$C$7,5,IF(INT(E158)&gt;='3월 등급 정보'!$C$8,6,IF(INT(E158)&gt;='3월 등급 정보'!$C$9,7,IF(INT(E158)&gt;='3월 등급 정보'!$C$10,8,IF(INT(E158)&gt;='3월 등급 정보'!$C$11,9)))))))))</f>
        <v>4</v>
      </c>
      <c r="I158" s="34">
        <v>28</v>
      </c>
      <c r="J158" s="33"/>
      <c r="K158" s="33"/>
      <c r="L158" s="33">
        <f>IF(INT(I158)&gt;='3월 등급 정보'!$D$3,1,IF(INT(I158)&gt;='3월 등급 정보'!$D$4,2,IF(INT(I158)&gt;='3월 등급 정보'!$D$5,3,IF(INT(I158)&gt;='3월 등급 정보'!$D$6,4,IF(INT(I158)&gt;='3월 등급 정보'!$D$7,5,IF(INT(I158)&gt;='3월 등급 정보'!$D$8,6,IF(INT(I158)&gt;='3월 등급 정보'!$D$9,7,IF(INT(I158)&gt;='3월 등급 정보'!$D$10,8,IF(INT(I158)&gt;='3월 등급 정보'!$D$11,9)))))))))</f>
        <v>6</v>
      </c>
      <c r="M158" s="34">
        <v>56</v>
      </c>
      <c r="N158" s="33"/>
      <c r="O158" s="33"/>
      <c r="P158" s="33">
        <f>IF(INT(M158)&gt;='3월 등급 정보'!$E$3,1,IF(INT(M158)&gt;='3월 등급 정보'!$E$4,2,IF(INT(M158)&gt;='3월 등급 정보'!$E$5,3,IF(INT(M158)&gt;='3월 등급 정보'!$E$6,4,IF(INT(M158)&gt;='3월 등급 정보'!$E$7,5,IF(INT(M158)&gt;='3월 등급 정보'!$E$8,6,IF(INT(M158)&gt;='3월 등급 정보'!$E$9,7,IF(INT(M158)&gt;='3월 등급 정보'!$E$10,8,IF(INT(M158)&gt;='3월 등급 정보'!$E$11,9)))))))))</f>
        <v>5</v>
      </c>
      <c r="Q158" s="34">
        <v>36</v>
      </c>
      <c r="R158" s="33"/>
      <c r="S158" s="33"/>
      <c r="T158" s="33">
        <f>IF(INT(Q158)&gt;='3월 등급 정보'!$F$3,1,IF(INT(Q158)&gt;='3월 등급 정보'!$F$4,2,IF(INT(Q158)&gt;='3월 등급 정보'!$F$5,3,IF(INT(Q158)&gt;='3월 등급 정보'!$F$6,4,IF(INT(Q158)&gt;='3월 등급 정보'!$F$7,5,IF(INT(Q158)&gt;='3월 등급 정보'!$F$8,6,IF(INT(Q158)&gt;='3월 등급 정보'!$F$9,7,IF(INT(Q158)&gt;='3월 등급 정보'!$F$10,8,IF(INT(Q158)&gt;='3월 등급 정보'!$F$11,9)))))))))</f>
        <v>4</v>
      </c>
      <c r="U158" s="34">
        <v>25</v>
      </c>
      <c r="V158" s="33"/>
      <c r="W158" s="33"/>
      <c r="X158" s="33">
        <f>IF(INT(U158)&gt;='3월 등급 정보'!$G$3,1,IF(INT(U158)&gt;='3월 등급 정보'!$G$4,2,IF(INT(U158)&gt;='3월 등급 정보'!$G$5,3,IF(INT(U158)&gt;='3월 등급 정보'!$G$6,4,IF(INT(U158)&gt;='3월 등급 정보'!$G$7,5,IF(INT(U158)&gt;='3월 등급 정보'!$G$8,6,IF(INT(U158)&gt;='3월 등급 정보'!$G$9,7,IF(INT(U158)&gt;='3월 등급 정보'!$G$10,8,IF(INT(U158)&gt;='3월 등급 정보'!$G$11,9)))))))))</f>
        <v>5</v>
      </c>
      <c r="Y158" s="34">
        <v>29</v>
      </c>
      <c r="Z158" s="33"/>
      <c r="AA158" s="33"/>
      <c r="AB158" s="33">
        <f>IF(INT(Y158)&gt;='3월 등급 정보'!$H$3,1,IF(INT(Y158)&gt;='3월 등급 정보'!$H$4,2,IF(INT(Y158)&gt;='3월 등급 정보'!$H$5,3,IF(INT(Y158)&gt;='3월 등급 정보'!$H$6,4,IF(INT(Y158)&gt;='3월 등급 정보'!$H$7,5,IF(INT(Y158)&gt;='3월 등급 정보'!$H$8,6,IF(INT(Y158)&gt;='3월 등급 정보'!$H$9,7,IF(INT(Y158)&gt;='3월 등급 정보'!$H$10,8,IF(INT(Y158)&gt;='3월 등급 정보'!$H$11,9)))))))))</f>
        <v>4</v>
      </c>
      <c r="AC158" s="33">
        <f>E158+I158+M158+Q158+U158</f>
        <v>208</v>
      </c>
      <c r="AD158" s="33">
        <f>RANK(AC158,$AC$3:$AC$273)</f>
        <v>156</v>
      </c>
    </row>
    <row r="159" spans="1:30" ht="17.25" customHeight="1">
      <c r="A159" s="33" t="s">
        <v>26</v>
      </c>
      <c r="B159" s="34">
        <v>4</v>
      </c>
      <c r="C159" s="34">
        <v>16</v>
      </c>
      <c r="D159" s="34" t="s">
        <v>121</v>
      </c>
      <c r="E159" s="34">
        <v>45</v>
      </c>
      <c r="F159" s="33"/>
      <c r="G159" s="33"/>
      <c r="H159" s="33">
        <f>IF(INT(E159)&gt;='3월 등급 정보'!$C$3,1,IF(INT(E159)&gt;='3월 등급 정보'!$C$4,2,IF(INT(E159)&gt;='3월 등급 정보'!$C$5,3,IF(INT(E159)&gt;='3월 등급 정보'!$C$6,4,IF(INT(E159)&gt;='3월 등급 정보'!$C$7,5,IF(INT(E159)&gt;='3월 등급 정보'!$C$8,6,IF(INT(E159)&gt;='3월 등급 정보'!$C$9,7,IF(INT(E159)&gt;='3월 등급 정보'!$C$10,8,IF(INT(E159)&gt;='3월 등급 정보'!$C$11,9)))))))))</f>
        <v>6</v>
      </c>
      <c r="I159" s="34">
        <v>63</v>
      </c>
      <c r="J159" s="33"/>
      <c r="K159" s="33"/>
      <c r="L159" s="33">
        <f>IF(INT(I159)&gt;='3월 등급 정보'!$D$3,1,IF(INT(I159)&gt;='3월 등급 정보'!$D$4,2,IF(INT(I159)&gt;='3월 등급 정보'!$D$5,3,IF(INT(I159)&gt;='3월 등급 정보'!$D$6,4,IF(INT(I159)&gt;='3월 등급 정보'!$D$7,5,IF(INT(I159)&gt;='3월 등급 정보'!$D$8,6,IF(INT(I159)&gt;='3월 등급 정보'!$D$9,7,IF(INT(I159)&gt;='3월 등급 정보'!$D$10,8,IF(INT(I159)&gt;='3월 등급 정보'!$D$11,9)))))))))</f>
        <v>3</v>
      </c>
      <c r="M159" s="34">
        <v>47</v>
      </c>
      <c r="N159" s="33"/>
      <c r="O159" s="33"/>
      <c r="P159" s="33">
        <f>IF(INT(M159)&gt;='3월 등급 정보'!$E$3,1,IF(INT(M159)&gt;='3월 등급 정보'!$E$4,2,IF(INT(M159)&gt;='3월 등급 정보'!$E$5,3,IF(INT(M159)&gt;='3월 등급 정보'!$E$6,4,IF(INT(M159)&gt;='3월 등급 정보'!$E$7,5,IF(INT(M159)&gt;='3월 등급 정보'!$E$8,6,IF(INT(M159)&gt;='3월 등급 정보'!$E$9,7,IF(INT(M159)&gt;='3월 등급 정보'!$E$10,8,IF(INT(M159)&gt;='3월 등급 정보'!$E$11,9)))))))))</f>
        <v>6</v>
      </c>
      <c r="Q159" s="34">
        <v>21</v>
      </c>
      <c r="R159" s="33"/>
      <c r="S159" s="33"/>
      <c r="T159" s="33">
        <f>IF(INT(Q159)&gt;='3월 등급 정보'!$F$3,1,IF(INT(Q159)&gt;='3월 등급 정보'!$F$4,2,IF(INT(Q159)&gt;='3월 등급 정보'!$F$5,3,IF(INT(Q159)&gt;='3월 등급 정보'!$F$6,4,IF(INT(Q159)&gt;='3월 등급 정보'!$F$7,5,IF(INT(Q159)&gt;='3월 등급 정보'!$F$8,6,IF(INT(Q159)&gt;='3월 등급 정보'!$F$9,7,IF(INT(Q159)&gt;='3월 등급 정보'!$F$10,8,IF(INT(Q159)&gt;='3월 등급 정보'!$F$11,9)))))))))</f>
        <v>6</v>
      </c>
      <c r="U159" s="34">
        <v>31</v>
      </c>
      <c r="V159" s="33"/>
      <c r="W159" s="33"/>
      <c r="X159" s="33">
        <f>IF(INT(U159)&gt;='3월 등급 정보'!$G$3,1,IF(INT(U159)&gt;='3월 등급 정보'!$G$4,2,IF(INT(U159)&gt;='3월 등급 정보'!$G$5,3,IF(INT(U159)&gt;='3월 등급 정보'!$G$6,4,IF(INT(U159)&gt;='3월 등급 정보'!$G$7,5,IF(INT(U159)&gt;='3월 등급 정보'!$G$8,6,IF(INT(U159)&gt;='3월 등급 정보'!$G$9,7,IF(INT(U159)&gt;='3월 등급 정보'!$G$10,8,IF(INT(U159)&gt;='3월 등급 정보'!$G$11,9)))))))))</f>
        <v>4</v>
      </c>
      <c r="Y159" s="34">
        <v>27</v>
      </c>
      <c r="Z159" s="33"/>
      <c r="AA159" s="33"/>
      <c r="AB159" s="33">
        <f>IF(INT(Y159)&gt;='3월 등급 정보'!$H$3,1,IF(INT(Y159)&gt;='3월 등급 정보'!$H$4,2,IF(INT(Y159)&gt;='3월 등급 정보'!$H$5,3,IF(INT(Y159)&gt;='3월 등급 정보'!$H$6,4,IF(INT(Y159)&gt;='3월 등급 정보'!$H$7,5,IF(INT(Y159)&gt;='3월 등급 정보'!$H$8,6,IF(INT(Y159)&gt;='3월 등급 정보'!$H$9,7,IF(INT(Y159)&gt;='3월 등급 정보'!$H$10,8,IF(INT(Y159)&gt;='3월 등급 정보'!$H$11,9)))))))))</f>
        <v>4</v>
      </c>
      <c r="AC159" s="33">
        <f>E159+I159+M159+Q159+U159</f>
        <v>207</v>
      </c>
      <c r="AD159" s="33">
        <f>RANK(AC159,$AC$3:$AC$273)</f>
        <v>157</v>
      </c>
    </row>
    <row r="160" spans="1:30" ht="17.25" customHeight="1">
      <c r="A160" s="33" t="s">
        <v>26</v>
      </c>
      <c r="B160" s="34">
        <v>10</v>
      </c>
      <c r="C160" s="34">
        <v>18</v>
      </c>
      <c r="D160" s="34" t="s">
        <v>281</v>
      </c>
      <c r="E160" s="34">
        <v>64</v>
      </c>
      <c r="F160" s="33"/>
      <c r="G160" s="33"/>
      <c r="H160" s="33">
        <f>IF(INT(E160)&gt;='3월 등급 정보'!$C$3,1,IF(INT(E160)&gt;='3월 등급 정보'!$C$4,2,IF(INT(E160)&gt;='3월 등급 정보'!$C$5,3,IF(INT(E160)&gt;='3월 등급 정보'!$C$6,4,IF(INT(E160)&gt;='3월 등급 정보'!$C$7,5,IF(INT(E160)&gt;='3월 등급 정보'!$C$8,6,IF(INT(E160)&gt;='3월 등급 정보'!$C$9,7,IF(INT(E160)&gt;='3월 등급 정보'!$C$10,8,IF(INT(E160)&gt;='3월 등급 정보'!$C$11,9)))))))))</f>
        <v>4</v>
      </c>
      <c r="I160" s="34">
        <v>24</v>
      </c>
      <c r="J160" s="33"/>
      <c r="K160" s="33"/>
      <c r="L160" s="33">
        <f>IF(INT(I160)&gt;='3월 등급 정보'!$D$3,1,IF(INT(I160)&gt;='3월 등급 정보'!$D$4,2,IF(INT(I160)&gt;='3월 등급 정보'!$D$5,3,IF(INT(I160)&gt;='3월 등급 정보'!$D$6,4,IF(INT(I160)&gt;='3월 등급 정보'!$D$7,5,IF(INT(I160)&gt;='3월 등급 정보'!$D$8,6,IF(INT(I160)&gt;='3월 등급 정보'!$D$9,7,IF(INT(I160)&gt;='3월 등급 정보'!$D$10,8,IF(INT(I160)&gt;='3월 등급 정보'!$D$11,9)))))))))</f>
        <v>7</v>
      </c>
      <c r="M160" s="34">
        <v>47</v>
      </c>
      <c r="N160" s="33"/>
      <c r="O160" s="33"/>
      <c r="P160" s="33">
        <f>IF(INT(M160)&gt;='3월 등급 정보'!$E$3,1,IF(INT(M160)&gt;='3월 등급 정보'!$E$4,2,IF(INT(M160)&gt;='3월 등급 정보'!$E$5,3,IF(INT(M160)&gt;='3월 등급 정보'!$E$6,4,IF(INT(M160)&gt;='3월 등급 정보'!$E$7,5,IF(INT(M160)&gt;='3월 등급 정보'!$E$8,6,IF(INT(M160)&gt;='3월 등급 정보'!$E$9,7,IF(INT(M160)&gt;='3월 등급 정보'!$E$10,8,IF(INT(M160)&gt;='3월 등급 정보'!$E$11,9)))))))))</f>
        <v>6</v>
      </c>
      <c r="Q160" s="34">
        <v>39.5</v>
      </c>
      <c r="R160" s="33"/>
      <c r="S160" s="33"/>
      <c r="T160" s="33">
        <f>IF(INT(Q160)&gt;='3월 등급 정보'!$F$3,1,IF(INT(Q160)&gt;='3월 등급 정보'!$F$4,2,IF(INT(Q160)&gt;='3월 등급 정보'!$F$5,3,IF(INT(Q160)&gt;='3월 등급 정보'!$F$6,4,IF(INT(Q160)&gt;='3월 등급 정보'!$F$7,5,IF(INT(Q160)&gt;='3월 등급 정보'!$F$8,6,IF(INT(Q160)&gt;='3월 등급 정보'!$F$9,7,IF(INT(Q160)&gt;='3월 등급 정보'!$F$10,8,IF(INT(Q160)&gt;='3월 등급 정보'!$F$11,9)))))))))</f>
        <v>3</v>
      </c>
      <c r="U160" s="34">
        <v>32.5</v>
      </c>
      <c r="V160" s="33"/>
      <c r="W160" s="33"/>
      <c r="X160" s="33">
        <f>IF(INT(U160)&gt;='3월 등급 정보'!$G$3,1,IF(INT(U160)&gt;='3월 등급 정보'!$G$4,2,IF(INT(U160)&gt;='3월 등급 정보'!$G$5,3,IF(INT(U160)&gt;='3월 등급 정보'!$G$6,4,IF(INT(U160)&gt;='3월 등급 정보'!$G$7,5,IF(INT(U160)&gt;='3월 등급 정보'!$G$8,6,IF(INT(U160)&gt;='3월 등급 정보'!$G$9,7,IF(INT(U160)&gt;='3월 등급 정보'!$G$10,8,IF(INT(U160)&gt;='3월 등급 정보'!$G$11,9)))))))))</f>
        <v>3</v>
      </c>
      <c r="Y160" s="34">
        <v>35</v>
      </c>
      <c r="Z160" s="33"/>
      <c r="AA160" s="33"/>
      <c r="AB160" s="33">
        <f>IF(INT(Y160)&gt;='3월 등급 정보'!$H$3,1,IF(INT(Y160)&gt;='3월 등급 정보'!$H$4,2,IF(INT(Y160)&gt;='3월 등급 정보'!$H$5,3,IF(INT(Y160)&gt;='3월 등급 정보'!$H$6,4,IF(INT(Y160)&gt;='3월 등급 정보'!$H$7,5,IF(INT(Y160)&gt;='3월 등급 정보'!$H$8,6,IF(INT(Y160)&gt;='3월 등급 정보'!$H$9,7,IF(INT(Y160)&gt;='3월 등급 정보'!$H$10,8,IF(INT(Y160)&gt;='3월 등급 정보'!$H$11,9)))))))))</f>
        <v>2</v>
      </c>
      <c r="AC160" s="33">
        <f>E160+I160+M160+Q160+U160</f>
        <v>207</v>
      </c>
      <c r="AD160" s="33">
        <f>RANK(AC160,$AC$3:$AC$273)</f>
        <v>157</v>
      </c>
    </row>
    <row r="161" spans="1:30" ht="17.25" customHeight="1">
      <c r="A161" s="33" t="s">
        <v>26</v>
      </c>
      <c r="B161" s="34">
        <v>6</v>
      </c>
      <c r="C161" s="34">
        <v>7</v>
      </c>
      <c r="D161" s="34" t="s">
        <v>165</v>
      </c>
      <c r="E161" s="34">
        <v>61</v>
      </c>
      <c r="F161" s="33"/>
      <c r="G161" s="33"/>
      <c r="H161" s="33">
        <f>IF(INT(E161)&gt;='3월 등급 정보'!$C$3,1,IF(INT(E161)&gt;='3월 등급 정보'!$C$4,2,IF(INT(E161)&gt;='3월 등급 정보'!$C$5,3,IF(INT(E161)&gt;='3월 등급 정보'!$C$6,4,IF(INT(E161)&gt;='3월 등급 정보'!$C$7,5,IF(INT(E161)&gt;='3월 등급 정보'!$C$8,6,IF(INT(E161)&gt;='3월 등급 정보'!$C$9,7,IF(INT(E161)&gt;='3월 등급 정보'!$C$10,8,IF(INT(E161)&gt;='3월 등급 정보'!$C$11,9)))))))))</f>
        <v>4</v>
      </c>
      <c r="I161" s="34">
        <v>42</v>
      </c>
      <c r="J161" s="33"/>
      <c r="K161" s="33"/>
      <c r="L161" s="33">
        <f>IF(INT(I161)&gt;='3월 등급 정보'!$D$3,1,IF(INT(I161)&gt;='3월 등급 정보'!$D$4,2,IF(INT(I161)&gt;='3월 등급 정보'!$D$5,3,IF(INT(I161)&gt;='3월 등급 정보'!$D$6,4,IF(INT(I161)&gt;='3월 등급 정보'!$D$7,5,IF(INT(I161)&gt;='3월 등급 정보'!$D$8,6,IF(INT(I161)&gt;='3월 등급 정보'!$D$9,7,IF(INT(I161)&gt;='3월 등급 정보'!$D$10,8,IF(INT(I161)&gt;='3월 등급 정보'!$D$11,9)))))))))</f>
        <v>5</v>
      </c>
      <c r="M161" s="34">
        <v>58</v>
      </c>
      <c r="N161" s="33"/>
      <c r="O161" s="33"/>
      <c r="P161" s="33">
        <f>IF(INT(M161)&gt;='3월 등급 정보'!$E$3,1,IF(INT(M161)&gt;='3월 등급 정보'!$E$4,2,IF(INT(M161)&gt;='3월 등급 정보'!$E$5,3,IF(INT(M161)&gt;='3월 등급 정보'!$E$6,4,IF(INT(M161)&gt;='3월 등급 정보'!$E$7,5,IF(INT(M161)&gt;='3월 등급 정보'!$E$8,6,IF(INT(M161)&gt;='3월 등급 정보'!$E$9,7,IF(INT(M161)&gt;='3월 등급 정보'!$E$10,8,IF(INT(M161)&gt;='3월 등급 정보'!$E$11,9)))))))))</f>
        <v>5</v>
      </c>
      <c r="Q161" s="34">
        <v>32</v>
      </c>
      <c r="R161" s="33"/>
      <c r="S161" s="33"/>
      <c r="T161" s="33">
        <f>IF(INT(Q161)&gt;='3월 등급 정보'!$F$3,1,IF(INT(Q161)&gt;='3월 등급 정보'!$F$4,2,IF(INT(Q161)&gt;='3월 등급 정보'!$F$5,3,IF(INT(Q161)&gt;='3월 등급 정보'!$F$6,4,IF(INT(Q161)&gt;='3월 등급 정보'!$F$7,5,IF(INT(Q161)&gt;='3월 등급 정보'!$F$8,6,IF(INT(Q161)&gt;='3월 등급 정보'!$F$9,7,IF(INT(Q161)&gt;='3월 등급 정보'!$F$10,8,IF(INT(Q161)&gt;='3월 등급 정보'!$F$11,9)))))))))</f>
        <v>5</v>
      </c>
      <c r="U161" s="34">
        <v>12.5</v>
      </c>
      <c r="V161" s="33"/>
      <c r="W161" s="33"/>
      <c r="X161" s="33">
        <f>IF(INT(U161)&gt;='3월 등급 정보'!$G$3,1,IF(INT(U161)&gt;='3월 등급 정보'!$G$4,2,IF(INT(U161)&gt;='3월 등급 정보'!$G$5,3,IF(INT(U161)&gt;='3월 등급 정보'!$G$6,4,IF(INT(U161)&gt;='3월 등급 정보'!$G$7,5,IF(INT(U161)&gt;='3월 등급 정보'!$G$8,6,IF(INT(U161)&gt;='3월 등급 정보'!$G$9,7,IF(INT(U161)&gt;='3월 등급 정보'!$G$10,8,IF(INT(U161)&gt;='3월 등급 정보'!$G$11,9)))))))))</f>
        <v>7</v>
      </c>
      <c r="Y161" s="34">
        <v>30</v>
      </c>
      <c r="Z161" s="33"/>
      <c r="AA161" s="33"/>
      <c r="AB161" s="33">
        <f>IF(INT(Y161)&gt;='3월 등급 정보'!$H$3,1,IF(INT(Y161)&gt;='3월 등급 정보'!$H$4,2,IF(INT(Y161)&gt;='3월 등급 정보'!$H$5,3,IF(INT(Y161)&gt;='3월 등급 정보'!$H$6,4,IF(INT(Y161)&gt;='3월 등급 정보'!$H$7,5,IF(INT(Y161)&gt;='3월 등급 정보'!$H$8,6,IF(INT(Y161)&gt;='3월 등급 정보'!$H$9,7,IF(INT(Y161)&gt;='3월 등급 정보'!$H$10,8,IF(INT(Y161)&gt;='3월 등급 정보'!$H$11,9)))))))))</f>
        <v>3</v>
      </c>
      <c r="AC161" s="33">
        <f>E161+I161+M161+Q161+U161</f>
        <v>205.5</v>
      </c>
      <c r="AD161" s="33">
        <f>RANK(AC161,$AC$3:$AC$273)</f>
        <v>159</v>
      </c>
    </row>
    <row r="162" spans="1:30" ht="17.25" customHeight="1">
      <c r="A162" s="33" t="s">
        <v>26</v>
      </c>
      <c r="B162" s="34">
        <v>10</v>
      </c>
      <c r="C162" s="34">
        <v>23</v>
      </c>
      <c r="D162" s="34" t="s">
        <v>285</v>
      </c>
      <c r="E162" s="34">
        <v>79</v>
      </c>
      <c r="F162" s="33"/>
      <c r="G162" s="33"/>
      <c r="H162" s="33">
        <f>IF(INT(E162)&gt;='3월 등급 정보'!$C$3,1,IF(INT(E162)&gt;='3월 등급 정보'!$C$4,2,IF(INT(E162)&gt;='3월 등급 정보'!$C$5,3,IF(INT(E162)&gt;='3월 등급 정보'!$C$6,4,IF(INT(E162)&gt;='3월 등급 정보'!$C$7,5,IF(INT(E162)&gt;='3월 등급 정보'!$C$8,6,IF(INT(E162)&gt;='3월 등급 정보'!$C$9,7,IF(INT(E162)&gt;='3월 등급 정보'!$C$10,8,IF(INT(E162)&gt;='3월 등급 정보'!$C$11,9)))))))))</f>
        <v>2</v>
      </c>
      <c r="I162" s="34">
        <v>20</v>
      </c>
      <c r="J162" s="33"/>
      <c r="K162" s="33"/>
      <c r="L162" s="33">
        <f>IF(INT(I162)&gt;='3월 등급 정보'!$D$3,1,IF(INT(I162)&gt;='3월 등급 정보'!$D$4,2,IF(INT(I162)&gt;='3월 등급 정보'!$D$5,3,IF(INT(I162)&gt;='3월 등급 정보'!$D$6,4,IF(INT(I162)&gt;='3월 등급 정보'!$D$7,5,IF(INT(I162)&gt;='3월 등급 정보'!$D$8,6,IF(INT(I162)&gt;='3월 등급 정보'!$D$9,7,IF(INT(I162)&gt;='3월 등급 정보'!$D$10,8,IF(INT(I162)&gt;='3월 등급 정보'!$D$11,9)))))))))</f>
        <v>7</v>
      </c>
      <c r="M162" s="34">
        <v>63</v>
      </c>
      <c r="N162" s="33"/>
      <c r="O162" s="33"/>
      <c r="P162" s="33">
        <f>IF(INT(M162)&gt;='3월 등급 정보'!$E$3,1,IF(INT(M162)&gt;='3월 등급 정보'!$E$4,2,IF(INT(M162)&gt;='3월 등급 정보'!$E$5,3,IF(INT(M162)&gt;='3월 등급 정보'!$E$6,4,IF(INT(M162)&gt;='3월 등급 정보'!$E$7,5,IF(INT(M162)&gt;='3월 등급 정보'!$E$8,6,IF(INT(M162)&gt;='3월 등급 정보'!$E$9,7,IF(INT(M162)&gt;='3월 등급 정보'!$E$10,8,IF(INT(M162)&gt;='3월 등급 정보'!$E$11,9)))))))))</f>
        <v>4</v>
      </c>
      <c r="Q162" s="34">
        <v>34</v>
      </c>
      <c r="R162" s="33"/>
      <c r="S162" s="33"/>
      <c r="T162" s="33">
        <f>IF(INT(Q162)&gt;='3월 등급 정보'!$F$3,1,IF(INT(Q162)&gt;='3월 등급 정보'!$F$4,2,IF(INT(Q162)&gt;='3월 등급 정보'!$F$5,3,IF(INT(Q162)&gt;='3월 등급 정보'!$F$6,4,IF(INT(Q162)&gt;='3월 등급 정보'!$F$7,5,IF(INT(Q162)&gt;='3월 등급 정보'!$F$8,6,IF(INT(Q162)&gt;='3월 등급 정보'!$F$9,7,IF(INT(Q162)&gt;='3월 등급 정보'!$F$10,8,IF(INT(Q162)&gt;='3월 등급 정보'!$F$11,9)))))))))</f>
        <v>4</v>
      </c>
      <c r="U162" s="34">
        <v>9.5</v>
      </c>
      <c r="V162" s="33"/>
      <c r="W162" s="33"/>
      <c r="X162" s="33">
        <f>IF(INT(U162)&gt;='3월 등급 정보'!$G$3,1,IF(INT(U162)&gt;='3월 등급 정보'!$G$4,2,IF(INT(U162)&gt;='3월 등급 정보'!$G$5,3,IF(INT(U162)&gt;='3월 등급 정보'!$G$6,4,IF(INT(U162)&gt;='3월 등급 정보'!$G$7,5,IF(INT(U162)&gt;='3월 등급 정보'!$G$8,6,IF(INT(U162)&gt;='3월 등급 정보'!$G$9,7,IF(INT(U162)&gt;='3월 등급 정보'!$G$10,8,IF(INT(U162)&gt;='3월 등급 정보'!$G$11,9)))))))))</f>
        <v>8</v>
      </c>
      <c r="Y162" s="34">
        <v>23</v>
      </c>
      <c r="Z162" s="33"/>
      <c r="AA162" s="33"/>
      <c r="AB162" s="33">
        <f>IF(INT(Y162)&gt;='3월 등급 정보'!$H$3,1,IF(INT(Y162)&gt;='3월 등급 정보'!$H$4,2,IF(INT(Y162)&gt;='3월 등급 정보'!$H$5,3,IF(INT(Y162)&gt;='3월 등급 정보'!$H$6,4,IF(INT(Y162)&gt;='3월 등급 정보'!$H$7,5,IF(INT(Y162)&gt;='3월 등급 정보'!$H$8,6,IF(INT(Y162)&gt;='3월 등급 정보'!$H$9,7,IF(INT(Y162)&gt;='3월 등급 정보'!$H$10,8,IF(INT(Y162)&gt;='3월 등급 정보'!$H$11,9)))))))))</f>
        <v>5</v>
      </c>
      <c r="AC162" s="33">
        <f>E162+I162+M162+Q162+U162</f>
        <v>205.5</v>
      </c>
      <c r="AD162" s="33">
        <f>RANK(AC162,$AC$3:$AC$273)</f>
        <v>159</v>
      </c>
    </row>
    <row r="163" spans="1:30" ht="17.25" customHeight="1">
      <c r="A163" s="33" t="s">
        <v>26</v>
      </c>
      <c r="B163" s="34">
        <v>7</v>
      </c>
      <c r="C163" s="34">
        <v>6</v>
      </c>
      <c r="D163" s="34" t="s">
        <v>192</v>
      </c>
      <c r="E163" s="34">
        <v>46</v>
      </c>
      <c r="F163" s="33"/>
      <c r="G163" s="33"/>
      <c r="H163" s="33">
        <f>IF(INT(E163)&gt;='3월 등급 정보'!$C$3,1,IF(INT(E163)&gt;='3월 등급 정보'!$C$4,2,IF(INT(E163)&gt;='3월 등급 정보'!$C$5,3,IF(INT(E163)&gt;='3월 등급 정보'!$C$6,4,IF(INT(E163)&gt;='3월 등급 정보'!$C$7,5,IF(INT(E163)&gt;='3월 등급 정보'!$C$8,6,IF(INT(E163)&gt;='3월 등급 정보'!$C$9,7,IF(INT(E163)&gt;='3월 등급 정보'!$C$10,8,IF(INT(E163)&gt;='3월 등급 정보'!$C$11,9)))))))))</f>
        <v>6</v>
      </c>
      <c r="I163" s="34">
        <v>51</v>
      </c>
      <c r="J163" s="33"/>
      <c r="K163" s="33"/>
      <c r="L163" s="33">
        <f>IF(INT(I163)&gt;='3월 등급 정보'!$D$3,1,IF(INT(I163)&gt;='3월 등급 정보'!$D$4,2,IF(INT(I163)&gt;='3월 등급 정보'!$D$5,3,IF(INT(I163)&gt;='3월 등급 정보'!$D$6,4,IF(INT(I163)&gt;='3월 등급 정보'!$D$7,5,IF(INT(I163)&gt;='3월 등급 정보'!$D$8,6,IF(INT(I163)&gt;='3월 등급 정보'!$D$9,7,IF(INT(I163)&gt;='3월 등급 정보'!$D$10,8,IF(INT(I163)&gt;='3월 등급 정보'!$D$11,9)))))))))</f>
        <v>4</v>
      </c>
      <c r="M163" s="34">
        <v>66</v>
      </c>
      <c r="N163" s="33"/>
      <c r="O163" s="33"/>
      <c r="P163" s="33">
        <f>IF(INT(M163)&gt;='3월 등급 정보'!$E$3,1,IF(INT(M163)&gt;='3월 등급 정보'!$E$4,2,IF(INT(M163)&gt;='3월 등급 정보'!$E$5,3,IF(INT(M163)&gt;='3월 등급 정보'!$E$6,4,IF(INT(M163)&gt;='3월 등급 정보'!$E$7,5,IF(INT(M163)&gt;='3월 등급 정보'!$E$8,6,IF(INT(M163)&gt;='3월 등급 정보'!$E$9,7,IF(INT(M163)&gt;='3월 등급 정보'!$E$10,8,IF(INT(M163)&gt;='3월 등급 정보'!$E$11,9)))))))))</f>
        <v>4</v>
      </c>
      <c r="Q163" s="34">
        <v>28.5</v>
      </c>
      <c r="R163" s="33"/>
      <c r="S163" s="33"/>
      <c r="T163" s="33">
        <f>IF(INT(Q163)&gt;='3월 등급 정보'!$F$3,1,IF(INT(Q163)&gt;='3월 등급 정보'!$F$4,2,IF(INT(Q163)&gt;='3월 등급 정보'!$F$5,3,IF(INT(Q163)&gt;='3월 등급 정보'!$F$6,4,IF(INT(Q163)&gt;='3월 등급 정보'!$F$7,5,IF(INT(Q163)&gt;='3월 등급 정보'!$F$8,6,IF(INT(Q163)&gt;='3월 등급 정보'!$F$9,7,IF(INT(Q163)&gt;='3월 등급 정보'!$F$10,8,IF(INT(Q163)&gt;='3월 등급 정보'!$F$11,9)))))))))</f>
        <v>5</v>
      </c>
      <c r="U163" s="34">
        <v>13.5</v>
      </c>
      <c r="V163" s="33"/>
      <c r="W163" s="33"/>
      <c r="X163" s="33">
        <f>IF(INT(U163)&gt;='3월 등급 정보'!$G$3,1,IF(INT(U163)&gt;='3월 등급 정보'!$G$4,2,IF(INT(U163)&gt;='3월 등급 정보'!$G$5,3,IF(INT(U163)&gt;='3월 등급 정보'!$G$6,4,IF(INT(U163)&gt;='3월 등급 정보'!$G$7,5,IF(INT(U163)&gt;='3월 등급 정보'!$G$8,6,IF(INT(U163)&gt;='3월 등급 정보'!$G$9,7,IF(INT(U163)&gt;='3월 등급 정보'!$G$10,8,IF(INT(U163)&gt;='3월 등급 정보'!$G$11,9)))))))))</f>
        <v>7</v>
      </c>
      <c r="Y163" s="34">
        <v>14</v>
      </c>
      <c r="Z163" s="33"/>
      <c r="AA163" s="33"/>
      <c r="AB163" s="33">
        <f>IF(INT(Y163)&gt;='3월 등급 정보'!$H$3,1,IF(INT(Y163)&gt;='3월 등급 정보'!$H$4,2,IF(INT(Y163)&gt;='3월 등급 정보'!$H$5,3,IF(INT(Y163)&gt;='3월 등급 정보'!$H$6,4,IF(INT(Y163)&gt;='3월 등급 정보'!$H$7,5,IF(INT(Y163)&gt;='3월 등급 정보'!$H$8,6,IF(INT(Y163)&gt;='3월 등급 정보'!$H$9,7,IF(INT(Y163)&gt;='3월 등급 정보'!$H$10,8,IF(INT(Y163)&gt;='3월 등급 정보'!$H$11,9)))))))))</f>
        <v>7</v>
      </c>
      <c r="AC163" s="33">
        <f>E163+I163+M163+Q163+U163</f>
        <v>205</v>
      </c>
      <c r="AD163" s="33">
        <f>RANK(AC163,$AC$3:$AC$273)</f>
        <v>161</v>
      </c>
    </row>
    <row r="164" spans="1:30" ht="17.25" customHeight="1">
      <c r="A164" s="33" t="s">
        <v>26</v>
      </c>
      <c r="B164" s="34">
        <v>10</v>
      </c>
      <c r="C164" s="34">
        <v>12</v>
      </c>
      <c r="D164" s="34" t="s">
        <v>275</v>
      </c>
      <c r="E164" s="34">
        <v>70</v>
      </c>
      <c r="F164" s="33"/>
      <c r="G164" s="33"/>
      <c r="H164" s="33">
        <f>IF(INT(E164)&gt;='3월 등급 정보'!$C$3,1,IF(INT(E164)&gt;='3월 등급 정보'!$C$4,2,IF(INT(E164)&gt;='3월 등급 정보'!$C$5,3,IF(INT(E164)&gt;='3월 등급 정보'!$C$6,4,IF(INT(E164)&gt;='3월 등급 정보'!$C$7,5,IF(INT(E164)&gt;='3월 등급 정보'!$C$8,6,IF(INT(E164)&gt;='3월 등급 정보'!$C$9,7,IF(INT(E164)&gt;='3월 등급 정보'!$C$10,8,IF(INT(E164)&gt;='3월 등급 정보'!$C$11,9)))))))))</f>
        <v>3</v>
      </c>
      <c r="I164" s="34">
        <v>23</v>
      </c>
      <c r="J164" s="33"/>
      <c r="K164" s="33"/>
      <c r="L164" s="33">
        <f>IF(INT(I164)&gt;='3월 등급 정보'!$D$3,1,IF(INT(I164)&gt;='3월 등급 정보'!$D$4,2,IF(INT(I164)&gt;='3월 등급 정보'!$D$5,3,IF(INT(I164)&gt;='3월 등급 정보'!$D$6,4,IF(INT(I164)&gt;='3월 등급 정보'!$D$7,5,IF(INT(I164)&gt;='3월 등급 정보'!$D$8,6,IF(INT(I164)&gt;='3월 등급 정보'!$D$9,7,IF(INT(I164)&gt;='3월 등급 정보'!$D$10,8,IF(INT(I164)&gt;='3월 등급 정보'!$D$11,9)))))))))</f>
        <v>7</v>
      </c>
      <c r="M164" s="34">
        <v>56</v>
      </c>
      <c r="N164" s="33"/>
      <c r="O164" s="33"/>
      <c r="P164" s="33">
        <f>IF(INT(M164)&gt;='3월 등급 정보'!$E$3,1,IF(INT(M164)&gt;='3월 등급 정보'!$E$4,2,IF(INT(M164)&gt;='3월 등급 정보'!$E$5,3,IF(INT(M164)&gt;='3월 등급 정보'!$E$6,4,IF(INT(M164)&gt;='3월 등급 정보'!$E$7,5,IF(INT(M164)&gt;='3월 등급 정보'!$E$8,6,IF(INT(M164)&gt;='3월 등급 정보'!$E$9,7,IF(INT(M164)&gt;='3월 등급 정보'!$E$10,8,IF(INT(M164)&gt;='3월 등급 정보'!$E$11,9)))))))))</f>
        <v>5</v>
      </c>
      <c r="Q164" s="34">
        <v>32</v>
      </c>
      <c r="R164" s="33"/>
      <c r="S164" s="33"/>
      <c r="T164" s="33">
        <f>IF(INT(Q164)&gt;='3월 등급 정보'!$F$3,1,IF(INT(Q164)&gt;='3월 등급 정보'!$F$4,2,IF(INT(Q164)&gt;='3월 등급 정보'!$F$5,3,IF(INT(Q164)&gt;='3월 등급 정보'!$F$6,4,IF(INT(Q164)&gt;='3월 등급 정보'!$F$7,5,IF(INT(Q164)&gt;='3월 등급 정보'!$F$8,6,IF(INT(Q164)&gt;='3월 등급 정보'!$F$9,7,IF(INT(Q164)&gt;='3월 등급 정보'!$F$10,8,IF(INT(Q164)&gt;='3월 등급 정보'!$F$11,9)))))))))</f>
        <v>5</v>
      </c>
      <c r="U164" s="34">
        <v>24</v>
      </c>
      <c r="V164" s="33"/>
      <c r="W164" s="33"/>
      <c r="X164" s="33">
        <f>IF(INT(U164)&gt;='3월 등급 정보'!$G$3,1,IF(INT(U164)&gt;='3월 등급 정보'!$G$4,2,IF(INT(U164)&gt;='3월 등급 정보'!$G$5,3,IF(INT(U164)&gt;='3월 등급 정보'!$G$6,4,IF(INT(U164)&gt;='3월 등급 정보'!$G$7,5,IF(INT(U164)&gt;='3월 등급 정보'!$G$8,6,IF(INT(U164)&gt;='3월 등급 정보'!$G$9,7,IF(INT(U164)&gt;='3월 등급 정보'!$G$10,8,IF(INT(U164)&gt;='3월 등급 정보'!$G$11,9)))))))))</f>
        <v>5</v>
      </c>
      <c r="Y164" s="34">
        <v>44</v>
      </c>
      <c r="Z164" s="33"/>
      <c r="AA164" s="33"/>
      <c r="AB164" s="33">
        <f>IF(INT(Y164)&gt;='3월 등급 정보'!$H$3,1,IF(INT(Y164)&gt;='3월 등급 정보'!$H$4,2,IF(INT(Y164)&gt;='3월 등급 정보'!$H$5,3,IF(INT(Y164)&gt;='3월 등급 정보'!$H$6,4,IF(INT(Y164)&gt;='3월 등급 정보'!$H$7,5,IF(INT(Y164)&gt;='3월 등급 정보'!$H$8,6,IF(INT(Y164)&gt;='3월 등급 정보'!$H$9,7,IF(INT(Y164)&gt;='3월 등급 정보'!$H$10,8,IF(INT(Y164)&gt;='3월 등급 정보'!$H$11,9)))))))))</f>
        <v>1</v>
      </c>
      <c r="AC164" s="33">
        <f>E164+I164+M164+Q164+U164</f>
        <v>205</v>
      </c>
      <c r="AD164" s="33">
        <f>RANK(AC164,$AC$3:$AC$273)</f>
        <v>161</v>
      </c>
    </row>
    <row r="165" spans="1:30" ht="17.25" customHeight="1">
      <c r="A165" s="33" t="s">
        <v>26</v>
      </c>
      <c r="B165" s="34">
        <v>2</v>
      </c>
      <c r="C165" s="34">
        <v>28</v>
      </c>
      <c r="D165" s="34" t="s">
        <v>79</v>
      </c>
      <c r="E165" s="34">
        <v>59</v>
      </c>
      <c r="F165" s="33"/>
      <c r="G165" s="33"/>
      <c r="H165" s="33">
        <f>IF(INT(E165)&gt;='3월 등급 정보'!$C$3,1,IF(INT(E165)&gt;='3월 등급 정보'!$C$4,2,IF(INT(E165)&gt;='3월 등급 정보'!$C$5,3,IF(INT(E165)&gt;='3월 등급 정보'!$C$6,4,IF(INT(E165)&gt;='3월 등급 정보'!$C$7,5,IF(INT(E165)&gt;='3월 등급 정보'!$C$8,6,IF(INT(E165)&gt;='3월 등급 정보'!$C$9,7,IF(INT(E165)&gt;='3월 등급 정보'!$C$10,8,IF(INT(E165)&gt;='3월 등급 정보'!$C$11,9)))))))))</f>
        <v>5</v>
      </c>
      <c r="I165" s="34">
        <v>45</v>
      </c>
      <c r="J165" s="33"/>
      <c r="K165" s="33"/>
      <c r="L165" s="33">
        <f>IF(INT(I165)&gt;='3월 등급 정보'!$D$3,1,IF(INT(I165)&gt;='3월 등급 정보'!$D$4,2,IF(INT(I165)&gt;='3월 등급 정보'!$D$5,3,IF(INT(I165)&gt;='3월 등급 정보'!$D$6,4,IF(INT(I165)&gt;='3월 등급 정보'!$D$7,5,IF(INT(I165)&gt;='3월 등급 정보'!$D$8,6,IF(INT(I165)&gt;='3월 등급 정보'!$D$9,7,IF(INT(I165)&gt;='3월 등급 정보'!$D$10,8,IF(INT(I165)&gt;='3월 등급 정보'!$D$11,9)))))))))</f>
        <v>5</v>
      </c>
      <c r="M165" s="34">
        <v>52</v>
      </c>
      <c r="N165" s="33"/>
      <c r="O165" s="33"/>
      <c r="P165" s="33">
        <f>IF(INT(M165)&gt;='3월 등급 정보'!$E$3,1,IF(INT(M165)&gt;='3월 등급 정보'!$E$4,2,IF(INT(M165)&gt;='3월 등급 정보'!$E$5,3,IF(INT(M165)&gt;='3월 등급 정보'!$E$6,4,IF(INT(M165)&gt;='3월 등급 정보'!$E$7,5,IF(INT(M165)&gt;='3월 등급 정보'!$E$8,6,IF(INT(M165)&gt;='3월 등급 정보'!$E$9,7,IF(INT(M165)&gt;='3월 등급 정보'!$E$10,8,IF(INT(M165)&gt;='3월 등급 정보'!$E$11,9)))))))))</f>
        <v>5</v>
      </c>
      <c r="Q165" s="34">
        <v>23</v>
      </c>
      <c r="R165" s="33"/>
      <c r="S165" s="33"/>
      <c r="T165" s="33">
        <f>IF(INT(Q165)&gt;='3월 등급 정보'!$F$3,1,IF(INT(Q165)&gt;='3월 등급 정보'!$F$4,2,IF(INT(Q165)&gt;='3월 등급 정보'!$F$5,3,IF(INT(Q165)&gt;='3월 등급 정보'!$F$6,4,IF(INT(Q165)&gt;='3월 등급 정보'!$F$7,5,IF(INT(Q165)&gt;='3월 등급 정보'!$F$8,6,IF(INT(Q165)&gt;='3월 등급 정보'!$F$9,7,IF(INT(Q165)&gt;='3월 등급 정보'!$F$10,8,IF(INT(Q165)&gt;='3월 등급 정보'!$F$11,9)))))))))</f>
        <v>6</v>
      </c>
      <c r="U165" s="34">
        <v>25</v>
      </c>
      <c r="V165" s="33"/>
      <c r="W165" s="33"/>
      <c r="X165" s="33">
        <f>IF(INT(U165)&gt;='3월 등급 정보'!$G$3,1,IF(INT(U165)&gt;='3월 등급 정보'!$G$4,2,IF(INT(U165)&gt;='3월 등급 정보'!$G$5,3,IF(INT(U165)&gt;='3월 등급 정보'!$G$6,4,IF(INT(U165)&gt;='3월 등급 정보'!$G$7,5,IF(INT(U165)&gt;='3월 등급 정보'!$G$8,6,IF(INT(U165)&gt;='3월 등급 정보'!$G$9,7,IF(INT(U165)&gt;='3월 등급 정보'!$G$10,8,IF(INT(U165)&gt;='3월 등급 정보'!$G$11,9)))))))))</f>
        <v>5</v>
      </c>
      <c r="Y165" s="34">
        <v>23</v>
      </c>
      <c r="Z165" s="33"/>
      <c r="AA165" s="33"/>
      <c r="AB165" s="33">
        <f>IF(INT(Y165)&gt;='3월 등급 정보'!$H$3,1,IF(INT(Y165)&gt;='3월 등급 정보'!$H$4,2,IF(INT(Y165)&gt;='3월 등급 정보'!$H$5,3,IF(INT(Y165)&gt;='3월 등급 정보'!$H$6,4,IF(INT(Y165)&gt;='3월 등급 정보'!$H$7,5,IF(INT(Y165)&gt;='3월 등급 정보'!$H$8,6,IF(INT(Y165)&gt;='3월 등급 정보'!$H$9,7,IF(INT(Y165)&gt;='3월 등급 정보'!$H$10,8,IF(INT(Y165)&gt;='3월 등급 정보'!$H$11,9)))))))))</f>
        <v>5</v>
      </c>
      <c r="AC165" s="33">
        <f>E165+I165+M165+Q165+U165</f>
        <v>204</v>
      </c>
      <c r="AD165" s="33">
        <f>RANK(AC165,$AC$3:$AC$273)</f>
        <v>163</v>
      </c>
    </row>
    <row r="166" spans="1:30" ht="17.25" customHeight="1">
      <c r="A166" s="33" t="s">
        <v>26</v>
      </c>
      <c r="B166" s="34">
        <v>8</v>
      </c>
      <c r="C166" s="34">
        <v>7</v>
      </c>
      <c r="D166" s="34" t="s">
        <v>219</v>
      </c>
      <c r="E166" s="34">
        <v>56</v>
      </c>
      <c r="F166" s="33"/>
      <c r="G166" s="33"/>
      <c r="H166" s="33">
        <f>IF(INT(E166)&gt;='3월 등급 정보'!$C$3,1,IF(INT(E166)&gt;='3월 등급 정보'!$C$4,2,IF(INT(E166)&gt;='3월 등급 정보'!$C$5,3,IF(INT(E166)&gt;='3월 등급 정보'!$C$6,4,IF(INT(E166)&gt;='3월 등급 정보'!$C$7,5,IF(INT(E166)&gt;='3월 등급 정보'!$C$8,6,IF(INT(E166)&gt;='3월 등급 정보'!$C$9,7,IF(INT(E166)&gt;='3월 등급 정보'!$C$10,8,IF(INT(E166)&gt;='3월 등급 정보'!$C$11,9)))))))))</f>
        <v>5</v>
      </c>
      <c r="I166" s="34">
        <v>33</v>
      </c>
      <c r="J166" s="33"/>
      <c r="K166" s="33"/>
      <c r="L166" s="33">
        <f>IF(INT(I166)&gt;='3월 등급 정보'!$D$3,1,IF(INT(I166)&gt;='3월 등급 정보'!$D$4,2,IF(INT(I166)&gt;='3월 등급 정보'!$D$5,3,IF(INT(I166)&gt;='3월 등급 정보'!$D$6,4,IF(INT(I166)&gt;='3월 등급 정보'!$D$7,5,IF(INT(I166)&gt;='3월 등급 정보'!$D$8,6,IF(INT(I166)&gt;='3월 등급 정보'!$D$9,7,IF(INT(I166)&gt;='3월 등급 정보'!$D$10,8,IF(INT(I166)&gt;='3월 등급 정보'!$D$11,9)))))))))</f>
        <v>6</v>
      </c>
      <c r="M166" s="34">
        <v>70</v>
      </c>
      <c r="N166" s="33"/>
      <c r="O166" s="33"/>
      <c r="P166" s="33">
        <f>IF(INT(M166)&gt;='3월 등급 정보'!$E$3,1,IF(INT(M166)&gt;='3월 등급 정보'!$E$4,2,IF(INT(M166)&gt;='3월 등급 정보'!$E$5,3,IF(INT(M166)&gt;='3월 등급 정보'!$E$6,4,IF(INT(M166)&gt;='3월 등급 정보'!$E$7,5,IF(INT(M166)&gt;='3월 등급 정보'!$E$8,6,IF(INT(M166)&gt;='3월 등급 정보'!$E$9,7,IF(INT(M166)&gt;='3월 등급 정보'!$E$10,8,IF(INT(M166)&gt;='3월 등급 정보'!$E$11,9)))))))))</f>
        <v>3</v>
      </c>
      <c r="Q166" s="34">
        <v>25</v>
      </c>
      <c r="R166" s="33"/>
      <c r="S166" s="33"/>
      <c r="T166" s="33">
        <f>IF(INT(Q166)&gt;='3월 등급 정보'!$F$3,1,IF(INT(Q166)&gt;='3월 등급 정보'!$F$4,2,IF(INT(Q166)&gt;='3월 등급 정보'!$F$5,3,IF(INT(Q166)&gt;='3월 등급 정보'!$F$6,4,IF(INT(Q166)&gt;='3월 등급 정보'!$F$7,5,IF(INT(Q166)&gt;='3월 등급 정보'!$F$8,6,IF(INT(Q166)&gt;='3월 등급 정보'!$F$9,7,IF(INT(Q166)&gt;='3월 등급 정보'!$F$10,8,IF(INT(Q166)&gt;='3월 등급 정보'!$F$11,9)))))))))</f>
        <v>6</v>
      </c>
      <c r="U166" s="34">
        <v>19</v>
      </c>
      <c r="V166" s="33"/>
      <c r="W166" s="33"/>
      <c r="X166" s="33">
        <f>IF(INT(U166)&gt;='3월 등급 정보'!$G$3,1,IF(INT(U166)&gt;='3월 등급 정보'!$G$4,2,IF(INT(U166)&gt;='3월 등급 정보'!$G$5,3,IF(INT(U166)&gt;='3월 등급 정보'!$G$6,4,IF(INT(U166)&gt;='3월 등급 정보'!$G$7,5,IF(INT(U166)&gt;='3월 등급 정보'!$G$8,6,IF(INT(U166)&gt;='3월 등급 정보'!$G$9,7,IF(INT(U166)&gt;='3월 등급 정보'!$G$10,8,IF(INT(U166)&gt;='3월 등급 정보'!$G$11,9)))))))))</f>
        <v>5</v>
      </c>
      <c r="Y166" s="34">
        <v>12</v>
      </c>
      <c r="Z166" s="33"/>
      <c r="AA166" s="33"/>
      <c r="AB166" s="33">
        <f>IF(INT(Y166)&gt;='3월 등급 정보'!$H$3,1,IF(INT(Y166)&gt;='3월 등급 정보'!$H$4,2,IF(INT(Y166)&gt;='3월 등급 정보'!$H$5,3,IF(INT(Y166)&gt;='3월 등급 정보'!$H$6,4,IF(INT(Y166)&gt;='3월 등급 정보'!$H$7,5,IF(INT(Y166)&gt;='3월 등급 정보'!$H$8,6,IF(INT(Y166)&gt;='3월 등급 정보'!$H$9,7,IF(INT(Y166)&gt;='3월 등급 정보'!$H$10,8,IF(INT(Y166)&gt;='3월 등급 정보'!$H$11,9)))))))))</f>
        <v>7</v>
      </c>
      <c r="AC166" s="33">
        <f>E166+I166+M166+Q166+U166</f>
        <v>203</v>
      </c>
      <c r="AD166" s="33">
        <f>RANK(AC166,$AC$3:$AC$273)</f>
        <v>164</v>
      </c>
    </row>
    <row r="167" spans="1:30" ht="17.25" customHeight="1">
      <c r="A167" s="33" t="s">
        <v>26</v>
      </c>
      <c r="B167" s="34">
        <v>10</v>
      </c>
      <c r="C167" s="34">
        <v>15</v>
      </c>
      <c r="D167" s="34" t="s">
        <v>278</v>
      </c>
      <c r="E167" s="34">
        <v>76</v>
      </c>
      <c r="F167" s="33"/>
      <c r="G167" s="33"/>
      <c r="H167" s="33">
        <f>IF(INT(E167)&gt;='3월 등급 정보'!$C$3,1,IF(INT(E167)&gt;='3월 등급 정보'!$C$4,2,IF(INT(E167)&gt;='3월 등급 정보'!$C$5,3,IF(INT(E167)&gt;='3월 등급 정보'!$C$6,4,IF(INT(E167)&gt;='3월 등급 정보'!$C$7,5,IF(INT(E167)&gt;='3월 등급 정보'!$C$8,6,IF(INT(E167)&gt;='3월 등급 정보'!$C$9,7,IF(INT(E167)&gt;='3월 등급 정보'!$C$10,8,IF(INT(E167)&gt;='3월 등급 정보'!$C$11,9)))))))))</f>
        <v>3</v>
      </c>
      <c r="I167" s="34">
        <v>33</v>
      </c>
      <c r="J167" s="33"/>
      <c r="K167" s="33"/>
      <c r="L167" s="33">
        <f>IF(INT(I167)&gt;='3월 등급 정보'!$D$3,1,IF(INT(I167)&gt;='3월 등급 정보'!$D$4,2,IF(INT(I167)&gt;='3월 등급 정보'!$D$5,3,IF(INT(I167)&gt;='3월 등급 정보'!$D$6,4,IF(INT(I167)&gt;='3월 등급 정보'!$D$7,5,IF(INT(I167)&gt;='3월 등급 정보'!$D$8,6,IF(INT(I167)&gt;='3월 등급 정보'!$D$9,7,IF(INT(I167)&gt;='3월 등급 정보'!$D$10,8,IF(INT(I167)&gt;='3월 등급 정보'!$D$11,9)))))))))</f>
        <v>6</v>
      </c>
      <c r="M167" s="34">
        <v>54</v>
      </c>
      <c r="N167" s="33"/>
      <c r="O167" s="33"/>
      <c r="P167" s="33">
        <f>IF(INT(M167)&gt;='3월 등급 정보'!$E$3,1,IF(INT(M167)&gt;='3월 등급 정보'!$E$4,2,IF(INT(M167)&gt;='3월 등급 정보'!$E$5,3,IF(INT(M167)&gt;='3월 등급 정보'!$E$6,4,IF(INT(M167)&gt;='3월 등급 정보'!$E$7,5,IF(INT(M167)&gt;='3월 등급 정보'!$E$8,6,IF(INT(M167)&gt;='3월 등급 정보'!$E$9,7,IF(INT(M167)&gt;='3월 등급 정보'!$E$10,8,IF(INT(M167)&gt;='3월 등급 정보'!$E$11,9)))))))))</f>
        <v>5</v>
      </c>
      <c r="Q167" s="34">
        <v>21</v>
      </c>
      <c r="R167" s="33"/>
      <c r="S167" s="33"/>
      <c r="T167" s="33">
        <f>IF(INT(Q167)&gt;='3월 등급 정보'!$F$3,1,IF(INT(Q167)&gt;='3월 등급 정보'!$F$4,2,IF(INT(Q167)&gt;='3월 등급 정보'!$F$5,3,IF(INT(Q167)&gt;='3월 등급 정보'!$F$6,4,IF(INT(Q167)&gt;='3월 등급 정보'!$F$7,5,IF(INT(Q167)&gt;='3월 등급 정보'!$F$8,6,IF(INT(Q167)&gt;='3월 등급 정보'!$F$9,7,IF(INT(Q167)&gt;='3월 등급 정보'!$F$10,8,IF(INT(Q167)&gt;='3월 등급 정보'!$F$11,9)))))))))</f>
        <v>6</v>
      </c>
      <c r="U167" s="34">
        <v>19</v>
      </c>
      <c r="V167" s="33"/>
      <c r="W167" s="33"/>
      <c r="X167" s="33">
        <f>IF(INT(U167)&gt;='3월 등급 정보'!$G$3,1,IF(INT(U167)&gt;='3월 등급 정보'!$G$4,2,IF(INT(U167)&gt;='3월 등급 정보'!$G$5,3,IF(INT(U167)&gt;='3월 등급 정보'!$G$6,4,IF(INT(U167)&gt;='3월 등급 정보'!$G$7,5,IF(INT(U167)&gt;='3월 등급 정보'!$G$8,6,IF(INT(U167)&gt;='3월 등급 정보'!$G$9,7,IF(INT(U167)&gt;='3월 등급 정보'!$G$10,8,IF(INT(U167)&gt;='3월 등급 정보'!$G$11,9)))))))))</f>
        <v>5</v>
      </c>
      <c r="Y167" s="34">
        <v>19</v>
      </c>
      <c r="Z167" s="33"/>
      <c r="AA167" s="33"/>
      <c r="AB167" s="33">
        <f>IF(INT(Y167)&gt;='3월 등급 정보'!$H$3,1,IF(INT(Y167)&gt;='3월 등급 정보'!$H$4,2,IF(INT(Y167)&gt;='3월 등급 정보'!$H$5,3,IF(INT(Y167)&gt;='3월 등급 정보'!$H$6,4,IF(INT(Y167)&gt;='3월 등급 정보'!$H$7,5,IF(INT(Y167)&gt;='3월 등급 정보'!$H$8,6,IF(INT(Y167)&gt;='3월 등급 정보'!$H$9,7,IF(INT(Y167)&gt;='3월 등급 정보'!$H$10,8,IF(INT(Y167)&gt;='3월 등급 정보'!$H$11,9)))))))))</f>
        <v>6</v>
      </c>
      <c r="AC167" s="33">
        <f>E167+I167+M167+Q167+U167</f>
        <v>203</v>
      </c>
      <c r="AD167" s="33">
        <f>RANK(AC167,$AC$3:$AC$273)</f>
        <v>164</v>
      </c>
    </row>
    <row r="168" spans="1:30" ht="17.25" customHeight="1">
      <c r="A168" s="33" t="s">
        <v>26</v>
      </c>
      <c r="B168" s="34">
        <v>5</v>
      </c>
      <c r="C168" s="34">
        <v>25</v>
      </c>
      <c r="D168" s="34" t="s">
        <v>155</v>
      </c>
      <c r="E168" s="34">
        <v>57</v>
      </c>
      <c r="F168" s="33"/>
      <c r="G168" s="33"/>
      <c r="H168" s="33">
        <f>IF(INT(E168)&gt;='3월 등급 정보'!$C$3,1,IF(INT(E168)&gt;='3월 등급 정보'!$C$4,2,IF(INT(E168)&gt;='3월 등급 정보'!$C$5,3,IF(INT(E168)&gt;='3월 등급 정보'!$C$6,4,IF(INT(E168)&gt;='3월 등급 정보'!$C$7,5,IF(INT(E168)&gt;='3월 등급 정보'!$C$8,6,IF(INT(E168)&gt;='3월 등급 정보'!$C$9,7,IF(INT(E168)&gt;='3월 등급 정보'!$C$10,8,IF(INT(E168)&gt;='3월 등급 정보'!$C$11,9)))))))))</f>
        <v>5</v>
      </c>
      <c r="I168" s="34">
        <v>30</v>
      </c>
      <c r="J168" s="33"/>
      <c r="K168" s="33"/>
      <c r="L168" s="33">
        <f>IF(INT(I168)&gt;='3월 등급 정보'!$D$3,1,IF(INT(I168)&gt;='3월 등급 정보'!$D$4,2,IF(INT(I168)&gt;='3월 등급 정보'!$D$5,3,IF(INT(I168)&gt;='3월 등급 정보'!$D$6,4,IF(INT(I168)&gt;='3월 등급 정보'!$D$7,5,IF(INT(I168)&gt;='3월 등급 정보'!$D$8,6,IF(INT(I168)&gt;='3월 등급 정보'!$D$9,7,IF(INT(I168)&gt;='3월 등급 정보'!$D$10,8,IF(INT(I168)&gt;='3월 등급 정보'!$D$11,9)))))))))</f>
        <v>6</v>
      </c>
      <c r="M168" s="34">
        <v>57</v>
      </c>
      <c r="N168" s="33"/>
      <c r="O168" s="33"/>
      <c r="P168" s="33">
        <f>IF(INT(M168)&gt;='3월 등급 정보'!$E$3,1,IF(INT(M168)&gt;='3월 등급 정보'!$E$4,2,IF(INT(M168)&gt;='3월 등급 정보'!$E$5,3,IF(INT(M168)&gt;='3월 등급 정보'!$E$6,4,IF(INT(M168)&gt;='3월 등급 정보'!$E$7,5,IF(INT(M168)&gt;='3월 등급 정보'!$E$8,6,IF(INT(M168)&gt;='3월 등급 정보'!$E$9,7,IF(INT(M168)&gt;='3월 등급 정보'!$E$10,8,IF(INT(M168)&gt;='3월 등급 정보'!$E$11,9)))))))))</f>
        <v>5</v>
      </c>
      <c r="Q168" s="34">
        <v>31</v>
      </c>
      <c r="R168" s="33"/>
      <c r="S168" s="33"/>
      <c r="T168" s="33">
        <f>IF(INT(Q168)&gt;='3월 등급 정보'!$F$3,1,IF(INT(Q168)&gt;='3월 등급 정보'!$F$4,2,IF(INT(Q168)&gt;='3월 등급 정보'!$F$5,3,IF(INT(Q168)&gt;='3월 등급 정보'!$F$6,4,IF(INT(Q168)&gt;='3월 등급 정보'!$F$7,5,IF(INT(Q168)&gt;='3월 등급 정보'!$F$8,6,IF(INT(Q168)&gt;='3월 등급 정보'!$F$9,7,IF(INT(Q168)&gt;='3월 등급 정보'!$F$10,8,IF(INT(Q168)&gt;='3월 등급 정보'!$F$11,9)))))))))</f>
        <v>5</v>
      </c>
      <c r="U168" s="34">
        <v>25.5</v>
      </c>
      <c r="V168" s="33"/>
      <c r="W168" s="33"/>
      <c r="X168" s="33">
        <f>IF(INT(U168)&gt;='3월 등급 정보'!$G$3,1,IF(INT(U168)&gt;='3월 등급 정보'!$G$4,2,IF(INT(U168)&gt;='3월 등급 정보'!$G$5,3,IF(INT(U168)&gt;='3월 등급 정보'!$G$6,4,IF(INT(U168)&gt;='3월 등급 정보'!$G$7,5,IF(INT(U168)&gt;='3월 등급 정보'!$G$8,6,IF(INT(U168)&gt;='3월 등급 정보'!$G$9,7,IF(INT(U168)&gt;='3월 등급 정보'!$G$10,8,IF(INT(U168)&gt;='3월 등급 정보'!$G$11,9)))))))))</f>
        <v>5</v>
      </c>
      <c r="Y168" s="34">
        <v>40</v>
      </c>
      <c r="Z168" s="33"/>
      <c r="AA168" s="33"/>
      <c r="AB168" s="33">
        <f>IF(INT(Y168)&gt;='3월 등급 정보'!$H$3,1,IF(INT(Y168)&gt;='3월 등급 정보'!$H$4,2,IF(INT(Y168)&gt;='3월 등급 정보'!$H$5,3,IF(INT(Y168)&gt;='3월 등급 정보'!$H$6,4,IF(INT(Y168)&gt;='3월 등급 정보'!$H$7,5,IF(INT(Y168)&gt;='3월 등급 정보'!$H$8,6,IF(INT(Y168)&gt;='3월 등급 정보'!$H$9,7,IF(INT(Y168)&gt;='3월 등급 정보'!$H$10,8,IF(INT(Y168)&gt;='3월 등급 정보'!$H$11,9)))))))))</f>
        <v>1</v>
      </c>
      <c r="AC168" s="33">
        <f>E168+I168+M168+Q168+U168</f>
        <v>200.5</v>
      </c>
      <c r="AD168" s="33">
        <f>RANK(AC168,$AC$3:$AC$273)</f>
        <v>166</v>
      </c>
    </row>
    <row r="169" spans="1:30" ht="17.25" customHeight="1">
      <c r="A169" s="33" t="s">
        <v>26</v>
      </c>
      <c r="B169" s="34">
        <v>4</v>
      </c>
      <c r="C169" s="34">
        <v>21</v>
      </c>
      <c r="D169" s="34" t="s">
        <v>125</v>
      </c>
      <c r="E169" s="34">
        <v>50</v>
      </c>
      <c r="F169" s="33"/>
      <c r="G169" s="33"/>
      <c r="H169" s="33">
        <f>IF(INT(E169)&gt;='3월 등급 정보'!$C$3,1,IF(INT(E169)&gt;='3월 등급 정보'!$C$4,2,IF(INT(E169)&gt;='3월 등급 정보'!$C$5,3,IF(INT(E169)&gt;='3월 등급 정보'!$C$6,4,IF(INT(E169)&gt;='3월 등급 정보'!$C$7,5,IF(INT(E169)&gt;='3월 등급 정보'!$C$8,6,IF(INT(E169)&gt;='3월 등급 정보'!$C$9,7,IF(INT(E169)&gt;='3월 등급 정보'!$C$10,8,IF(INT(E169)&gt;='3월 등급 정보'!$C$11,9)))))))))</f>
        <v>5</v>
      </c>
      <c r="I169" s="34">
        <v>39</v>
      </c>
      <c r="J169" s="33"/>
      <c r="K169" s="33"/>
      <c r="L169" s="33">
        <f>IF(INT(I169)&gt;='3월 등급 정보'!$D$3,1,IF(INT(I169)&gt;='3월 등급 정보'!$D$4,2,IF(INT(I169)&gt;='3월 등급 정보'!$D$5,3,IF(INT(I169)&gt;='3월 등급 정보'!$D$6,4,IF(INT(I169)&gt;='3월 등급 정보'!$D$7,5,IF(INT(I169)&gt;='3월 등급 정보'!$D$8,6,IF(INT(I169)&gt;='3월 등급 정보'!$D$9,7,IF(INT(I169)&gt;='3월 등급 정보'!$D$10,8,IF(INT(I169)&gt;='3월 등급 정보'!$D$11,9)))))))))</f>
        <v>5</v>
      </c>
      <c r="M169" s="34">
        <v>57</v>
      </c>
      <c r="N169" s="33"/>
      <c r="O169" s="33"/>
      <c r="P169" s="33">
        <f>IF(INT(M169)&gt;='3월 등급 정보'!$E$3,1,IF(INT(M169)&gt;='3월 등급 정보'!$E$4,2,IF(INT(M169)&gt;='3월 등급 정보'!$E$5,3,IF(INT(M169)&gt;='3월 등급 정보'!$E$6,4,IF(INT(M169)&gt;='3월 등급 정보'!$E$7,5,IF(INT(M169)&gt;='3월 등급 정보'!$E$8,6,IF(INT(M169)&gt;='3월 등급 정보'!$E$9,7,IF(INT(M169)&gt;='3월 등급 정보'!$E$10,8,IF(INT(M169)&gt;='3월 등급 정보'!$E$11,9)))))))))</f>
        <v>5</v>
      </c>
      <c r="Q169" s="34">
        <v>37</v>
      </c>
      <c r="R169" s="33"/>
      <c r="S169" s="33"/>
      <c r="T169" s="33">
        <f>IF(INT(Q169)&gt;='3월 등급 정보'!$F$3,1,IF(INT(Q169)&gt;='3월 등급 정보'!$F$4,2,IF(INT(Q169)&gt;='3월 등급 정보'!$F$5,3,IF(INT(Q169)&gt;='3월 등급 정보'!$F$6,4,IF(INT(Q169)&gt;='3월 등급 정보'!$F$7,5,IF(INT(Q169)&gt;='3월 등급 정보'!$F$8,6,IF(INT(Q169)&gt;='3월 등급 정보'!$F$9,7,IF(INT(Q169)&gt;='3월 등급 정보'!$F$10,8,IF(INT(Q169)&gt;='3월 등급 정보'!$F$11,9)))))))))</f>
        <v>4</v>
      </c>
      <c r="U169" s="34">
        <v>17</v>
      </c>
      <c r="V169" s="33"/>
      <c r="W169" s="33"/>
      <c r="X169" s="33">
        <f>IF(INT(U169)&gt;='3월 등급 정보'!$G$3,1,IF(INT(U169)&gt;='3월 등급 정보'!$G$4,2,IF(INT(U169)&gt;='3월 등급 정보'!$G$5,3,IF(INT(U169)&gt;='3월 등급 정보'!$G$6,4,IF(INT(U169)&gt;='3월 등급 정보'!$G$7,5,IF(INT(U169)&gt;='3월 등급 정보'!$G$8,6,IF(INT(U169)&gt;='3월 등급 정보'!$G$9,7,IF(INT(U169)&gt;='3월 등급 정보'!$G$10,8,IF(INT(U169)&gt;='3월 등급 정보'!$G$11,9)))))))))</f>
        <v>6</v>
      </c>
      <c r="Y169" s="34">
        <v>36</v>
      </c>
      <c r="Z169" s="33"/>
      <c r="AA169" s="33"/>
      <c r="AB169" s="33">
        <f>IF(INT(Y169)&gt;='3월 등급 정보'!$H$3,1,IF(INT(Y169)&gt;='3월 등급 정보'!$H$4,2,IF(INT(Y169)&gt;='3월 등급 정보'!$H$5,3,IF(INT(Y169)&gt;='3월 등급 정보'!$H$6,4,IF(INT(Y169)&gt;='3월 등급 정보'!$H$7,5,IF(INT(Y169)&gt;='3월 등급 정보'!$H$8,6,IF(INT(Y169)&gt;='3월 등급 정보'!$H$9,7,IF(INT(Y169)&gt;='3월 등급 정보'!$H$10,8,IF(INT(Y169)&gt;='3월 등급 정보'!$H$11,9)))))))))</f>
        <v>2</v>
      </c>
      <c r="AC169" s="33">
        <f>E169+I169+M169+Q169+U169</f>
        <v>200</v>
      </c>
      <c r="AD169" s="33">
        <f>RANK(AC169,$AC$3:$AC$273)</f>
        <v>167</v>
      </c>
    </row>
    <row r="170" spans="1:30" ht="17.25" customHeight="1">
      <c r="A170" s="33" t="s">
        <v>26</v>
      </c>
      <c r="B170" s="34">
        <v>7</v>
      </c>
      <c r="C170" s="34">
        <v>4</v>
      </c>
      <c r="D170" s="34" t="s">
        <v>190</v>
      </c>
      <c r="E170" s="34">
        <v>63</v>
      </c>
      <c r="F170" s="33"/>
      <c r="G170" s="33"/>
      <c r="H170" s="33">
        <f>IF(INT(E170)&gt;='3월 등급 정보'!$C$3,1,IF(INT(E170)&gt;='3월 등급 정보'!$C$4,2,IF(INT(E170)&gt;='3월 등급 정보'!$C$5,3,IF(INT(E170)&gt;='3월 등급 정보'!$C$6,4,IF(INT(E170)&gt;='3월 등급 정보'!$C$7,5,IF(INT(E170)&gt;='3월 등급 정보'!$C$8,6,IF(INT(E170)&gt;='3월 등급 정보'!$C$9,7,IF(INT(E170)&gt;='3월 등급 정보'!$C$10,8,IF(INT(E170)&gt;='3월 등급 정보'!$C$11,9)))))))))</f>
        <v>4</v>
      </c>
      <c r="I170" s="34">
        <v>43</v>
      </c>
      <c r="J170" s="33"/>
      <c r="K170" s="33"/>
      <c r="L170" s="33">
        <f>IF(INT(I170)&gt;='3월 등급 정보'!$D$3,1,IF(INT(I170)&gt;='3월 등급 정보'!$D$4,2,IF(INT(I170)&gt;='3월 등급 정보'!$D$5,3,IF(INT(I170)&gt;='3월 등급 정보'!$D$6,4,IF(INT(I170)&gt;='3월 등급 정보'!$D$7,5,IF(INT(I170)&gt;='3월 등급 정보'!$D$8,6,IF(INT(I170)&gt;='3월 등급 정보'!$D$9,7,IF(INT(I170)&gt;='3월 등급 정보'!$D$10,8,IF(INT(I170)&gt;='3월 등급 정보'!$D$11,9)))))))))</f>
        <v>5</v>
      </c>
      <c r="M170" s="34">
        <v>37</v>
      </c>
      <c r="N170" s="33"/>
      <c r="O170" s="33"/>
      <c r="P170" s="33">
        <f>IF(INT(M170)&gt;='3월 등급 정보'!$E$3,1,IF(INT(M170)&gt;='3월 등급 정보'!$E$4,2,IF(INT(M170)&gt;='3월 등급 정보'!$E$5,3,IF(INT(M170)&gt;='3월 등급 정보'!$E$6,4,IF(INT(M170)&gt;='3월 등급 정보'!$E$7,5,IF(INT(M170)&gt;='3월 등급 정보'!$E$8,6,IF(INT(M170)&gt;='3월 등급 정보'!$E$9,7,IF(INT(M170)&gt;='3월 등급 정보'!$E$10,8,IF(INT(M170)&gt;='3월 등급 정보'!$E$11,9)))))))))</f>
        <v>7</v>
      </c>
      <c r="Q170" s="34">
        <v>34</v>
      </c>
      <c r="R170" s="33"/>
      <c r="S170" s="33"/>
      <c r="T170" s="33">
        <f>IF(INT(Q170)&gt;='3월 등급 정보'!$F$3,1,IF(INT(Q170)&gt;='3월 등급 정보'!$F$4,2,IF(INT(Q170)&gt;='3월 등급 정보'!$F$5,3,IF(INT(Q170)&gt;='3월 등급 정보'!$F$6,4,IF(INT(Q170)&gt;='3월 등급 정보'!$F$7,5,IF(INT(Q170)&gt;='3월 등급 정보'!$F$8,6,IF(INT(Q170)&gt;='3월 등급 정보'!$F$9,7,IF(INT(Q170)&gt;='3월 등급 정보'!$F$10,8,IF(INT(Q170)&gt;='3월 등급 정보'!$F$11,9)))))))))</f>
        <v>4</v>
      </c>
      <c r="U170" s="34">
        <v>23</v>
      </c>
      <c r="V170" s="33"/>
      <c r="W170" s="33"/>
      <c r="X170" s="33">
        <f>IF(INT(U170)&gt;='3월 등급 정보'!$G$3,1,IF(INT(U170)&gt;='3월 등급 정보'!$G$4,2,IF(INT(U170)&gt;='3월 등급 정보'!$G$5,3,IF(INT(U170)&gt;='3월 등급 정보'!$G$6,4,IF(INT(U170)&gt;='3월 등급 정보'!$G$7,5,IF(INT(U170)&gt;='3월 등급 정보'!$G$8,6,IF(INT(U170)&gt;='3월 등급 정보'!$G$9,7,IF(INT(U170)&gt;='3월 등급 정보'!$G$10,8,IF(INT(U170)&gt;='3월 등급 정보'!$G$11,9)))))))))</f>
        <v>5</v>
      </c>
      <c r="Y170" s="34">
        <v>32</v>
      </c>
      <c r="Z170" s="33"/>
      <c r="AA170" s="33"/>
      <c r="AB170" s="33">
        <f>IF(INT(Y170)&gt;='3월 등급 정보'!$H$3,1,IF(INT(Y170)&gt;='3월 등급 정보'!$H$4,2,IF(INT(Y170)&gt;='3월 등급 정보'!$H$5,3,IF(INT(Y170)&gt;='3월 등급 정보'!$H$6,4,IF(INT(Y170)&gt;='3월 등급 정보'!$H$7,5,IF(INT(Y170)&gt;='3월 등급 정보'!$H$8,6,IF(INT(Y170)&gt;='3월 등급 정보'!$H$9,7,IF(INT(Y170)&gt;='3월 등급 정보'!$H$10,8,IF(INT(Y170)&gt;='3월 등급 정보'!$H$11,9)))))))))</f>
        <v>3</v>
      </c>
      <c r="AC170" s="33">
        <f>E170+I170+M170+Q170+U170</f>
        <v>200</v>
      </c>
      <c r="AD170" s="33">
        <f>RANK(AC170,$AC$3:$AC$273)</f>
        <v>167</v>
      </c>
    </row>
    <row r="171" spans="1:30" ht="17.25" customHeight="1">
      <c r="A171" s="33" t="s">
        <v>26</v>
      </c>
      <c r="B171" s="34">
        <v>3</v>
      </c>
      <c r="C171" s="34">
        <v>24</v>
      </c>
      <c r="D171" s="34" t="s">
        <v>101</v>
      </c>
      <c r="E171" s="34">
        <v>44</v>
      </c>
      <c r="F171" s="33"/>
      <c r="G171" s="33"/>
      <c r="H171" s="33">
        <f>IF(INT(E171)&gt;='3월 등급 정보'!$C$3,1,IF(INT(E171)&gt;='3월 등급 정보'!$C$4,2,IF(INT(E171)&gt;='3월 등급 정보'!$C$5,3,IF(INT(E171)&gt;='3월 등급 정보'!$C$6,4,IF(INT(E171)&gt;='3월 등급 정보'!$C$7,5,IF(INT(E171)&gt;='3월 등급 정보'!$C$8,6,IF(INT(E171)&gt;='3월 등급 정보'!$C$9,7,IF(INT(E171)&gt;='3월 등급 정보'!$C$10,8,IF(INT(E171)&gt;='3월 등급 정보'!$C$11,9)))))))))</f>
        <v>6</v>
      </c>
      <c r="I171" s="34">
        <v>51</v>
      </c>
      <c r="J171" s="33"/>
      <c r="K171" s="33"/>
      <c r="L171" s="33">
        <f>IF(INT(I171)&gt;='3월 등급 정보'!$D$3,1,IF(INT(I171)&gt;='3월 등급 정보'!$D$4,2,IF(INT(I171)&gt;='3월 등급 정보'!$D$5,3,IF(INT(I171)&gt;='3월 등급 정보'!$D$6,4,IF(INT(I171)&gt;='3월 등급 정보'!$D$7,5,IF(INT(I171)&gt;='3월 등급 정보'!$D$8,6,IF(INT(I171)&gt;='3월 등급 정보'!$D$9,7,IF(INT(I171)&gt;='3월 등급 정보'!$D$10,8,IF(INT(I171)&gt;='3월 등급 정보'!$D$11,9)))))))))</f>
        <v>4</v>
      </c>
      <c r="M171" s="34">
        <v>45</v>
      </c>
      <c r="N171" s="33"/>
      <c r="O171" s="33"/>
      <c r="P171" s="33">
        <f>IF(INT(M171)&gt;='3월 등급 정보'!$E$3,1,IF(INT(M171)&gt;='3월 등급 정보'!$E$4,2,IF(INT(M171)&gt;='3월 등급 정보'!$E$5,3,IF(INT(M171)&gt;='3월 등급 정보'!$E$6,4,IF(INT(M171)&gt;='3월 등급 정보'!$E$7,5,IF(INT(M171)&gt;='3월 등급 정보'!$E$8,6,IF(INT(M171)&gt;='3월 등급 정보'!$E$9,7,IF(INT(M171)&gt;='3월 등급 정보'!$E$10,8,IF(INT(M171)&gt;='3월 등급 정보'!$E$11,9)))))))))</f>
        <v>6</v>
      </c>
      <c r="Q171" s="34">
        <v>33</v>
      </c>
      <c r="R171" s="33"/>
      <c r="S171" s="33"/>
      <c r="T171" s="33">
        <f>IF(INT(Q171)&gt;='3월 등급 정보'!$F$3,1,IF(INT(Q171)&gt;='3월 등급 정보'!$F$4,2,IF(INT(Q171)&gt;='3월 등급 정보'!$F$5,3,IF(INT(Q171)&gt;='3월 등급 정보'!$F$6,4,IF(INT(Q171)&gt;='3월 등급 정보'!$F$7,5,IF(INT(Q171)&gt;='3월 등급 정보'!$F$8,6,IF(INT(Q171)&gt;='3월 등급 정보'!$F$9,7,IF(INT(Q171)&gt;='3월 등급 정보'!$F$10,8,IF(INT(Q171)&gt;='3월 등급 정보'!$F$11,9)))))))))</f>
        <v>4</v>
      </c>
      <c r="U171" s="34">
        <v>26</v>
      </c>
      <c r="V171" s="33"/>
      <c r="W171" s="33"/>
      <c r="X171" s="33">
        <f>IF(INT(U171)&gt;='3월 등급 정보'!$G$3,1,IF(INT(U171)&gt;='3월 등급 정보'!$G$4,2,IF(INT(U171)&gt;='3월 등급 정보'!$G$5,3,IF(INT(U171)&gt;='3월 등급 정보'!$G$6,4,IF(INT(U171)&gt;='3월 등급 정보'!$G$7,5,IF(INT(U171)&gt;='3월 등급 정보'!$G$8,6,IF(INT(U171)&gt;='3월 등급 정보'!$G$9,7,IF(INT(U171)&gt;='3월 등급 정보'!$G$10,8,IF(INT(U171)&gt;='3월 등급 정보'!$G$11,9)))))))))</f>
        <v>4</v>
      </c>
      <c r="Y171" s="34">
        <v>32</v>
      </c>
      <c r="Z171" s="33"/>
      <c r="AA171" s="33"/>
      <c r="AB171" s="33">
        <f>IF(INT(Y171)&gt;='3월 등급 정보'!$H$3,1,IF(INT(Y171)&gt;='3월 등급 정보'!$H$4,2,IF(INT(Y171)&gt;='3월 등급 정보'!$H$5,3,IF(INT(Y171)&gt;='3월 등급 정보'!$H$6,4,IF(INT(Y171)&gt;='3월 등급 정보'!$H$7,5,IF(INT(Y171)&gt;='3월 등급 정보'!$H$8,6,IF(INT(Y171)&gt;='3월 등급 정보'!$H$9,7,IF(INT(Y171)&gt;='3월 등급 정보'!$H$10,8,IF(INT(Y171)&gt;='3월 등급 정보'!$H$11,9)))))))))</f>
        <v>3</v>
      </c>
      <c r="AC171" s="33">
        <f>E171+I171+M171+Q171+U171</f>
        <v>199</v>
      </c>
      <c r="AD171" s="33">
        <f>RANK(AC171,$AC$3:$AC$273)</f>
        <v>169</v>
      </c>
    </row>
    <row r="172" spans="1:30" ht="17.25" customHeight="1">
      <c r="A172" s="33" t="s">
        <v>26</v>
      </c>
      <c r="B172" s="34">
        <v>6</v>
      </c>
      <c r="C172" s="34">
        <v>3</v>
      </c>
      <c r="D172" s="34" t="s">
        <v>162</v>
      </c>
      <c r="E172" s="34">
        <v>58</v>
      </c>
      <c r="F172" s="33"/>
      <c r="G172" s="33"/>
      <c r="H172" s="33">
        <f>IF(INT(E172)&gt;='3월 등급 정보'!$C$3,1,IF(INT(E172)&gt;='3월 등급 정보'!$C$4,2,IF(INT(E172)&gt;='3월 등급 정보'!$C$5,3,IF(INT(E172)&gt;='3월 등급 정보'!$C$6,4,IF(INT(E172)&gt;='3월 등급 정보'!$C$7,5,IF(INT(E172)&gt;='3월 등급 정보'!$C$8,6,IF(INT(E172)&gt;='3월 등급 정보'!$C$9,7,IF(INT(E172)&gt;='3월 등급 정보'!$C$10,8,IF(INT(E172)&gt;='3월 등급 정보'!$C$11,9)))))))))</f>
        <v>5</v>
      </c>
      <c r="I172" s="34">
        <v>38</v>
      </c>
      <c r="J172" s="33"/>
      <c r="K172" s="33"/>
      <c r="L172" s="33">
        <f>IF(INT(I172)&gt;='3월 등급 정보'!$D$3,1,IF(INT(I172)&gt;='3월 등급 정보'!$D$4,2,IF(INT(I172)&gt;='3월 등급 정보'!$D$5,3,IF(INT(I172)&gt;='3월 등급 정보'!$D$6,4,IF(INT(I172)&gt;='3월 등급 정보'!$D$7,5,IF(INT(I172)&gt;='3월 등급 정보'!$D$8,6,IF(INT(I172)&gt;='3월 등급 정보'!$D$9,7,IF(INT(I172)&gt;='3월 등급 정보'!$D$10,8,IF(INT(I172)&gt;='3월 등급 정보'!$D$11,9)))))))))</f>
        <v>5</v>
      </c>
      <c r="M172" s="34">
        <v>54</v>
      </c>
      <c r="N172" s="33"/>
      <c r="O172" s="33"/>
      <c r="P172" s="33">
        <f>IF(INT(M172)&gt;='3월 등급 정보'!$E$3,1,IF(INT(M172)&gt;='3월 등급 정보'!$E$4,2,IF(INT(M172)&gt;='3월 등급 정보'!$E$5,3,IF(INT(M172)&gt;='3월 등급 정보'!$E$6,4,IF(INT(M172)&gt;='3월 등급 정보'!$E$7,5,IF(INT(M172)&gt;='3월 등급 정보'!$E$8,6,IF(INT(M172)&gt;='3월 등급 정보'!$E$9,7,IF(INT(M172)&gt;='3월 등급 정보'!$E$10,8,IF(INT(M172)&gt;='3월 등급 정보'!$E$11,9)))))))))</f>
        <v>5</v>
      </c>
      <c r="Q172" s="34">
        <v>26.5</v>
      </c>
      <c r="R172" s="33"/>
      <c r="S172" s="33"/>
      <c r="T172" s="33">
        <f>IF(INT(Q172)&gt;='3월 등급 정보'!$F$3,1,IF(INT(Q172)&gt;='3월 등급 정보'!$F$4,2,IF(INT(Q172)&gt;='3월 등급 정보'!$F$5,3,IF(INT(Q172)&gt;='3월 등급 정보'!$F$6,4,IF(INT(Q172)&gt;='3월 등급 정보'!$F$7,5,IF(INT(Q172)&gt;='3월 등급 정보'!$F$8,6,IF(INT(Q172)&gt;='3월 등급 정보'!$F$9,7,IF(INT(Q172)&gt;='3월 등급 정보'!$F$10,8,IF(INT(Q172)&gt;='3월 등급 정보'!$F$11,9)))))))))</f>
        <v>5</v>
      </c>
      <c r="U172" s="34">
        <v>22.5</v>
      </c>
      <c r="V172" s="33"/>
      <c r="W172" s="33"/>
      <c r="X172" s="33">
        <f>IF(INT(U172)&gt;='3월 등급 정보'!$G$3,1,IF(INT(U172)&gt;='3월 등급 정보'!$G$4,2,IF(INT(U172)&gt;='3월 등급 정보'!$G$5,3,IF(INT(U172)&gt;='3월 등급 정보'!$G$6,4,IF(INT(U172)&gt;='3월 등급 정보'!$G$7,5,IF(INT(U172)&gt;='3월 등급 정보'!$G$8,6,IF(INT(U172)&gt;='3월 등급 정보'!$G$9,7,IF(INT(U172)&gt;='3월 등급 정보'!$G$10,8,IF(INT(U172)&gt;='3월 등급 정보'!$G$11,9)))))))))</f>
        <v>5</v>
      </c>
      <c r="Y172" s="34">
        <v>23</v>
      </c>
      <c r="Z172" s="33"/>
      <c r="AA172" s="33"/>
      <c r="AB172" s="33">
        <f>IF(INT(Y172)&gt;='3월 등급 정보'!$H$3,1,IF(INT(Y172)&gt;='3월 등급 정보'!$H$4,2,IF(INT(Y172)&gt;='3월 등급 정보'!$H$5,3,IF(INT(Y172)&gt;='3월 등급 정보'!$H$6,4,IF(INT(Y172)&gt;='3월 등급 정보'!$H$7,5,IF(INT(Y172)&gt;='3월 등급 정보'!$H$8,6,IF(INT(Y172)&gt;='3월 등급 정보'!$H$9,7,IF(INT(Y172)&gt;='3월 등급 정보'!$H$10,8,IF(INT(Y172)&gt;='3월 등급 정보'!$H$11,9)))))))))</f>
        <v>5</v>
      </c>
      <c r="AC172" s="33">
        <f>E172+I172+M172+Q172+U172</f>
        <v>199</v>
      </c>
      <c r="AD172" s="33">
        <f>RANK(AC172,$AC$3:$AC$273)</f>
        <v>169</v>
      </c>
    </row>
    <row r="173" spans="1:30" ht="17.25" customHeight="1">
      <c r="A173" s="33" t="s">
        <v>26</v>
      </c>
      <c r="B173" s="34">
        <v>6</v>
      </c>
      <c r="C173" s="34">
        <v>4</v>
      </c>
      <c r="D173" s="34" t="s">
        <v>32</v>
      </c>
      <c r="E173" s="34">
        <v>62</v>
      </c>
      <c r="F173" s="33"/>
      <c r="G173" s="33"/>
      <c r="H173" s="33">
        <f>IF(INT(E173)&gt;='3월 등급 정보'!$C$3,1,IF(INT(E173)&gt;='3월 등급 정보'!$C$4,2,IF(INT(E173)&gt;='3월 등급 정보'!$C$5,3,IF(INT(E173)&gt;='3월 등급 정보'!$C$6,4,IF(INT(E173)&gt;='3월 등급 정보'!$C$7,5,IF(INT(E173)&gt;='3월 등급 정보'!$C$8,6,IF(INT(E173)&gt;='3월 등급 정보'!$C$9,7,IF(INT(E173)&gt;='3월 등급 정보'!$C$10,8,IF(INT(E173)&gt;='3월 등급 정보'!$C$11,9)))))))))</f>
        <v>4</v>
      </c>
      <c r="I173" s="34">
        <v>38</v>
      </c>
      <c r="J173" s="33"/>
      <c r="K173" s="33"/>
      <c r="L173" s="33">
        <f>IF(INT(I173)&gt;='3월 등급 정보'!$D$3,1,IF(INT(I173)&gt;='3월 등급 정보'!$D$4,2,IF(INT(I173)&gt;='3월 등급 정보'!$D$5,3,IF(INT(I173)&gt;='3월 등급 정보'!$D$6,4,IF(INT(I173)&gt;='3월 등급 정보'!$D$7,5,IF(INT(I173)&gt;='3월 등급 정보'!$D$8,6,IF(INT(I173)&gt;='3월 등급 정보'!$D$9,7,IF(INT(I173)&gt;='3월 등급 정보'!$D$10,8,IF(INT(I173)&gt;='3월 등급 정보'!$D$11,9)))))))))</f>
        <v>5</v>
      </c>
      <c r="M173" s="34">
        <v>61</v>
      </c>
      <c r="N173" s="33"/>
      <c r="O173" s="33"/>
      <c r="P173" s="33">
        <f>IF(INT(M173)&gt;='3월 등급 정보'!$E$3,1,IF(INT(M173)&gt;='3월 등급 정보'!$E$4,2,IF(INT(M173)&gt;='3월 등급 정보'!$E$5,3,IF(INT(M173)&gt;='3월 등급 정보'!$E$6,4,IF(INT(M173)&gt;='3월 등급 정보'!$E$7,5,IF(INT(M173)&gt;='3월 등급 정보'!$E$8,6,IF(INT(M173)&gt;='3월 등급 정보'!$E$9,7,IF(INT(M173)&gt;='3월 등급 정보'!$E$10,8,IF(INT(M173)&gt;='3월 등급 정보'!$E$11,9)))))))))</f>
        <v>4</v>
      </c>
      <c r="Q173" s="34">
        <v>25</v>
      </c>
      <c r="R173" s="33"/>
      <c r="S173" s="33"/>
      <c r="T173" s="33">
        <f>IF(INT(Q173)&gt;='3월 등급 정보'!$F$3,1,IF(INT(Q173)&gt;='3월 등급 정보'!$F$4,2,IF(INT(Q173)&gt;='3월 등급 정보'!$F$5,3,IF(INT(Q173)&gt;='3월 등급 정보'!$F$6,4,IF(INT(Q173)&gt;='3월 등급 정보'!$F$7,5,IF(INT(Q173)&gt;='3월 등급 정보'!$F$8,6,IF(INT(Q173)&gt;='3월 등급 정보'!$F$9,7,IF(INT(Q173)&gt;='3월 등급 정보'!$F$10,8,IF(INT(Q173)&gt;='3월 등급 정보'!$F$11,9)))))))))</f>
        <v>6</v>
      </c>
      <c r="U173" s="34">
        <v>13</v>
      </c>
      <c r="V173" s="33"/>
      <c r="W173" s="33"/>
      <c r="X173" s="33">
        <f>IF(INT(U173)&gt;='3월 등급 정보'!$G$3,1,IF(INT(U173)&gt;='3월 등급 정보'!$G$4,2,IF(INT(U173)&gt;='3월 등급 정보'!$G$5,3,IF(INT(U173)&gt;='3월 등급 정보'!$G$6,4,IF(INT(U173)&gt;='3월 등급 정보'!$G$7,5,IF(INT(U173)&gt;='3월 등급 정보'!$G$8,6,IF(INT(U173)&gt;='3월 등급 정보'!$G$9,7,IF(INT(U173)&gt;='3월 등급 정보'!$G$10,8,IF(INT(U173)&gt;='3월 등급 정보'!$G$11,9)))))))))</f>
        <v>7</v>
      </c>
      <c r="Y173" s="34">
        <v>28</v>
      </c>
      <c r="Z173" s="33"/>
      <c r="AA173" s="33"/>
      <c r="AB173" s="33">
        <f>IF(INT(Y173)&gt;='3월 등급 정보'!$H$3,1,IF(INT(Y173)&gt;='3월 등급 정보'!$H$4,2,IF(INT(Y173)&gt;='3월 등급 정보'!$H$5,3,IF(INT(Y173)&gt;='3월 등급 정보'!$H$6,4,IF(INT(Y173)&gt;='3월 등급 정보'!$H$7,5,IF(INT(Y173)&gt;='3월 등급 정보'!$H$8,6,IF(INT(Y173)&gt;='3월 등급 정보'!$H$9,7,IF(INT(Y173)&gt;='3월 등급 정보'!$H$10,8,IF(INT(Y173)&gt;='3월 등급 정보'!$H$11,9)))))))))</f>
        <v>4</v>
      </c>
      <c r="AC173" s="33">
        <f>E173+I173+M173+Q173+U173</f>
        <v>199</v>
      </c>
      <c r="AD173" s="33">
        <f>RANK(AC173,$AC$3:$AC$273)</f>
        <v>169</v>
      </c>
    </row>
    <row r="174" spans="1:30" ht="17.25" customHeight="1">
      <c r="A174" s="33" t="s">
        <v>26</v>
      </c>
      <c r="B174" s="34">
        <v>8</v>
      </c>
      <c r="C174" s="34">
        <v>17</v>
      </c>
      <c r="D174" s="34" t="s">
        <v>228</v>
      </c>
      <c r="E174" s="34">
        <v>61</v>
      </c>
      <c r="F174" s="33"/>
      <c r="G174" s="33"/>
      <c r="H174" s="33">
        <f>IF(INT(E174)&gt;='3월 등급 정보'!$C$3,1,IF(INT(E174)&gt;='3월 등급 정보'!$C$4,2,IF(INT(E174)&gt;='3월 등급 정보'!$C$5,3,IF(INT(E174)&gt;='3월 등급 정보'!$C$6,4,IF(INT(E174)&gt;='3월 등급 정보'!$C$7,5,IF(INT(E174)&gt;='3월 등급 정보'!$C$8,6,IF(INT(E174)&gt;='3월 등급 정보'!$C$9,7,IF(INT(E174)&gt;='3월 등급 정보'!$C$10,8,IF(INT(E174)&gt;='3월 등급 정보'!$C$11,9)))))))))</f>
        <v>4</v>
      </c>
      <c r="I174" s="34">
        <v>27</v>
      </c>
      <c r="J174" s="33"/>
      <c r="K174" s="33"/>
      <c r="L174" s="33">
        <f>IF(INT(I174)&gt;='3월 등급 정보'!$D$3,1,IF(INT(I174)&gt;='3월 등급 정보'!$D$4,2,IF(INT(I174)&gt;='3월 등급 정보'!$D$5,3,IF(INT(I174)&gt;='3월 등급 정보'!$D$6,4,IF(INT(I174)&gt;='3월 등급 정보'!$D$7,5,IF(INT(I174)&gt;='3월 등급 정보'!$D$8,6,IF(INT(I174)&gt;='3월 등급 정보'!$D$9,7,IF(INT(I174)&gt;='3월 등급 정보'!$D$10,8,IF(INT(I174)&gt;='3월 등급 정보'!$D$11,9)))))))))</f>
        <v>7</v>
      </c>
      <c r="M174" s="34">
        <v>57</v>
      </c>
      <c r="N174" s="33"/>
      <c r="O174" s="33"/>
      <c r="P174" s="33">
        <f>IF(INT(M174)&gt;='3월 등급 정보'!$E$3,1,IF(INT(M174)&gt;='3월 등급 정보'!$E$4,2,IF(INT(M174)&gt;='3월 등급 정보'!$E$5,3,IF(INT(M174)&gt;='3월 등급 정보'!$E$6,4,IF(INT(M174)&gt;='3월 등급 정보'!$E$7,5,IF(INT(M174)&gt;='3월 등급 정보'!$E$8,6,IF(INT(M174)&gt;='3월 등급 정보'!$E$9,7,IF(INT(M174)&gt;='3월 등급 정보'!$E$10,8,IF(INT(M174)&gt;='3월 등급 정보'!$E$11,9)))))))))</f>
        <v>5</v>
      </c>
      <c r="Q174" s="34">
        <v>41.5</v>
      </c>
      <c r="R174" s="33"/>
      <c r="S174" s="33"/>
      <c r="T174" s="33">
        <f>IF(INT(Q174)&gt;='3월 등급 정보'!$F$3,1,IF(INT(Q174)&gt;='3월 등급 정보'!$F$4,2,IF(INT(Q174)&gt;='3월 등급 정보'!$F$5,3,IF(INT(Q174)&gt;='3월 등급 정보'!$F$6,4,IF(INT(Q174)&gt;='3월 등급 정보'!$F$7,5,IF(INT(Q174)&gt;='3월 등급 정보'!$F$8,6,IF(INT(Q174)&gt;='3월 등급 정보'!$F$9,7,IF(INT(Q174)&gt;='3월 등급 정보'!$F$10,8,IF(INT(Q174)&gt;='3월 등급 정보'!$F$11,9)))))))))</f>
        <v>3</v>
      </c>
      <c r="U174" s="34">
        <v>10.5</v>
      </c>
      <c r="V174" s="33"/>
      <c r="W174" s="33"/>
      <c r="X174" s="33">
        <f>IF(INT(U174)&gt;='3월 등급 정보'!$G$3,1,IF(INT(U174)&gt;='3월 등급 정보'!$G$4,2,IF(INT(U174)&gt;='3월 등급 정보'!$G$5,3,IF(INT(U174)&gt;='3월 등급 정보'!$G$6,4,IF(INT(U174)&gt;='3월 등급 정보'!$G$7,5,IF(INT(U174)&gt;='3월 등급 정보'!$G$8,6,IF(INT(U174)&gt;='3월 등급 정보'!$G$9,7,IF(INT(U174)&gt;='3월 등급 정보'!$G$10,8,IF(INT(U174)&gt;='3월 등급 정보'!$G$11,9)))))))))</f>
        <v>8</v>
      </c>
      <c r="Y174" s="34">
        <v>29</v>
      </c>
      <c r="Z174" s="33"/>
      <c r="AA174" s="33"/>
      <c r="AB174" s="33">
        <f>IF(INT(Y174)&gt;='3월 등급 정보'!$H$3,1,IF(INT(Y174)&gt;='3월 등급 정보'!$H$4,2,IF(INT(Y174)&gt;='3월 등급 정보'!$H$5,3,IF(INT(Y174)&gt;='3월 등급 정보'!$H$6,4,IF(INT(Y174)&gt;='3월 등급 정보'!$H$7,5,IF(INT(Y174)&gt;='3월 등급 정보'!$H$8,6,IF(INT(Y174)&gt;='3월 등급 정보'!$H$9,7,IF(INT(Y174)&gt;='3월 등급 정보'!$H$10,8,IF(INT(Y174)&gt;='3월 등급 정보'!$H$11,9)))))))))</f>
        <v>4</v>
      </c>
      <c r="AC174" s="33">
        <f>E174+I174+M174+Q174+U174</f>
        <v>197</v>
      </c>
      <c r="AD174" s="33">
        <f>RANK(AC174,$AC$3:$AC$273)</f>
        <v>172</v>
      </c>
    </row>
    <row r="175" spans="1:30" ht="17.25" customHeight="1">
      <c r="A175" s="33" t="s">
        <v>26</v>
      </c>
      <c r="B175" s="34">
        <v>2</v>
      </c>
      <c r="C175" s="34">
        <v>22</v>
      </c>
      <c r="D175" s="34" t="s">
        <v>74</v>
      </c>
      <c r="E175" s="34">
        <v>41</v>
      </c>
      <c r="F175" s="33"/>
      <c r="G175" s="33"/>
      <c r="H175" s="33">
        <f>IF(INT(E175)&gt;='3월 등급 정보'!$C$3,1,IF(INT(E175)&gt;='3월 등급 정보'!$C$4,2,IF(INT(E175)&gt;='3월 등급 정보'!$C$5,3,IF(INT(E175)&gt;='3월 등급 정보'!$C$6,4,IF(INT(E175)&gt;='3월 등급 정보'!$C$7,5,IF(INT(E175)&gt;='3월 등급 정보'!$C$8,6,IF(INT(E175)&gt;='3월 등급 정보'!$C$9,7,IF(INT(E175)&gt;='3월 등급 정보'!$C$10,8,IF(INT(E175)&gt;='3월 등급 정보'!$C$11,9)))))))))</f>
        <v>6</v>
      </c>
      <c r="I175" s="34">
        <v>40</v>
      </c>
      <c r="J175" s="33"/>
      <c r="K175" s="33"/>
      <c r="L175" s="33">
        <f>IF(INT(I175)&gt;='3월 등급 정보'!$D$3,1,IF(INT(I175)&gt;='3월 등급 정보'!$D$4,2,IF(INT(I175)&gt;='3월 등급 정보'!$D$5,3,IF(INT(I175)&gt;='3월 등급 정보'!$D$6,4,IF(INT(I175)&gt;='3월 등급 정보'!$D$7,5,IF(INT(I175)&gt;='3월 등급 정보'!$D$8,6,IF(INT(I175)&gt;='3월 등급 정보'!$D$9,7,IF(INT(I175)&gt;='3월 등급 정보'!$D$10,8,IF(INT(I175)&gt;='3월 등급 정보'!$D$11,9)))))))))</f>
        <v>5</v>
      </c>
      <c r="M175" s="34">
        <v>58</v>
      </c>
      <c r="N175" s="33"/>
      <c r="O175" s="33"/>
      <c r="P175" s="33">
        <f>IF(INT(M175)&gt;='3월 등급 정보'!$E$3,1,IF(INT(M175)&gt;='3월 등급 정보'!$E$4,2,IF(INT(M175)&gt;='3월 등급 정보'!$E$5,3,IF(INT(M175)&gt;='3월 등급 정보'!$E$6,4,IF(INT(M175)&gt;='3월 등급 정보'!$E$7,5,IF(INT(M175)&gt;='3월 등급 정보'!$E$8,6,IF(INT(M175)&gt;='3월 등급 정보'!$E$9,7,IF(INT(M175)&gt;='3월 등급 정보'!$E$10,8,IF(INT(M175)&gt;='3월 등급 정보'!$E$11,9)))))))))</f>
        <v>5</v>
      </c>
      <c r="Q175" s="34">
        <v>22.5</v>
      </c>
      <c r="R175" s="33"/>
      <c r="S175" s="33"/>
      <c r="T175" s="33">
        <f>IF(INT(Q175)&gt;='3월 등급 정보'!$F$3,1,IF(INT(Q175)&gt;='3월 등급 정보'!$F$4,2,IF(INT(Q175)&gt;='3월 등급 정보'!$F$5,3,IF(INT(Q175)&gt;='3월 등급 정보'!$F$6,4,IF(INT(Q175)&gt;='3월 등급 정보'!$F$7,5,IF(INT(Q175)&gt;='3월 등급 정보'!$F$8,6,IF(INT(Q175)&gt;='3월 등급 정보'!$F$9,7,IF(INT(Q175)&gt;='3월 등급 정보'!$F$10,8,IF(INT(Q175)&gt;='3월 등급 정보'!$F$11,9)))))))))</f>
        <v>6</v>
      </c>
      <c r="U175" s="34">
        <v>35</v>
      </c>
      <c r="V175" s="33"/>
      <c r="W175" s="33"/>
      <c r="X175" s="33">
        <f>IF(INT(U175)&gt;='3월 등급 정보'!$G$3,1,IF(INT(U175)&gt;='3월 등급 정보'!$G$4,2,IF(INT(U175)&gt;='3월 등급 정보'!$G$5,3,IF(INT(U175)&gt;='3월 등급 정보'!$G$6,4,IF(INT(U175)&gt;='3월 등급 정보'!$G$7,5,IF(INT(U175)&gt;='3월 등급 정보'!$G$8,6,IF(INT(U175)&gt;='3월 등급 정보'!$G$9,7,IF(INT(U175)&gt;='3월 등급 정보'!$G$10,8,IF(INT(U175)&gt;='3월 등급 정보'!$G$11,9)))))))))</f>
        <v>3</v>
      </c>
      <c r="Y175" s="34">
        <v>42</v>
      </c>
      <c r="Z175" s="33"/>
      <c r="AA175" s="33"/>
      <c r="AB175" s="33">
        <f>IF(INT(Y175)&gt;='3월 등급 정보'!$H$3,1,IF(INT(Y175)&gt;='3월 등급 정보'!$H$4,2,IF(INT(Y175)&gt;='3월 등급 정보'!$H$5,3,IF(INT(Y175)&gt;='3월 등급 정보'!$H$6,4,IF(INT(Y175)&gt;='3월 등급 정보'!$H$7,5,IF(INT(Y175)&gt;='3월 등급 정보'!$H$8,6,IF(INT(Y175)&gt;='3월 등급 정보'!$H$9,7,IF(INT(Y175)&gt;='3월 등급 정보'!$H$10,8,IF(INT(Y175)&gt;='3월 등급 정보'!$H$11,9)))))))))</f>
        <v>1</v>
      </c>
      <c r="AC175" s="33">
        <f>E175+I175+M175+Q175+U175</f>
        <v>196.5</v>
      </c>
      <c r="AD175" s="33">
        <f>RANK(AC175,$AC$3:$AC$273)</f>
        <v>173</v>
      </c>
    </row>
    <row r="176" spans="1:30" ht="17.25" customHeight="1">
      <c r="A176" s="33" t="s">
        <v>26</v>
      </c>
      <c r="B176" s="34">
        <v>4</v>
      </c>
      <c r="C176" s="34">
        <v>19</v>
      </c>
      <c r="D176" s="34" t="s">
        <v>123</v>
      </c>
      <c r="E176" s="34">
        <v>41</v>
      </c>
      <c r="F176" s="33"/>
      <c r="G176" s="33"/>
      <c r="H176" s="33">
        <f>IF(INT(E176)&gt;='3월 등급 정보'!$C$3,1,IF(INT(E176)&gt;='3월 등급 정보'!$C$4,2,IF(INT(E176)&gt;='3월 등급 정보'!$C$5,3,IF(INT(E176)&gt;='3월 등급 정보'!$C$6,4,IF(INT(E176)&gt;='3월 등급 정보'!$C$7,5,IF(INT(E176)&gt;='3월 등급 정보'!$C$8,6,IF(INT(E176)&gt;='3월 등급 정보'!$C$9,7,IF(INT(E176)&gt;='3월 등급 정보'!$C$10,8,IF(INT(E176)&gt;='3월 등급 정보'!$C$11,9)))))))))</f>
        <v>6</v>
      </c>
      <c r="I176" s="34">
        <v>55</v>
      </c>
      <c r="J176" s="33"/>
      <c r="K176" s="33"/>
      <c r="L176" s="33">
        <f>IF(INT(I176)&gt;='3월 등급 정보'!$D$3,1,IF(INT(I176)&gt;='3월 등급 정보'!$D$4,2,IF(INT(I176)&gt;='3월 등급 정보'!$D$5,3,IF(INT(I176)&gt;='3월 등급 정보'!$D$6,4,IF(INT(I176)&gt;='3월 등급 정보'!$D$7,5,IF(INT(I176)&gt;='3월 등급 정보'!$D$8,6,IF(INT(I176)&gt;='3월 등급 정보'!$D$9,7,IF(INT(I176)&gt;='3월 등급 정보'!$D$10,8,IF(INT(I176)&gt;='3월 등급 정보'!$D$11,9)))))))))</f>
        <v>4</v>
      </c>
      <c r="M176" s="34">
        <v>58</v>
      </c>
      <c r="N176" s="33"/>
      <c r="O176" s="33"/>
      <c r="P176" s="33">
        <f>IF(INT(M176)&gt;='3월 등급 정보'!$E$3,1,IF(INT(M176)&gt;='3월 등급 정보'!$E$4,2,IF(INT(M176)&gt;='3월 등급 정보'!$E$5,3,IF(INT(M176)&gt;='3월 등급 정보'!$E$6,4,IF(INT(M176)&gt;='3월 등급 정보'!$E$7,5,IF(INT(M176)&gt;='3월 등급 정보'!$E$8,6,IF(INT(M176)&gt;='3월 등급 정보'!$E$9,7,IF(INT(M176)&gt;='3월 등급 정보'!$E$10,8,IF(INT(M176)&gt;='3월 등급 정보'!$E$11,9)))))))))</f>
        <v>5</v>
      </c>
      <c r="Q176" s="34">
        <v>26.5</v>
      </c>
      <c r="R176" s="33"/>
      <c r="S176" s="33"/>
      <c r="T176" s="33">
        <f>IF(INT(Q176)&gt;='3월 등급 정보'!$F$3,1,IF(INT(Q176)&gt;='3월 등급 정보'!$F$4,2,IF(INT(Q176)&gt;='3월 등급 정보'!$F$5,3,IF(INT(Q176)&gt;='3월 등급 정보'!$F$6,4,IF(INT(Q176)&gt;='3월 등급 정보'!$F$7,5,IF(INT(Q176)&gt;='3월 등급 정보'!$F$8,6,IF(INT(Q176)&gt;='3월 등급 정보'!$F$9,7,IF(INT(Q176)&gt;='3월 등급 정보'!$F$10,8,IF(INT(Q176)&gt;='3월 등급 정보'!$F$11,9)))))))))</f>
        <v>5</v>
      </c>
      <c r="U176" s="34">
        <v>16</v>
      </c>
      <c r="V176" s="33"/>
      <c r="W176" s="33"/>
      <c r="X176" s="33">
        <f>IF(INT(U176)&gt;='3월 등급 정보'!$G$3,1,IF(INT(U176)&gt;='3월 등급 정보'!$G$4,2,IF(INT(U176)&gt;='3월 등급 정보'!$G$5,3,IF(INT(U176)&gt;='3월 등급 정보'!$G$6,4,IF(INT(U176)&gt;='3월 등급 정보'!$G$7,5,IF(INT(U176)&gt;='3월 등급 정보'!$G$8,6,IF(INT(U176)&gt;='3월 등급 정보'!$G$9,7,IF(INT(U176)&gt;='3월 등급 정보'!$G$10,8,IF(INT(U176)&gt;='3월 등급 정보'!$G$11,9)))))))))</f>
        <v>6</v>
      </c>
      <c r="Y176" s="34">
        <v>33</v>
      </c>
      <c r="Z176" s="33"/>
      <c r="AA176" s="33"/>
      <c r="AB176" s="33">
        <f>IF(INT(Y176)&gt;='3월 등급 정보'!$H$3,1,IF(INT(Y176)&gt;='3월 등급 정보'!$H$4,2,IF(INT(Y176)&gt;='3월 등급 정보'!$H$5,3,IF(INT(Y176)&gt;='3월 등급 정보'!$H$6,4,IF(INT(Y176)&gt;='3월 등급 정보'!$H$7,5,IF(INT(Y176)&gt;='3월 등급 정보'!$H$8,6,IF(INT(Y176)&gt;='3월 등급 정보'!$H$9,7,IF(INT(Y176)&gt;='3월 등급 정보'!$H$10,8,IF(INT(Y176)&gt;='3월 등급 정보'!$H$11,9)))))))))</f>
        <v>3</v>
      </c>
      <c r="AC176" s="33">
        <f>E176+I176+M176+Q176+U176</f>
        <v>196.5</v>
      </c>
      <c r="AD176" s="33">
        <f>RANK(AC176,$AC$3:$AC$273)</f>
        <v>173</v>
      </c>
    </row>
    <row r="177" spans="1:30" ht="17.25" customHeight="1">
      <c r="A177" s="33" t="s">
        <v>26</v>
      </c>
      <c r="B177" s="34">
        <v>6</v>
      </c>
      <c r="C177" s="34">
        <v>21</v>
      </c>
      <c r="D177" s="34" t="s">
        <v>179</v>
      </c>
      <c r="E177" s="34">
        <v>58</v>
      </c>
      <c r="F177" s="33"/>
      <c r="G177" s="33"/>
      <c r="H177" s="33">
        <f>IF(INT(E177)&gt;='3월 등급 정보'!$C$3,1,IF(INT(E177)&gt;='3월 등급 정보'!$C$4,2,IF(INT(E177)&gt;='3월 등급 정보'!$C$5,3,IF(INT(E177)&gt;='3월 등급 정보'!$C$6,4,IF(INT(E177)&gt;='3월 등급 정보'!$C$7,5,IF(INT(E177)&gt;='3월 등급 정보'!$C$8,6,IF(INT(E177)&gt;='3월 등급 정보'!$C$9,7,IF(INT(E177)&gt;='3월 등급 정보'!$C$10,8,IF(INT(E177)&gt;='3월 등급 정보'!$C$11,9)))))))))</f>
        <v>5</v>
      </c>
      <c r="I177" s="34">
        <v>37</v>
      </c>
      <c r="J177" s="33"/>
      <c r="K177" s="33"/>
      <c r="L177" s="33">
        <f>IF(INT(I177)&gt;='3월 등급 정보'!$D$3,1,IF(INT(I177)&gt;='3월 등급 정보'!$D$4,2,IF(INT(I177)&gt;='3월 등급 정보'!$D$5,3,IF(INT(I177)&gt;='3월 등급 정보'!$D$6,4,IF(INT(I177)&gt;='3월 등급 정보'!$D$7,5,IF(INT(I177)&gt;='3월 등급 정보'!$D$8,6,IF(INT(I177)&gt;='3월 등급 정보'!$D$9,7,IF(INT(I177)&gt;='3월 등급 정보'!$D$10,8,IF(INT(I177)&gt;='3월 등급 정보'!$D$11,9)))))))))</f>
        <v>6</v>
      </c>
      <c r="M177" s="34">
        <v>59</v>
      </c>
      <c r="N177" s="33"/>
      <c r="O177" s="33"/>
      <c r="P177" s="33">
        <f>IF(INT(M177)&gt;='3월 등급 정보'!$E$3,1,IF(INT(M177)&gt;='3월 등급 정보'!$E$4,2,IF(INT(M177)&gt;='3월 등급 정보'!$E$5,3,IF(INT(M177)&gt;='3월 등급 정보'!$E$6,4,IF(INT(M177)&gt;='3월 등급 정보'!$E$7,5,IF(INT(M177)&gt;='3월 등급 정보'!$E$8,6,IF(INT(M177)&gt;='3월 등급 정보'!$E$9,7,IF(INT(M177)&gt;='3월 등급 정보'!$E$10,8,IF(INT(M177)&gt;='3월 등급 정보'!$E$11,9)))))))))</f>
        <v>5</v>
      </c>
      <c r="Q177" s="34">
        <v>28.5</v>
      </c>
      <c r="R177" s="33"/>
      <c r="S177" s="33"/>
      <c r="T177" s="33">
        <f>IF(INT(Q177)&gt;='3월 등급 정보'!$F$3,1,IF(INT(Q177)&gt;='3월 등급 정보'!$F$4,2,IF(INT(Q177)&gt;='3월 등급 정보'!$F$5,3,IF(INT(Q177)&gt;='3월 등급 정보'!$F$6,4,IF(INT(Q177)&gt;='3월 등급 정보'!$F$7,5,IF(INT(Q177)&gt;='3월 등급 정보'!$F$8,6,IF(INT(Q177)&gt;='3월 등급 정보'!$F$9,7,IF(INT(Q177)&gt;='3월 등급 정보'!$F$10,8,IF(INT(Q177)&gt;='3월 등급 정보'!$F$11,9)))))))))</f>
        <v>5</v>
      </c>
      <c r="U177" s="34">
        <v>14</v>
      </c>
      <c r="V177" s="33"/>
      <c r="W177" s="33"/>
      <c r="X177" s="33">
        <f>IF(INT(U177)&gt;='3월 등급 정보'!$G$3,1,IF(INT(U177)&gt;='3월 등급 정보'!$G$4,2,IF(INT(U177)&gt;='3월 등급 정보'!$G$5,3,IF(INT(U177)&gt;='3월 등급 정보'!$G$6,4,IF(INT(U177)&gt;='3월 등급 정보'!$G$7,5,IF(INT(U177)&gt;='3월 등급 정보'!$G$8,6,IF(INT(U177)&gt;='3월 등급 정보'!$G$9,7,IF(INT(U177)&gt;='3월 등급 정보'!$G$10,8,IF(INT(U177)&gt;='3월 등급 정보'!$G$11,9)))))))))</f>
        <v>6</v>
      </c>
      <c r="Y177" s="34">
        <v>17</v>
      </c>
      <c r="Z177" s="33"/>
      <c r="AA177" s="33"/>
      <c r="AB177" s="33">
        <f>IF(INT(Y177)&gt;='3월 등급 정보'!$H$3,1,IF(INT(Y177)&gt;='3월 등급 정보'!$H$4,2,IF(INT(Y177)&gt;='3월 등급 정보'!$H$5,3,IF(INT(Y177)&gt;='3월 등급 정보'!$H$6,4,IF(INT(Y177)&gt;='3월 등급 정보'!$H$7,5,IF(INT(Y177)&gt;='3월 등급 정보'!$H$8,6,IF(INT(Y177)&gt;='3월 등급 정보'!$H$9,7,IF(INT(Y177)&gt;='3월 등급 정보'!$H$10,8,IF(INT(Y177)&gt;='3월 등급 정보'!$H$11,9)))))))))</f>
        <v>6</v>
      </c>
      <c r="AC177" s="33">
        <f>E177+I177+M177+Q177+U177</f>
        <v>196.5</v>
      </c>
      <c r="AD177" s="33">
        <f>RANK(AC177,$AC$3:$AC$273)</f>
        <v>173</v>
      </c>
    </row>
    <row r="178" spans="1:30" ht="17.25" customHeight="1">
      <c r="A178" s="33" t="s">
        <v>26</v>
      </c>
      <c r="B178" s="34">
        <v>8</v>
      </c>
      <c r="C178" s="34">
        <v>19</v>
      </c>
      <c r="D178" s="34" t="s">
        <v>230</v>
      </c>
      <c r="E178" s="34">
        <v>61</v>
      </c>
      <c r="F178" s="33"/>
      <c r="G178" s="33"/>
      <c r="H178" s="33">
        <f>IF(INT(E178)&gt;='3월 등급 정보'!$C$3,1,IF(INT(E178)&gt;='3월 등급 정보'!$C$4,2,IF(INT(E178)&gt;='3월 등급 정보'!$C$5,3,IF(INT(E178)&gt;='3월 등급 정보'!$C$6,4,IF(INT(E178)&gt;='3월 등급 정보'!$C$7,5,IF(INT(E178)&gt;='3월 등급 정보'!$C$8,6,IF(INT(E178)&gt;='3월 등급 정보'!$C$9,7,IF(INT(E178)&gt;='3월 등급 정보'!$C$10,8,IF(INT(E178)&gt;='3월 등급 정보'!$C$11,9)))))))))</f>
        <v>4</v>
      </c>
      <c r="I178" s="34">
        <v>27</v>
      </c>
      <c r="J178" s="33"/>
      <c r="K178" s="33"/>
      <c r="L178" s="33">
        <f>IF(INT(I178)&gt;='3월 등급 정보'!$D$3,1,IF(INT(I178)&gt;='3월 등급 정보'!$D$4,2,IF(INT(I178)&gt;='3월 등급 정보'!$D$5,3,IF(INT(I178)&gt;='3월 등급 정보'!$D$6,4,IF(INT(I178)&gt;='3월 등급 정보'!$D$7,5,IF(INT(I178)&gt;='3월 등급 정보'!$D$8,6,IF(INT(I178)&gt;='3월 등급 정보'!$D$9,7,IF(INT(I178)&gt;='3월 등급 정보'!$D$10,8,IF(INT(I178)&gt;='3월 등급 정보'!$D$11,9)))))))))</f>
        <v>7</v>
      </c>
      <c r="M178" s="34">
        <v>47</v>
      </c>
      <c r="N178" s="33"/>
      <c r="O178" s="33"/>
      <c r="P178" s="33">
        <f>IF(INT(M178)&gt;='3월 등급 정보'!$E$3,1,IF(INT(M178)&gt;='3월 등급 정보'!$E$4,2,IF(INT(M178)&gt;='3월 등급 정보'!$E$5,3,IF(INT(M178)&gt;='3월 등급 정보'!$E$6,4,IF(INT(M178)&gt;='3월 등급 정보'!$E$7,5,IF(INT(M178)&gt;='3월 등급 정보'!$E$8,6,IF(INT(M178)&gt;='3월 등급 정보'!$E$9,7,IF(INT(M178)&gt;='3월 등급 정보'!$E$10,8,IF(INT(M178)&gt;='3월 등급 정보'!$E$11,9)))))))))</f>
        <v>6</v>
      </c>
      <c r="Q178" s="34">
        <v>31</v>
      </c>
      <c r="R178" s="33"/>
      <c r="S178" s="33"/>
      <c r="T178" s="33">
        <f>IF(INT(Q178)&gt;='3월 등급 정보'!$F$3,1,IF(INT(Q178)&gt;='3월 등급 정보'!$F$4,2,IF(INT(Q178)&gt;='3월 등급 정보'!$F$5,3,IF(INT(Q178)&gt;='3월 등급 정보'!$F$6,4,IF(INT(Q178)&gt;='3월 등급 정보'!$F$7,5,IF(INT(Q178)&gt;='3월 등급 정보'!$F$8,6,IF(INT(Q178)&gt;='3월 등급 정보'!$F$9,7,IF(INT(Q178)&gt;='3월 등급 정보'!$F$10,8,IF(INT(Q178)&gt;='3월 등급 정보'!$F$11,9)))))))))</f>
        <v>5</v>
      </c>
      <c r="U178" s="34">
        <v>30.5</v>
      </c>
      <c r="V178" s="33"/>
      <c r="W178" s="33"/>
      <c r="X178" s="33">
        <f>IF(INT(U178)&gt;='3월 등급 정보'!$G$3,1,IF(INT(U178)&gt;='3월 등급 정보'!$G$4,2,IF(INT(U178)&gt;='3월 등급 정보'!$G$5,3,IF(INT(U178)&gt;='3월 등급 정보'!$G$6,4,IF(INT(U178)&gt;='3월 등급 정보'!$G$7,5,IF(INT(U178)&gt;='3월 등급 정보'!$G$8,6,IF(INT(U178)&gt;='3월 등급 정보'!$G$9,7,IF(INT(U178)&gt;='3월 등급 정보'!$G$10,8,IF(INT(U178)&gt;='3월 등급 정보'!$G$11,9)))))))))</f>
        <v>4</v>
      </c>
      <c r="Y178" s="34">
        <v>15</v>
      </c>
      <c r="Z178" s="33"/>
      <c r="AA178" s="33"/>
      <c r="AB178" s="33">
        <f>IF(INT(Y178)&gt;='3월 등급 정보'!$H$3,1,IF(INT(Y178)&gt;='3월 등급 정보'!$H$4,2,IF(INT(Y178)&gt;='3월 등급 정보'!$H$5,3,IF(INT(Y178)&gt;='3월 등급 정보'!$H$6,4,IF(INT(Y178)&gt;='3월 등급 정보'!$H$7,5,IF(INT(Y178)&gt;='3월 등급 정보'!$H$8,6,IF(INT(Y178)&gt;='3월 등급 정보'!$H$9,7,IF(INT(Y178)&gt;='3월 등급 정보'!$H$10,8,IF(INT(Y178)&gt;='3월 등급 정보'!$H$11,9)))))))))</f>
        <v>6</v>
      </c>
      <c r="AC178" s="33">
        <f>E178+I178+M178+Q178+U178</f>
        <v>196.5</v>
      </c>
      <c r="AD178" s="33">
        <f>RANK(AC178,$AC$3:$AC$273)</f>
        <v>173</v>
      </c>
    </row>
    <row r="179" spans="1:30" ht="17.25" customHeight="1">
      <c r="A179" s="33" t="s">
        <v>26</v>
      </c>
      <c r="B179" s="34">
        <v>9</v>
      </c>
      <c r="C179" s="34">
        <v>20</v>
      </c>
      <c r="D179" s="34" t="s">
        <v>257</v>
      </c>
      <c r="E179" s="34">
        <v>49</v>
      </c>
      <c r="F179" s="33"/>
      <c r="G179" s="33"/>
      <c r="H179" s="33">
        <f>IF(INT(E179)&gt;='3월 등급 정보'!$C$3,1,IF(INT(E179)&gt;='3월 등급 정보'!$C$4,2,IF(INT(E179)&gt;='3월 등급 정보'!$C$5,3,IF(INT(E179)&gt;='3월 등급 정보'!$C$6,4,IF(INT(E179)&gt;='3월 등급 정보'!$C$7,5,IF(INT(E179)&gt;='3월 등급 정보'!$C$8,6,IF(INT(E179)&gt;='3월 등급 정보'!$C$9,7,IF(INT(E179)&gt;='3월 등급 정보'!$C$10,8,IF(INT(E179)&gt;='3월 등급 정보'!$C$11,9)))))))))</f>
        <v>5</v>
      </c>
      <c r="I179" s="34">
        <v>43</v>
      </c>
      <c r="J179" s="33"/>
      <c r="K179" s="33"/>
      <c r="L179" s="33">
        <f>IF(INT(I179)&gt;='3월 등급 정보'!$D$3,1,IF(INT(I179)&gt;='3월 등급 정보'!$D$4,2,IF(INT(I179)&gt;='3월 등급 정보'!$D$5,3,IF(INT(I179)&gt;='3월 등급 정보'!$D$6,4,IF(INT(I179)&gt;='3월 등급 정보'!$D$7,5,IF(INT(I179)&gt;='3월 등급 정보'!$D$8,6,IF(INT(I179)&gt;='3월 등급 정보'!$D$9,7,IF(INT(I179)&gt;='3월 등급 정보'!$D$10,8,IF(INT(I179)&gt;='3월 등급 정보'!$D$11,9)))))))))</f>
        <v>5</v>
      </c>
      <c r="M179" s="34">
        <v>41</v>
      </c>
      <c r="N179" s="33"/>
      <c r="O179" s="33"/>
      <c r="P179" s="33">
        <f>IF(INT(M179)&gt;='3월 등급 정보'!$E$3,1,IF(INT(M179)&gt;='3월 등급 정보'!$E$4,2,IF(INT(M179)&gt;='3월 등급 정보'!$E$5,3,IF(INT(M179)&gt;='3월 등급 정보'!$E$6,4,IF(INT(M179)&gt;='3월 등급 정보'!$E$7,5,IF(INT(M179)&gt;='3월 등급 정보'!$E$8,6,IF(INT(M179)&gt;='3월 등급 정보'!$E$9,7,IF(INT(M179)&gt;='3월 등급 정보'!$E$10,8,IF(INT(M179)&gt;='3월 등급 정보'!$E$11,9)))))))))</f>
        <v>6</v>
      </c>
      <c r="Q179" s="34">
        <v>30</v>
      </c>
      <c r="R179" s="33"/>
      <c r="S179" s="33"/>
      <c r="T179" s="33">
        <f>IF(INT(Q179)&gt;='3월 등급 정보'!$F$3,1,IF(INT(Q179)&gt;='3월 등급 정보'!$F$4,2,IF(INT(Q179)&gt;='3월 등급 정보'!$F$5,3,IF(INT(Q179)&gt;='3월 등급 정보'!$F$6,4,IF(INT(Q179)&gt;='3월 등급 정보'!$F$7,5,IF(INT(Q179)&gt;='3월 등급 정보'!$F$8,6,IF(INT(Q179)&gt;='3월 등급 정보'!$F$9,7,IF(INT(Q179)&gt;='3월 등급 정보'!$F$10,8,IF(INT(Q179)&gt;='3월 등급 정보'!$F$11,9)))))))))</f>
        <v>5</v>
      </c>
      <c r="U179" s="34">
        <v>33.5</v>
      </c>
      <c r="V179" s="33"/>
      <c r="W179" s="33"/>
      <c r="X179" s="33">
        <f>IF(INT(U179)&gt;='3월 등급 정보'!$G$3,1,IF(INT(U179)&gt;='3월 등급 정보'!$G$4,2,IF(INT(U179)&gt;='3월 등급 정보'!$G$5,3,IF(INT(U179)&gt;='3월 등급 정보'!$G$6,4,IF(INT(U179)&gt;='3월 등급 정보'!$G$7,5,IF(INT(U179)&gt;='3월 등급 정보'!$G$8,6,IF(INT(U179)&gt;='3월 등급 정보'!$G$9,7,IF(INT(U179)&gt;='3월 등급 정보'!$G$10,8,IF(INT(U179)&gt;='3월 등급 정보'!$G$11,9)))))))))</f>
        <v>3</v>
      </c>
      <c r="Y179" s="34">
        <v>36</v>
      </c>
      <c r="Z179" s="33"/>
      <c r="AA179" s="33"/>
      <c r="AB179" s="33">
        <f>IF(INT(Y179)&gt;='3월 등급 정보'!$H$3,1,IF(INT(Y179)&gt;='3월 등급 정보'!$H$4,2,IF(INT(Y179)&gt;='3월 등급 정보'!$H$5,3,IF(INT(Y179)&gt;='3월 등급 정보'!$H$6,4,IF(INT(Y179)&gt;='3월 등급 정보'!$H$7,5,IF(INT(Y179)&gt;='3월 등급 정보'!$H$8,6,IF(INT(Y179)&gt;='3월 등급 정보'!$H$9,7,IF(INT(Y179)&gt;='3월 등급 정보'!$H$10,8,IF(INT(Y179)&gt;='3월 등급 정보'!$H$11,9)))))))))</f>
        <v>2</v>
      </c>
      <c r="AC179" s="33">
        <f>E179+I179+M179+Q179+U179</f>
        <v>196.5</v>
      </c>
      <c r="AD179" s="33">
        <f>RANK(AC179,$AC$3:$AC$273)</f>
        <v>173</v>
      </c>
    </row>
    <row r="180" spans="1:30" ht="17.25" customHeight="1">
      <c r="A180" s="33" t="s">
        <v>26</v>
      </c>
      <c r="B180" s="34">
        <v>5</v>
      </c>
      <c r="C180" s="34">
        <v>10</v>
      </c>
      <c r="D180" s="34" t="s">
        <v>141</v>
      </c>
      <c r="E180" s="34">
        <v>53</v>
      </c>
      <c r="F180" s="33"/>
      <c r="G180" s="33"/>
      <c r="H180" s="33">
        <f>IF(INT(E180)&gt;='3월 등급 정보'!$C$3,1,IF(INT(E180)&gt;='3월 등급 정보'!$C$4,2,IF(INT(E180)&gt;='3월 등급 정보'!$C$5,3,IF(INT(E180)&gt;='3월 등급 정보'!$C$6,4,IF(INT(E180)&gt;='3월 등급 정보'!$C$7,5,IF(INT(E180)&gt;='3월 등급 정보'!$C$8,6,IF(INT(E180)&gt;='3월 등급 정보'!$C$9,7,IF(INT(E180)&gt;='3월 등급 정보'!$C$10,8,IF(INT(E180)&gt;='3월 등급 정보'!$C$11,9)))))))))</f>
        <v>5</v>
      </c>
      <c r="I180" s="34">
        <v>32</v>
      </c>
      <c r="J180" s="33"/>
      <c r="K180" s="33"/>
      <c r="L180" s="33">
        <f>IF(INT(I180)&gt;='3월 등급 정보'!$D$3,1,IF(INT(I180)&gt;='3월 등급 정보'!$D$4,2,IF(INT(I180)&gt;='3월 등급 정보'!$D$5,3,IF(INT(I180)&gt;='3월 등급 정보'!$D$6,4,IF(INT(I180)&gt;='3월 등급 정보'!$D$7,5,IF(INT(I180)&gt;='3월 등급 정보'!$D$8,6,IF(INT(I180)&gt;='3월 등급 정보'!$D$9,7,IF(INT(I180)&gt;='3월 등급 정보'!$D$10,8,IF(INT(I180)&gt;='3월 등급 정보'!$D$11,9)))))))))</f>
        <v>6</v>
      </c>
      <c r="M180" s="34">
        <v>64</v>
      </c>
      <c r="N180" s="33"/>
      <c r="O180" s="33"/>
      <c r="P180" s="33">
        <f>IF(INT(M180)&gt;='3월 등급 정보'!$E$3,1,IF(INT(M180)&gt;='3월 등급 정보'!$E$4,2,IF(INT(M180)&gt;='3월 등급 정보'!$E$5,3,IF(INT(M180)&gt;='3월 등급 정보'!$E$6,4,IF(INT(M180)&gt;='3월 등급 정보'!$E$7,5,IF(INT(M180)&gt;='3월 등급 정보'!$E$8,6,IF(INT(M180)&gt;='3월 등급 정보'!$E$9,7,IF(INT(M180)&gt;='3월 등급 정보'!$E$10,8,IF(INT(M180)&gt;='3월 등급 정보'!$E$11,9)))))))))</f>
        <v>4</v>
      </c>
      <c r="Q180" s="34">
        <v>25</v>
      </c>
      <c r="R180" s="33"/>
      <c r="S180" s="33"/>
      <c r="T180" s="33">
        <f>IF(INT(Q180)&gt;='3월 등급 정보'!$F$3,1,IF(INT(Q180)&gt;='3월 등급 정보'!$F$4,2,IF(INT(Q180)&gt;='3월 등급 정보'!$F$5,3,IF(INT(Q180)&gt;='3월 등급 정보'!$F$6,4,IF(INT(Q180)&gt;='3월 등급 정보'!$F$7,5,IF(INT(Q180)&gt;='3월 등급 정보'!$F$8,6,IF(INT(Q180)&gt;='3월 등급 정보'!$F$9,7,IF(INT(Q180)&gt;='3월 등급 정보'!$F$10,8,IF(INT(Q180)&gt;='3월 등급 정보'!$F$11,9)))))))))</f>
        <v>6</v>
      </c>
      <c r="U180" s="34">
        <v>20.5</v>
      </c>
      <c r="V180" s="33"/>
      <c r="W180" s="33"/>
      <c r="X180" s="33">
        <f>IF(INT(U180)&gt;='3월 등급 정보'!$G$3,1,IF(INT(U180)&gt;='3월 등급 정보'!$G$4,2,IF(INT(U180)&gt;='3월 등급 정보'!$G$5,3,IF(INT(U180)&gt;='3월 등급 정보'!$G$6,4,IF(INT(U180)&gt;='3월 등급 정보'!$G$7,5,IF(INT(U180)&gt;='3월 등급 정보'!$G$8,6,IF(INT(U180)&gt;='3월 등급 정보'!$G$9,7,IF(INT(U180)&gt;='3월 등급 정보'!$G$10,8,IF(INT(U180)&gt;='3월 등급 정보'!$G$11,9)))))))))</f>
        <v>5</v>
      </c>
      <c r="Y180" s="34">
        <v>30</v>
      </c>
      <c r="Z180" s="33"/>
      <c r="AA180" s="33"/>
      <c r="AB180" s="33">
        <f>IF(INT(Y180)&gt;='3월 등급 정보'!$H$3,1,IF(INT(Y180)&gt;='3월 등급 정보'!$H$4,2,IF(INT(Y180)&gt;='3월 등급 정보'!$H$5,3,IF(INT(Y180)&gt;='3월 등급 정보'!$H$6,4,IF(INT(Y180)&gt;='3월 등급 정보'!$H$7,5,IF(INT(Y180)&gt;='3월 등급 정보'!$H$8,6,IF(INT(Y180)&gt;='3월 등급 정보'!$H$9,7,IF(INT(Y180)&gt;='3월 등급 정보'!$H$10,8,IF(INT(Y180)&gt;='3월 등급 정보'!$H$11,9)))))))))</f>
        <v>3</v>
      </c>
      <c r="AC180" s="33">
        <f>E180+I180+M180+Q180+U180</f>
        <v>194.5</v>
      </c>
      <c r="AD180" s="33">
        <f>RANK(AC180,$AC$3:$AC$273)</f>
        <v>178</v>
      </c>
    </row>
    <row r="181" spans="1:30" ht="17.25" customHeight="1">
      <c r="A181" s="33" t="s">
        <v>26</v>
      </c>
      <c r="B181" s="34">
        <v>8</v>
      </c>
      <c r="C181" s="34">
        <v>14</v>
      </c>
      <c r="D181" s="34" t="s">
        <v>226</v>
      </c>
      <c r="E181" s="34">
        <v>42</v>
      </c>
      <c r="F181" s="33"/>
      <c r="G181" s="33"/>
      <c r="H181" s="33">
        <f>IF(INT(E181)&gt;='3월 등급 정보'!$C$3,1,IF(INT(E181)&gt;='3월 등급 정보'!$C$4,2,IF(INT(E181)&gt;='3월 등급 정보'!$C$5,3,IF(INT(E181)&gt;='3월 등급 정보'!$C$6,4,IF(INT(E181)&gt;='3월 등급 정보'!$C$7,5,IF(INT(E181)&gt;='3월 등급 정보'!$C$8,6,IF(INT(E181)&gt;='3월 등급 정보'!$C$9,7,IF(INT(E181)&gt;='3월 등급 정보'!$C$10,8,IF(INT(E181)&gt;='3월 등급 정보'!$C$11,9)))))))))</f>
        <v>6</v>
      </c>
      <c r="I181" s="34">
        <v>48</v>
      </c>
      <c r="J181" s="33"/>
      <c r="K181" s="33"/>
      <c r="L181" s="33">
        <f>IF(INT(I181)&gt;='3월 등급 정보'!$D$3,1,IF(INT(I181)&gt;='3월 등급 정보'!$D$4,2,IF(INT(I181)&gt;='3월 등급 정보'!$D$5,3,IF(INT(I181)&gt;='3월 등급 정보'!$D$6,4,IF(INT(I181)&gt;='3월 등급 정보'!$D$7,5,IF(INT(I181)&gt;='3월 등급 정보'!$D$8,6,IF(INT(I181)&gt;='3월 등급 정보'!$D$9,7,IF(INT(I181)&gt;='3월 등급 정보'!$D$10,8,IF(INT(I181)&gt;='3월 등급 정보'!$D$11,9)))))))))</f>
        <v>5</v>
      </c>
      <c r="M181" s="34">
        <v>53</v>
      </c>
      <c r="N181" s="33"/>
      <c r="O181" s="33"/>
      <c r="P181" s="33">
        <f>IF(INT(M181)&gt;='3월 등급 정보'!$E$3,1,IF(INT(M181)&gt;='3월 등급 정보'!$E$4,2,IF(INT(M181)&gt;='3월 등급 정보'!$E$5,3,IF(INT(M181)&gt;='3월 등급 정보'!$E$6,4,IF(INT(M181)&gt;='3월 등급 정보'!$E$7,5,IF(INT(M181)&gt;='3월 등급 정보'!$E$8,6,IF(INT(M181)&gt;='3월 등급 정보'!$E$9,7,IF(INT(M181)&gt;='3월 등급 정보'!$E$10,8,IF(INT(M181)&gt;='3월 등급 정보'!$E$11,9)))))))))</f>
        <v>5</v>
      </c>
      <c r="Q181" s="34">
        <v>33.5</v>
      </c>
      <c r="R181" s="33"/>
      <c r="S181" s="33"/>
      <c r="T181" s="33">
        <f>IF(INT(Q181)&gt;='3월 등급 정보'!$F$3,1,IF(INT(Q181)&gt;='3월 등급 정보'!$F$4,2,IF(INT(Q181)&gt;='3월 등급 정보'!$F$5,3,IF(INT(Q181)&gt;='3월 등급 정보'!$F$6,4,IF(INT(Q181)&gt;='3월 등급 정보'!$F$7,5,IF(INT(Q181)&gt;='3월 등급 정보'!$F$8,6,IF(INT(Q181)&gt;='3월 등급 정보'!$F$9,7,IF(INT(Q181)&gt;='3월 등급 정보'!$F$10,8,IF(INT(Q181)&gt;='3월 등급 정보'!$F$11,9)))))))))</f>
        <v>4</v>
      </c>
      <c r="U181" s="34">
        <v>17.5</v>
      </c>
      <c r="V181" s="33"/>
      <c r="W181" s="33"/>
      <c r="X181" s="33">
        <f>IF(INT(U181)&gt;='3월 등급 정보'!$G$3,1,IF(INT(U181)&gt;='3월 등급 정보'!$G$4,2,IF(INT(U181)&gt;='3월 등급 정보'!$G$5,3,IF(INT(U181)&gt;='3월 등급 정보'!$G$6,4,IF(INT(U181)&gt;='3월 등급 정보'!$G$7,5,IF(INT(U181)&gt;='3월 등급 정보'!$G$8,6,IF(INT(U181)&gt;='3월 등급 정보'!$G$9,7,IF(INT(U181)&gt;='3월 등급 정보'!$G$10,8,IF(INT(U181)&gt;='3월 등급 정보'!$G$11,9)))))))))</f>
        <v>6</v>
      </c>
      <c r="Y181" s="34">
        <v>15</v>
      </c>
      <c r="Z181" s="33"/>
      <c r="AA181" s="33"/>
      <c r="AB181" s="33">
        <f>IF(INT(Y181)&gt;='3월 등급 정보'!$H$3,1,IF(INT(Y181)&gt;='3월 등급 정보'!$H$4,2,IF(INT(Y181)&gt;='3월 등급 정보'!$H$5,3,IF(INT(Y181)&gt;='3월 등급 정보'!$H$6,4,IF(INT(Y181)&gt;='3월 등급 정보'!$H$7,5,IF(INT(Y181)&gt;='3월 등급 정보'!$H$8,6,IF(INT(Y181)&gt;='3월 등급 정보'!$H$9,7,IF(INT(Y181)&gt;='3월 등급 정보'!$H$10,8,IF(INT(Y181)&gt;='3월 등급 정보'!$H$11,9)))))))))</f>
        <v>6</v>
      </c>
      <c r="AC181" s="33">
        <f>E181+I181+M181+Q181+U181</f>
        <v>194</v>
      </c>
      <c r="AD181" s="33">
        <f>RANK(AC181,$AC$3:$AC$273)</f>
        <v>179</v>
      </c>
    </row>
    <row r="182" spans="1:30" ht="17.25" customHeight="1">
      <c r="A182" s="33" t="s">
        <v>26</v>
      </c>
      <c r="B182" s="34">
        <v>1</v>
      </c>
      <c r="C182" s="34">
        <v>10</v>
      </c>
      <c r="D182" s="34" t="s">
        <v>37</v>
      </c>
      <c r="E182" s="34">
        <v>54</v>
      </c>
      <c r="F182" s="33"/>
      <c r="G182" s="33"/>
      <c r="H182" s="33">
        <f>IF(INT(E182)&gt;='3월 등급 정보'!$C$3,1,IF(INT(E182)&gt;='3월 등급 정보'!$C$4,2,IF(INT(E182)&gt;='3월 등급 정보'!$C$5,3,IF(INT(E182)&gt;='3월 등급 정보'!$C$6,4,IF(INT(E182)&gt;='3월 등급 정보'!$C$7,5,IF(INT(E182)&gt;='3월 등급 정보'!$C$8,6,IF(INT(E182)&gt;='3월 등급 정보'!$C$9,7,IF(INT(E182)&gt;='3월 등급 정보'!$C$10,8,IF(INT(E182)&gt;='3월 등급 정보'!$C$11,9)))))))))</f>
        <v>5</v>
      </c>
      <c r="I182" s="34">
        <v>31</v>
      </c>
      <c r="J182" s="33"/>
      <c r="K182" s="33"/>
      <c r="L182" s="33">
        <f>IF(INT(I182)&gt;='3월 등급 정보'!$D$3,1,IF(INT(I182)&gt;='3월 등급 정보'!$D$4,2,IF(INT(I182)&gt;='3월 등급 정보'!$D$5,3,IF(INT(I182)&gt;='3월 등급 정보'!$D$6,4,IF(INT(I182)&gt;='3월 등급 정보'!$D$7,5,IF(INT(I182)&gt;='3월 등급 정보'!$D$8,6,IF(INT(I182)&gt;='3월 등급 정보'!$D$9,7,IF(INT(I182)&gt;='3월 등급 정보'!$D$10,8,IF(INT(I182)&gt;='3월 등급 정보'!$D$11,9)))))))))</f>
        <v>6</v>
      </c>
      <c r="M182" s="34">
        <v>38</v>
      </c>
      <c r="N182" s="33"/>
      <c r="O182" s="33"/>
      <c r="P182" s="33">
        <f>IF(INT(M182)&gt;='3월 등급 정보'!$E$3,1,IF(INT(M182)&gt;='3월 등급 정보'!$E$4,2,IF(INT(M182)&gt;='3월 등급 정보'!$E$5,3,IF(INT(M182)&gt;='3월 등급 정보'!$E$6,4,IF(INT(M182)&gt;='3월 등급 정보'!$E$7,5,IF(INT(M182)&gt;='3월 등급 정보'!$E$8,6,IF(INT(M182)&gt;='3월 등급 정보'!$E$9,7,IF(INT(M182)&gt;='3월 등급 정보'!$E$10,8,IF(INT(M182)&gt;='3월 등급 정보'!$E$11,9)))))))))</f>
        <v>7</v>
      </c>
      <c r="Q182" s="34">
        <v>41</v>
      </c>
      <c r="R182" s="33"/>
      <c r="S182" s="33"/>
      <c r="T182" s="33">
        <f>IF(INT(Q182)&gt;='3월 등급 정보'!$F$3,1,IF(INT(Q182)&gt;='3월 등급 정보'!$F$4,2,IF(INT(Q182)&gt;='3월 등급 정보'!$F$5,3,IF(INT(Q182)&gt;='3월 등급 정보'!$F$6,4,IF(INT(Q182)&gt;='3월 등급 정보'!$F$7,5,IF(INT(Q182)&gt;='3월 등급 정보'!$F$8,6,IF(INT(Q182)&gt;='3월 등급 정보'!$F$9,7,IF(INT(Q182)&gt;='3월 등급 정보'!$F$10,8,IF(INT(Q182)&gt;='3월 등급 정보'!$F$11,9)))))))))</f>
        <v>3</v>
      </c>
      <c r="U182" s="34">
        <v>29</v>
      </c>
      <c r="V182" s="33"/>
      <c r="W182" s="33"/>
      <c r="X182" s="33">
        <f>IF(INT(U182)&gt;='3월 등급 정보'!$G$3,1,IF(INT(U182)&gt;='3월 등급 정보'!$G$4,2,IF(INT(U182)&gt;='3월 등급 정보'!$G$5,3,IF(INT(U182)&gt;='3월 등급 정보'!$G$6,4,IF(INT(U182)&gt;='3월 등급 정보'!$G$7,5,IF(INT(U182)&gt;='3월 등급 정보'!$G$8,6,IF(INT(U182)&gt;='3월 등급 정보'!$G$9,7,IF(INT(U182)&gt;='3월 등급 정보'!$G$10,8,IF(INT(U182)&gt;='3월 등급 정보'!$G$11,9)))))))))</f>
        <v>4</v>
      </c>
      <c r="Y182" s="34">
        <v>24</v>
      </c>
      <c r="Z182" s="33"/>
      <c r="AA182" s="33"/>
      <c r="AB182" s="33">
        <f>IF(INT(Y182)&gt;='3월 등급 정보'!$H$3,1,IF(INT(Y182)&gt;='3월 등급 정보'!$H$4,2,IF(INT(Y182)&gt;='3월 등급 정보'!$H$5,3,IF(INT(Y182)&gt;='3월 등급 정보'!$H$6,4,IF(INT(Y182)&gt;='3월 등급 정보'!$H$7,5,IF(INT(Y182)&gt;='3월 등급 정보'!$H$8,6,IF(INT(Y182)&gt;='3월 등급 정보'!$H$9,7,IF(INT(Y182)&gt;='3월 등급 정보'!$H$10,8,IF(INT(Y182)&gt;='3월 등급 정보'!$H$11,9)))))))))</f>
        <v>5</v>
      </c>
      <c r="AC182" s="33">
        <f>E182+I182+M182+Q182+U182</f>
        <v>193</v>
      </c>
      <c r="AD182" s="33">
        <f>RANK(AC182,$AC$3:$AC$273)</f>
        <v>180</v>
      </c>
    </row>
    <row r="183" spans="1:30" ht="17.25" customHeight="1">
      <c r="A183" s="33" t="s">
        <v>26</v>
      </c>
      <c r="B183" s="34">
        <v>5</v>
      </c>
      <c r="C183" s="34">
        <v>7</v>
      </c>
      <c r="D183" s="34" t="s">
        <v>138</v>
      </c>
      <c r="E183" s="34">
        <v>56</v>
      </c>
      <c r="F183" s="33"/>
      <c r="G183" s="33"/>
      <c r="H183" s="33">
        <f>IF(INT(E183)&gt;='3월 등급 정보'!$C$3,1,IF(INT(E183)&gt;='3월 등급 정보'!$C$4,2,IF(INT(E183)&gt;='3월 등급 정보'!$C$5,3,IF(INT(E183)&gt;='3월 등급 정보'!$C$6,4,IF(INT(E183)&gt;='3월 등급 정보'!$C$7,5,IF(INT(E183)&gt;='3월 등급 정보'!$C$8,6,IF(INT(E183)&gt;='3월 등급 정보'!$C$9,7,IF(INT(E183)&gt;='3월 등급 정보'!$C$10,8,IF(INT(E183)&gt;='3월 등급 정보'!$C$11,9)))))))))</f>
        <v>5</v>
      </c>
      <c r="I183" s="34">
        <v>52</v>
      </c>
      <c r="J183" s="33"/>
      <c r="K183" s="33"/>
      <c r="L183" s="33">
        <f>IF(INT(I183)&gt;='3월 등급 정보'!$D$3,1,IF(INT(I183)&gt;='3월 등급 정보'!$D$4,2,IF(INT(I183)&gt;='3월 등급 정보'!$D$5,3,IF(INT(I183)&gt;='3월 등급 정보'!$D$6,4,IF(INT(I183)&gt;='3월 등급 정보'!$D$7,5,IF(INT(I183)&gt;='3월 등급 정보'!$D$8,6,IF(INT(I183)&gt;='3월 등급 정보'!$D$9,7,IF(INT(I183)&gt;='3월 등급 정보'!$D$10,8,IF(INT(I183)&gt;='3월 등급 정보'!$D$11,9)))))))))</f>
        <v>4</v>
      </c>
      <c r="M183" s="34">
        <v>57</v>
      </c>
      <c r="N183" s="33"/>
      <c r="O183" s="33"/>
      <c r="P183" s="33">
        <f>IF(INT(M183)&gt;='3월 등급 정보'!$E$3,1,IF(INT(M183)&gt;='3월 등급 정보'!$E$4,2,IF(INT(M183)&gt;='3월 등급 정보'!$E$5,3,IF(INT(M183)&gt;='3월 등급 정보'!$E$6,4,IF(INT(M183)&gt;='3월 등급 정보'!$E$7,5,IF(INT(M183)&gt;='3월 등급 정보'!$E$8,6,IF(INT(M183)&gt;='3월 등급 정보'!$E$9,7,IF(INT(M183)&gt;='3월 등급 정보'!$E$10,8,IF(INT(M183)&gt;='3월 등급 정보'!$E$11,9)))))))))</f>
        <v>5</v>
      </c>
      <c r="Q183" s="34">
        <v>9.5</v>
      </c>
      <c r="R183" s="33"/>
      <c r="S183" s="33"/>
      <c r="T183" s="33">
        <f>IF(INT(Q183)&gt;='3월 등급 정보'!$F$3,1,IF(INT(Q183)&gt;='3월 등급 정보'!$F$4,2,IF(INT(Q183)&gt;='3월 등급 정보'!$F$5,3,IF(INT(Q183)&gt;='3월 등급 정보'!$F$6,4,IF(INT(Q183)&gt;='3월 등급 정보'!$F$7,5,IF(INT(Q183)&gt;='3월 등급 정보'!$F$8,6,IF(INT(Q183)&gt;='3월 등급 정보'!$F$9,7,IF(INT(Q183)&gt;='3월 등급 정보'!$F$10,8,IF(INT(Q183)&gt;='3월 등급 정보'!$F$11,9)))))))))</f>
        <v>8</v>
      </c>
      <c r="U183" s="34">
        <v>18.5</v>
      </c>
      <c r="V183" s="33"/>
      <c r="W183" s="33"/>
      <c r="X183" s="33">
        <f>IF(INT(U183)&gt;='3월 등급 정보'!$G$3,1,IF(INT(U183)&gt;='3월 등급 정보'!$G$4,2,IF(INT(U183)&gt;='3월 등급 정보'!$G$5,3,IF(INT(U183)&gt;='3월 등급 정보'!$G$6,4,IF(INT(U183)&gt;='3월 등급 정보'!$G$7,5,IF(INT(U183)&gt;='3월 등급 정보'!$G$8,6,IF(INT(U183)&gt;='3월 등급 정보'!$G$9,7,IF(INT(U183)&gt;='3월 등급 정보'!$G$10,8,IF(INT(U183)&gt;='3월 등급 정보'!$G$11,9)))))))))</f>
        <v>6</v>
      </c>
      <c r="Y183" s="34">
        <v>37</v>
      </c>
      <c r="Z183" s="33"/>
      <c r="AA183" s="33"/>
      <c r="AB183" s="33">
        <f>IF(INT(Y183)&gt;='3월 등급 정보'!$H$3,1,IF(INT(Y183)&gt;='3월 등급 정보'!$H$4,2,IF(INT(Y183)&gt;='3월 등급 정보'!$H$5,3,IF(INT(Y183)&gt;='3월 등급 정보'!$H$6,4,IF(INT(Y183)&gt;='3월 등급 정보'!$H$7,5,IF(INT(Y183)&gt;='3월 등급 정보'!$H$8,6,IF(INT(Y183)&gt;='3월 등급 정보'!$H$9,7,IF(INT(Y183)&gt;='3월 등급 정보'!$H$10,8,IF(INT(Y183)&gt;='3월 등급 정보'!$H$11,9)))))))))</f>
        <v>2</v>
      </c>
      <c r="AC183" s="33">
        <f>E183+I183+M183+Q183+U183</f>
        <v>193</v>
      </c>
      <c r="AD183" s="33">
        <f>RANK(AC183,$AC$3:$AC$273)</f>
        <v>180</v>
      </c>
    </row>
    <row r="184" spans="1:30" ht="17.25" customHeight="1">
      <c r="A184" s="33" t="s">
        <v>26</v>
      </c>
      <c r="B184" s="34">
        <v>2</v>
      </c>
      <c r="C184" s="34">
        <v>24</v>
      </c>
      <c r="D184" s="34" t="s">
        <v>76</v>
      </c>
      <c r="E184" s="34">
        <v>45</v>
      </c>
      <c r="F184" s="33"/>
      <c r="G184" s="33"/>
      <c r="H184" s="33">
        <f>IF(INT(E184)&gt;='3월 등급 정보'!$C$3,1,IF(INT(E184)&gt;='3월 등급 정보'!$C$4,2,IF(INT(E184)&gt;='3월 등급 정보'!$C$5,3,IF(INT(E184)&gt;='3월 등급 정보'!$C$6,4,IF(INT(E184)&gt;='3월 등급 정보'!$C$7,5,IF(INT(E184)&gt;='3월 등급 정보'!$C$8,6,IF(INT(E184)&gt;='3월 등급 정보'!$C$9,7,IF(INT(E184)&gt;='3월 등급 정보'!$C$10,8,IF(INT(E184)&gt;='3월 등급 정보'!$C$11,9)))))))))</f>
        <v>6</v>
      </c>
      <c r="I184" s="34">
        <v>29</v>
      </c>
      <c r="J184" s="33"/>
      <c r="K184" s="33"/>
      <c r="L184" s="33">
        <f>IF(INT(I184)&gt;='3월 등급 정보'!$D$3,1,IF(INT(I184)&gt;='3월 등급 정보'!$D$4,2,IF(INT(I184)&gt;='3월 등급 정보'!$D$5,3,IF(INT(I184)&gt;='3월 등급 정보'!$D$6,4,IF(INT(I184)&gt;='3월 등급 정보'!$D$7,5,IF(INT(I184)&gt;='3월 등급 정보'!$D$8,6,IF(INT(I184)&gt;='3월 등급 정보'!$D$9,7,IF(INT(I184)&gt;='3월 등급 정보'!$D$10,8,IF(INT(I184)&gt;='3월 등급 정보'!$D$11,9)))))))))</f>
        <v>6</v>
      </c>
      <c r="M184" s="34">
        <v>68</v>
      </c>
      <c r="N184" s="33"/>
      <c r="O184" s="33"/>
      <c r="P184" s="33">
        <f>IF(INT(M184)&gt;='3월 등급 정보'!$E$3,1,IF(INT(M184)&gt;='3월 등급 정보'!$E$4,2,IF(INT(M184)&gt;='3월 등급 정보'!$E$5,3,IF(INT(M184)&gt;='3월 등급 정보'!$E$6,4,IF(INT(M184)&gt;='3월 등급 정보'!$E$7,5,IF(INT(M184)&gt;='3월 등급 정보'!$E$8,6,IF(INT(M184)&gt;='3월 등급 정보'!$E$9,7,IF(INT(M184)&gt;='3월 등급 정보'!$E$10,8,IF(INT(M184)&gt;='3월 등급 정보'!$E$11,9)))))))))</f>
        <v>4</v>
      </c>
      <c r="Q184" s="34">
        <v>30</v>
      </c>
      <c r="R184" s="33"/>
      <c r="S184" s="33"/>
      <c r="T184" s="33">
        <f>IF(INT(Q184)&gt;='3월 등급 정보'!$F$3,1,IF(INT(Q184)&gt;='3월 등급 정보'!$F$4,2,IF(INT(Q184)&gt;='3월 등급 정보'!$F$5,3,IF(INT(Q184)&gt;='3월 등급 정보'!$F$6,4,IF(INT(Q184)&gt;='3월 등급 정보'!$F$7,5,IF(INT(Q184)&gt;='3월 등급 정보'!$F$8,6,IF(INT(Q184)&gt;='3월 등급 정보'!$F$9,7,IF(INT(Q184)&gt;='3월 등급 정보'!$F$10,8,IF(INT(Q184)&gt;='3월 등급 정보'!$F$11,9)))))))))</f>
        <v>5</v>
      </c>
      <c r="U184" s="34">
        <v>20</v>
      </c>
      <c r="V184" s="33"/>
      <c r="W184" s="33"/>
      <c r="X184" s="33">
        <f>IF(INT(U184)&gt;='3월 등급 정보'!$G$3,1,IF(INT(U184)&gt;='3월 등급 정보'!$G$4,2,IF(INT(U184)&gt;='3월 등급 정보'!$G$5,3,IF(INT(U184)&gt;='3월 등급 정보'!$G$6,4,IF(INT(U184)&gt;='3월 등급 정보'!$G$7,5,IF(INT(U184)&gt;='3월 등급 정보'!$G$8,6,IF(INT(U184)&gt;='3월 등급 정보'!$G$9,7,IF(INT(U184)&gt;='3월 등급 정보'!$G$10,8,IF(INT(U184)&gt;='3월 등급 정보'!$G$11,9)))))))))</f>
        <v>5</v>
      </c>
      <c r="Y184" s="34">
        <v>14</v>
      </c>
      <c r="Z184" s="33"/>
      <c r="AA184" s="33"/>
      <c r="AB184" s="33">
        <f>IF(INT(Y184)&gt;='3월 등급 정보'!$H$3,1,IF(INT(Y184)&gt;='3월 등급 정보'!$H$4,2,IF(INT(Y184)&gt;='3월 등급 정보'!$H$5,3,IF(INT(Y184)&gt;='3월 등급 정보'!$H$6,4,IF(INT(Y184)&gt;='3월 등급 정보'!$H$7,5,IF(INT(Y184)&gt;='3월 등급 정보'!$H$8,6,IF(INT(Y184)&gt;='3월 등급 정보'!$H$9,7,IF(INT(Y184)&gt;='3월 등급 정보'!$H$10,8,IF(INT(Y184)&gt;='3월 등급 정보'!$H$11,9)))))))))</f>
        <v>7</v>
      </c>
      <c r="AC184" s="33">
        <f>E184+I184+M184+Q184+U184</f>
        <v>192</v>
      </c>
      <c r="AD184" s="33">
        <f>RANK(AC184,$AC$3:$AC$273)</f>
        <v>182</v>
      </c>
    </row>
    <row r="185" spans="1:30" ht="17.25" customHeight="1">
      <c r="A185" s="33" t="s">
        <v>26</v>
      </c>
      <c r="B185" s="34">
        <v>1</v>
      </c>
      <c r="C185" s="34">
        <v>27</v>
      </c>
      <c r="D185" s="34" t="s">
        <v>53</v>
      </c>
      <c r="E185" s="34">
        <v>66</v>
      </c>
      <c r="F185" s="33"/>
      <c r="G185" s="33"/>
      <c r="H185" s="33">
        <f>IF(INT(E185)&gt;='3월 등급 정보'!$C$3,1,IF(INT(E185)&gt;='3월 등급 정보'!$C$4,2,IF(INT(E185)&gt;='3월 등급 정보'!$C$5,3,IF(INT(E185)&gt;='3월 등급 정보'!$C$6,4,IF(INT(E185)&gt;='3월 등급 정보'!$C$7,5,IF(INT(E185)&gt;='3월 등급 정보'!$C$8,6,IF(INT(E185)&gt;='3월 등급 정보'!$C$9,7,IF(INT(E185)&gt;='3월 등급 정보'!$C$10,8,IF(INT(E185)&gt;='3월 등급 정보'!$C$11,9)))))))))</f>
        <v>4</v>
      </c>
      <c r="I185" s="34">
        <v>28</v>
      </c>
      <c r="J185" s="33"/>
      <c r="K185" s="33"/>
      <c r="L185" s="33">
        <f>IF(INT(I185)&gt;='3월 등급 정보'!$D$3,1,IF(INT(I185)&gt;='3월 등급 정보'!$D$4,2,IF(INT(I185)&gt;='3월 등급 정보'!$D$5,3,IF(INT(I185)&gt;='3월 등급 정보'!$D$6,4,IF(INT(I185)&gt;='3월 등급 정보'!$D$7,5,IF(INT(I185)&gt;='3월 등급 정보'!$D$8,6,IF(INT(I185)&gt;='3월 등급 정보'!$D$9,7,IF(INT(I185)&gt;='3월 등급 정보'!$D$10,8,IF(INT(I185)&gt;='3월 등급 정보'!$D$11,9)))))))))</f>
        <v>6</v>
      </c>
      <c r="M185" s="34">
        <v>49</v>
      </c>
      <c r="N185" s="33"/>
      <c r="O185" s="33"/>
      <c r="P185" s="33">
        <f>IF(INT(M185)&gt;='3월 등급 정보'!$E$3,1,IF(INT(M185)&gt;='3월 등급 정보'!$E$4,2,IF(INT(M185)&gt;='3월 등급 정보'!$E$5,3,IF(INT(M185)&gt;='3월 등급 정보'!$E$6,4,IF(INT(M185)&gt;='3월 등급 정보'!$E$7,5,IF(INT(M185)&gt;='3월 등급 정보'!$E$8,6,IF(INT(M185)&gt;='3월 등급 정보'!$E$9,7,IF(INT(M185)&gt;='3월 등급 정보'!$E$10,8,IF(INT(M185)&gt;='3월 등급 정보'!$E$11,9)))))))))</f>
        <v>6</v>
      </c>
      <c r="Q185" s="34">
        <v>18.5</v>
      </c>
      <c r="R185" s="33"/>
      <c r="S185" s="33"/>
      <c r="T185" s="33">
        <f>IF(INT(Q185)&gt;='3월 등급 정보'!$F$3,1,IF(INT(Q185)&gt;='3월 등급 정보'!$F$4,2,IF(INT(Q185)&gt;='3월 등급 정보'!$F$5,3,IF(INT(Q185)&gt;='3월 등급 정보'!$F$6,4,IF(INT(Q185)&gt;='3월 등급 정보'!$F$7,5,IF(INT(Q185)&gt;='3월 등급 정보'!$F$8,6,IF(INT(Q185)&gt;='3월 등급 정보'!$F$9,7,IF(INT(Q185)&gt;='3월 등급 정보'!$F$10,8,IF(INT(Q185)&gt;='3월 등급 정보'!$F$11,9)))))))))</f>
        <v>7</v>
      </c>
      <c r="U185" s="34">
        <v>30</v>
      </c>
      <c r="V185" s="33"/>
      <c r="W185" s="33"/>
      <c r="X185" s="33">
        <f>IF(INT(U185)&gt;='3월 등급 정보'!$G$3,1,IF(INT(U185)&gt;='3월 등급 정보'!$G$4,2,IF(INT(U185)&gt;='3월 등급 정보'!$G$5,3,IF(INT(U185)&gt;='3월 등급 정보'!$G$6,4,IF(INT(U185)&gt;='3월 등급 정보'!$G$7,5,IF(INT(U185)&gt;='3월 등급 정보'!$G$8,6,IF(INT(U185)&gt;='3월 등급 정보'!$G$9,7,IF(INT(U185)&gt;='3월 등급 정보'!$G$10,8,IF(INT(U185)&gt;='3월 등급 정보'!$G$11,9)))))))))</f>
        <v>4</v>
      </c>
      <c r="Y185" s="34">
        <v>36</v>
      </c>
      <c r="Z185" s="33"/>
      <c r="AA185" s="33"/>
      <c r="AB185" s="33">
        <f>IF(INT(Y185)&gt;='3월 등급 정보'!$H$3,1,IF(INT(Y185)&gt;='3월 등급 정보'!$H$4,2,IF(INT(Y185)&gt;='3월 등급 정보'!$H$5,3,IF(INT(Y185)&gt;='3월 등급 정보'!$H$6,4,IF(INT(Y185)&gt;='3월 등급 정보'!$H$7,5,IF(INT(Y185)&gt;='3월 등급 정보'!$H$8,6,IF(INT(Y185)&gt;='3월 등급 정보'!$H$9,7,IF(INT(Y185)&gt;='3월 등급 정보'!$H$10,8,IF(INT(Y185)&gt;='3월 등급 정보'!$H$11,9)))))))))</f>
        <v>2</v>
      </c>
      <c r="AC185" s="33">
        <f>E185+I185+M185+Q185+U185</f>
        <v>191.5</v>
      </c>
      <c r="AD185" s="33">
        <f>RANK(AC185,$AC$3:$AC$273)</f>
        <v>183</v>
      </c>
    </row>
    <row r="186" spans="1:30" ht="17.25" customHeight="1">
      <c r="A186" s="33" t="s">
        <v>26</v>
      </c>
      <c r="B186" s="34">
        <v>6</v>
      </c>
      <c r="C186" s="34">
        <v>1</v>
      </c>
      <c r="D186" s="34" t="s">
        <v>160</v>
      </c>
      <c r="E186" s="34">
        <v>51</v>
      </c>
      <c r="F186" s="33"/>
      <c r="G186" s="33"/>
      <c r="H186" s="33">
        <f>IF(INT(E186)&gt;='3월 등급 정보'!$C$3,1,IF(INT(E186)&gt;='3월 등급 정보'!$C$4,2,IF(INT(E186)&gt;='3월 등급 정보'!$C$5,3,IF(INT(E186)&gt;='3월 등급 정보'!$C$6,4,IF(INT(E186)&gt;='3월 등급 정보'!$C$7,5,IF(INT(E186)&gt;='3월 등급 정보'!$C$8,6,IF(INT(E186)&gt;='3월 등급 정보'!$C$9,7,IF(INT(E186)&gt;='3월 등급 정보'!$C$10,8,IF(INT(E186)&gt;='3월 등급 정보'!$C$11,9)))))))))</f>
        <v>5</v>
      </c>
      <c r="I186" s="34">
        <v>33</v>
      </c>
      <c r="J186" s="33"/>
      <c r="K186" s="33"/>
      <c r="L186" s="33">
        <f>IF(INT(I186)&gt;='3월 등급 정보'!$D$3,1,IF(INT(I186)&gt;='3월 등급 정보'!$D$4,2,IF(INT(I186)&gt;='3월 등급 정보'!$D$5,3,IF(INT(I186)&gt;='3월 등급 정보'!$D$6,4,IF(INT(I186)&gt;='3월 등급 정보'!$D$7,5,IF(INT(I186)&gt;='3월 등급 정보'!$D$8,6,IF(INT(I186)&gt;='3월 등급 정보'!$D$9,7,IF(INT(I186)&gt;='3월 등급 정보'!$D$10,8,IF(INT(I186)&gt;='3월 등급 정보'!$D$11,9)))))))))</f>
        <v>6</v>
      </c>
      <c r="M186" s="34">
        <v>56</v>
      </c>
      <c r="N186" s="33"/>
      <c r="O186" s="33"/>
      <c r="P186" s="33">
        <f>IF(INT(M186)&gt;='3월 등급 정보'!$E$3,1,IF(INT(M186)&gt;='3월 등급 정보'!$E$4,2,IF(INT(M186)&gt;='3월 등급 정보'!$E$5,3,IF(INT(M186)&gt;='3월 등급 정보'!$E$6,4,IF(INT(M186)&gt;='3월 등급 정보'!$E$7,5,IF(INT(M186)&gt;='3월 등급 정보'!$E$8,6,IF(INT(M186)&gt;='3월 등급 정보'!$E$9,7,IF(INT(M186)&gt;='3월 등급 정보'!$E$10,8,IF(INT(M186)&gt;='3월 등급 정보'!$E$11,9)))))))))</f>
        <v>5</v>
      </c>
      <c r="Q186" s="34">
        <v>27.5</v>
      </c>
      <c r="R186" s="33"/>
      <c r="S186" s="33"/>
      <c r="T186" s="33">
        <f>IF(INT(Q186)&gt;='3월 등급 정보'!$F$3,1,IF(INT(Q186)&gt;='3월 등급 정보'!$F$4,2,IF(INT(Q186)&gt;='3월 등급 정보'!$F$5,3,IF(INT(Q186)&gt;='3월 등급 정보'!$F$6,4,IF(INT(Q186)&gt;='3월 등급 정보'!$F$7,5,IF(INT(Q186)&gt;='3월 등급 정보'!$F$8,6,IF(INT(Q186)&gt;='3월 등급 정보'!$F$9,7,IF(INT(Q186)&gt;='3월 등급 정보'!$F$10,8,IF(INT(Q186)&gt;='3월 등급 정보'!$F$11,9)))))))))</f>
        <v>5</v>
      </c>
      <c r="U186" s="34">
        <v>23</v>
      </c>
      <c r="V186" s="33"/>
      <c r="W186" s="33"/>
      <c r="X186" s="33">
        <f>IF(INT(U186)&gt;='3월 등급 정보'!$G$3,1,IF(INT(U186)&gt;='3월 등급 정보'!$G$4,2,IF(INT(U186)&gt;='3월 등급 정보'!$G$5,3,IF(INT(U186)&gt;='3월 등급 정보'!$G$6,4,IF(INT(U186)&gt;='3월 등급 정보'!$G$7,5,IF(INT(U186)&gt;='3월 등급 정보'!$G$8,6,IF(INT(U186)&gt;='3월 등급 정보'!$G$9,7,IF(INT(U186)&gt;='3월 등급 정보'!$G$10,8,IF(INT(U186)&gt;='3월 등급 정보'!$G$11,9)))))))))</f>
        <v>5</v>
      </c>
      <c r="Y186" s="34">
        <v>24</v>
      </c>
      <c r="Z186" s="33"/>
      <c r="AA186" s="33"/>
      <c r="AB186" s="33">
        <f>IF(INT(Y186)&gt;='3월 등급 정보'!$H$3,1,IF(INT(Y186)&gt;='3월 등급 정보'!$H$4,2,IF(INT(Y186)&gt;='3월 등급 정보'!$H$5,3,IF(INT(Y186)&gt;='3월 등급 정보'!$H$6,4,IF(INT(Y186)&gt;='3월 등급 정보'!$H$7,5,IF(INT(Y186)&gt;='3월 등급 정보'!$H$8,6,IF(INT(Y186)&gt;='3월 등급 정보'!$H$9,7,IF(INT(Y186)&gt;='3월 등급 정보'!$H$10,8,IF(INT(Y186)&gt;='3월 등급 정보'!$H$11,9)))))))))</f>
        <v>5</v>
      </c>
      <c r="AC186" s="33">
        <f>E186+I186+M186+Q186+U186</f>
        <v>190.5</v>
      </c>
      <c r="AD186" s="33">
        <f>RANK(AC186,$AC$3:$AC$273)</f>
        <v>184</v>
      </c>
    </row>
    <row r="187" spans="1:30" ht="17.25" customHeight="1">
      <c r="A187" s="33" t="s">
        <v>26</v>
      </c>
      <c r="B187" s="34">
        <v>9</v>
      </c>
      <c r="C187" s="34">
        <v>1</v>
      </c>
      <c r="D187" s="34" t="s">
        <v>240</v>
      </c>
      <c r="E187" s="34">
        <v>74</v>
      </c>
      <c r="F187" s="33"/>
      <c r="G187" s="33"/>
      <c r="H187" s="33">
        <f>IF(INT(E187)&gt;='3월 등급 정보'!$C$3,1,IF(INT(E187)&gt;='3월 등급 정보'!$C$4,2,IF(INT(E187)&gt;='3월 등급 정보'!$C$5,3,IF(INT(E187)&gt;='3월 등급 정보'!$C$6,4,IF(INT(E187)&gt;='3월 등급 정보'!$C$7,5,IF(INT(E187)&gt;='3월 등급 정보'!$C$8,6,IF(INT(E187)&gt;='3월 등급 정보'!$C$9,7,IF(INT(E187)&gt;='3월 등급 정보'!$C$10,8,IF(INT(E187)&gt;='3월 등급 정보'!$C$11,9)))))))))</f>
        <v>3</v>
      </c>
      <c r="I187" s="34">
        <v>25</v>
      </c>
      <c r="J187" s="33"/>
      <c r="K187" s="33"/>
      <c r="L187" s="33">
        <f>IF(INT(I187)&gt;='3월 등급 정보'!$D$3,1,IF(INT(I187)&gt;='3월 등급 정보'!$D$4,2,IF(INT(I187)&gt;='3월 등급 정보'!$D$5,3,IF(INT(I187)&gt;='3월 등급 정보'!$D$6,4,IF(INT(I187)&gt;='3월 등급 정보'!$D$7,5,IF(INT(I187)&gt;='3월 등급 정보'!$D$8,6,IF(INT(I187)&gt;='3월 등급 정보'!$D$9,7,IF(INT(I187)&gt;='3월 등급 정보'!$D$10,8,IF(INT(I187)&gt;='3월 등급 정보'!$D$11,9)))))))))</f>
        <v>7</v>
      </c>
      <c r="M187" s="34">
        <v>47</v>
      </c>
      <c r="N187" s="33"/>
      <c r="O187" s="33"/>
      <c r="P187" s="33">
        <f>IF(INT(M187)&gt;='3월 등급 정보'!$E$3,1,IF(INT(M187)&gt;='3월 등급 정보'!$E$4,2,IF(INT(M187)&gt;='3월 등급 정보'!$E$5,3,IF(INT(M187)&gt;='3월 등급 정보'!$E$6,4,IF(INT(M187)&gt;='3월 등급 정보'!$E$7,5,IF(INT(M187)&gt;='3월 등급 정보'!$E$8,6,IF(INT(M187)&gt;='3월 등급 정보'!$E$9,7,IF(INT(M187)&gt;='3월 등급 정보'!$E$10,8,IF(INT(M187)&gt;='3월 등급 정보'!$E$11,9)))))))))</f>
        <v>6</v>
      </c>
      <c r="Q187" s="34">
        <v>28</v>
      </c>
      <c r="R187" s="33"/>
      <c r="S187" s="33"/>
      <c r="T187" s="33">
        <f>IF(INT(Q187)&gt;='3월 등급 정보'!$F$3,1,IF(INT(Q187)&gt;='3월 등급 정보'!$F$4,2,IF(INT(Q187)&gt;='3월 등급 정보'!$F$5,3,IF(INT(Q187)&gt;='3월 등급 정보'!$F$6,4,IF(INT(Q187)&gt;='3월 등급 정보'!$F$7,5,IF(INT(Q187)&gt;='3월 등급 정보'!$F$8,6,IF(INT(Q187)&gt;='3월 등급 정보'!$F$9,7,IF(INT(Q187)&gt;='3월 등급 정보'!$F$10,8,IF(INT(Q187)&gt;='3월 등급 정보'!$F$11,9)))))))))</f>
        <v>5</v>
      </c>
      <c r="U187" s="34">
        <v>16.5</v>
      </c>
      <c r="V187" s="33"/>
      <c r="W187" s="33"/>
      <c r="X187" s="33">
        <f>IF(INT(U187)&gt;='3월 등급 정보'!$G$3,1,IF(INT(U187)&gt;='3월 등급 정보'!$G$4,2,IF(INT(U187)&gt;='3월 등급 정보'!$G$5,3,IF(INT(U187)&gt;='3월 등급 정보'!$G$6,4,IF(INT(U187)&gt;='3월 등급 정보'!$G$7,5,IF(INT(U187)&gt;='3월 등급 정보'!$G$8,6,IF(INT(U187)&gt;='3월 등급 정보'!$G$9,7,IF(INT(U187)&gt;='3월 등급 정보'!$G$10,8,IF(INT(U187)&gt;='3월 등급 정보'!$G$11,9)))))))))</f>
        <v>6</v>
      </c>
      <c r="Y187" s="34">
        <v>39</v>
      </c>
      <c r="Z187" s="33"/>
      <c r="AA187" s="33"/>
      <c r="AB187" s="33">
        <f>IF(INT(Y187)&gt;='3월 등급 정보'!$H$3,1,IF(INT(Y187)&gt;='3월 등급 정보'!$H$4,2,IF(INT(Y187)&gt;='3월 등급 정보'!$H$5,3,IF(INT(Y187)&gt;='3월 등급 정보'!$H$6,4,IF(INT(Y187)&gt;='3월 등급 정보'!$H$7,5,IF(INT(Y187)&gt;='3월 등급 정보'!$H$8,6,IF(INT(Y187)&gt;='3월 등급 정보'!$H$9,7,IF(INT(Y187)&gt;='3월 등급 정보'!$H$10,8,IF(INT(Y187)&gt;='3월 등급 정보'!$H$11,9)))))))))</f>
        <v>2</v>
      </c>
      <c r="AC187" s="33">
        <f>E187+I187+M187+Q187+U187</f>
        <v>190.5</v>
      </c>
      <c r="AD187" s="33">
        <f>RANK(AC187,$AC$3:$AC$273)</f>
        <v>184</v>
      </c>
    </row>
    <row r="188" spans="1:30" ht="17.25" customHeight="1">
      <c r="A188" s="33" t="s">
        <v>26</v>
      </c>
      <c r="B188" s="34">
        <v>3</v>
      </c>
      <c r="C188" s="34">
        <v>15</v>
      </c>
      <c r="D188" s="34" t="s">
        <v>93</v>
      </c>
      <c r="E188" s="34">
        <v>35</v>
      </c>
      <c r="F188" s="33"/>
      <c r="G188" s="33"/>
      <c r="H188" s="33">
        <f>IF(INT(E188)&gt;='3월 등급 정보'!$C$3,1,IF(INT(E188)&gt;='3월 등급 정보'!$C$4,2,IF(INT(E188)&gt;='3월 등급 정보'!$C$5,3,IF(INT(E188)&gt;='3월 등급 정보'!$C$6,4,IF(INT(E188)&gt;='3월 등급 정보'!$C$7,5,IF(INT(E188)&gt;='3월 등급 정보'!$C$8,6,IF(INT(E188)&gt;='3월 등급 정보'!$C$9,7,IF(INT(E188)&gt;='3월 등급 정보'!$C$10,8,IF(INT(E188)&gt;='3월 등급 정보'!$C$11,9)))))))))</f>
        <v>7</v>
      </c>
      <c r="I188" s="34">
        <v>51</v>
      </c>
      <c r="J188" s="33"/>
      <c r="K188" s="33"/>
      <c r="L188" s="33">
        <f>IF(INT(I188)&gt;='3월 등급 정보'!$D$3,1,IF(INT(I188)&gt;='3월 등급 정보'!$D$4,2,IF(INT(I188)&gt;='3월 등급 정보'!$D$5,3,IF(INT(I188)&gt;='3월 등급 정보'!$D$6,4,IF(INT(I188)&gt;='3월 등급 정보'!$D$7,5,IF(INT(I188)&gt;='3월 등급 정보'!$D$8,6,IF(INT(I188)&gt;='3월 등급 정보'!$D$9,7,IF(INT(I188)&gt;='3월 등급 정보'!$D$10,8,IF(INT(I188)&gt;='3월 등급 정보'!$D$11,9)))))))))</f>
        <v>4</v>
      </c>
      <c r="M188" s="34">
        <v>62</v>
      </c>
      <c r="N188" s="33"/>
      <c r="O188" s="33"/>
      <c r="P188" s="33">
        <f>IF(INT(M188)&gt;='3월 등급 정보'!$E$3,1,IF(INT(M188)&gt;='3월 등급 정보'!$E$4,2,IF(INT(M188)&gt;='3월 등급 정보'!$E$5,3,IF(INT(M188)&gt;='3월 등급 정보'!$E$6,4,IF(INT(M188)&gt;='3월 등급 정보'!$E$7,5,IF(INT(M188)&gt;='3월 등급 정보'!$E$8,6,IF(INT(M188)&gt;='3월 등급 정보'!$E$9,7,IF(INT(M188)&gt;='3월 등급 정보'!$E$10,8,IF(INT(M188)&gt;='3월 등급 정보'!$E$11,9)))))))))</f>
        <v>4</v>
      </c>
      <c r="Q188" s="34">
        <v>23</v>
      </c>
      <c r="R188" s="33"/>
      <c r="S188" s="33"/>
      <c r="T188" s="33">
        <f>IF(INT(Q188)&gt;='3월 등급 정보'!$F$3,1,IF(INT(Q188)&gt;='3월 등급 정보'!$F$4,2,IF(INT(Q188)&gt;='3월 등급 정보'!$F$5,3,IF(INT(Q188)&gt;='3월 등급 정보'!$F$6,4,IF(INT(Q188)&gt;='3월 등급 정보'!$F$7,5,IF(INT(Q188)&gt;='3월 등급 정보'!$F$8,6,IF(INT(Q188)&gt;='3월 등급 정보'!$F$9,7,IF(INT(Q188)&gt;='3월 등급 정보'!$F$10,8,IF(INT(Q188)&gt;='3월 등급 정보'!$F$11,9)))))))))</f>
        <v>6</v>
      </c>
      <c r="U188" s="34">
        <v>19</v>
      </c>
      <c r="V188" s="33"/>
      <c r="W188" s="33"/>
      <c r="X188" s="33">
        <f>IF(INT(U188)&gt;='3월 등급 정보'!$G$3,1,IF(INT(U188)&gt;='3월 등급 정보'!$G$4,2,IF(INT(U188)&gt;='3월 등급 정보'!$G$5,3,IF(INT(U188)&gt;='3월 등급 정보'!$G$6,4,IF(INT(U188)&gt;='3월 등급 정보'!$G$7,5,IF(INT(U188)&gt;='3월 등급 정보'!$G$8,6,IF(INT(U188)&gt;='3월 등급 정보'!$G$9,7,IF(INT(U188)&gt;='3월 등급 정보'!$G$10,8,IF(INT(U188)&gt;='3월 등급 정보'!$G$11,9)))))))))</f>
        <v>5</v>
      </c>
      <c r="Y188" s="34">
        <v>11</v>
      </c>
      <c r="Z188" s="33"/>
      <c r="AA188" s="33"/>
      <c r="AB188" s="33">
        <f>IF(INT(Y188)&gt;='3월 등급 정보'!$H$3,1,IF(INT(Y188)&gt;='3월 등급 정보'!$H$4,2,IF(INT(Y188)&gt;='3월 등급 정보'!$H$5,3,IF(INT(Y188)&gt;='3월 등급 정보'!$H$6,4,IF(INT(Y188)&gt;='3월 등급 정보'!$H$7,5,IF(INT(Y188)&gt;='3월 등급 정보'!$H$8,6,IF(INT(Y188)&gt;='3월 등급 정보'!$H$9,7,IF(INT(Y188)&gt;='3월 등급 정보'!$H$10,8,IF(INT(Y188)&gt;='3월 등급 정보'!$H$11,9)))))))))</f>
        <v>7</v>
      </c>
      <c r="AC188" s="33">
        <f>E188+I188+M188+Q188+U188</f>
        <v>190</v>
      </c>
      <c r="AD188" s="33">
        <f>RANK(AC188,$AC$3:$AC$273)</f>
        <v>186</v>
      </c>
    </row>
    <row r="189" spans="1:30" ht="17.25" customHeight="1">
      <c r="A189" s="33" t="s">
        <v>26</v>
      </c>
      <c r="B189" s="34">
        <v>5</v>
      </c>
      <c r="C189" s="34">
        <v>16</v>
      </c>
      <c r="D189" s="34" t="s">
        <v>146</v>
      </c>
      <c r="E189" s="34">
        <v>46</v>
      </c>
      <c r="F189" s="33"/>
      <c r="G189" s="33"/>
      <c r="H189" s="33">
        <f>IF(INT(E189)&gt;='3월 등급 정보'!$C$3,1,IF(INT(E189)&gt;='3월 등급 정보'!$C$4,2,IF(INT(E189)&gt;='3월 등급 정보'!$C$5,3,IF(INT(E189)&gt;='3월 등급 정보'!$C$6,4,IF(INT(E189)&gt;='3월 등급 정보'!$C$7,5,IF(INT(E189)&gt;='3월 등급 정보'!$C$8,6,IF(INT(E189)&gt;='3월 등급 정보'!$C$9,7,IF(INT(E189)&gt;='3월 등급 정보'!$C$10,8,IF(INT(E189)&gt;='3월 등급 정보'!$C$11,9)))))))))</f>
        <v>6</v>
      </c>
      <c r="I189" s="34">
        <v>48</v>
      </c>
      <c r="J189" s="33"/>
      <c r="K189" s="33"/>
      <c r="L189" s="33">
        <f>IF(INT(I189)&gt;='3월 등급 정보'!$D$3,1,IF(INT(I189)&gt;='3월 등급 정보'!$D$4,2,IF(INT(I189)&gt;='3월 등급 정보'!$D$5,3,IF(INT(I189)&gt;='3월 등급 정보'!$D$6,4,IF(INT(I189)&gt;='3월 등급 정보'!$D$7,5,IF(INT(I189)&gt;='3월 등급 정보'!$D$8,6,IF(INT(I189)&gt;='3월 등급 정보'!$D$9,7,IF(INT(I189)&gt;='3월 등급 정보'!$D$10,8,IF(INT(I189)&gt;='3월 등급 정보'!$D$11,9)))))))))</f>
        <v>5</v>
      </c>
      <c r="M189" s="34">
        <v>57</v>
      </c>
      <c r="N189" s="33"/>
      <c r="O189" s="33"/>
      <c r="P189" s="33">
        <f>IF(INT(M189)&gt;='3월 등급 정보'!$E$3,1,IF(INT(M189)&gt;='3월 등급 정보'!$E$4,2,IF(INT(M189)&gt;='3월 등급 정보'!$E$5,3,IF(INT(M189)&gt;='3월 등급 정보'!$E$6,4,IF(INT(M189)&gt;='3월 등급 정보'!$E$7,5,IF(INT(M189)&gt;='3월 등급 정보'!$E$8,6,IF(INT(M189)&gt;='3월 등급 정보'!$E$9,7,IF(INT(M189)&gt;='3월 등급 정보'!$E$10,8,IF(INT(M189)&gt;='3월 등급 정보'!$E$11,9)))))))))</f>
        <v>5</v>
      </c>
      <c r="Q189" s="34">
        <v>27</v>
      </c>
      <c r="R189" s="33"/>
      <c r="S189" s="33"/>
      <c r="T189" s="33">
        <f>IF(INT(Q189)&gt;='3월 등급 정보'!$F$3,1,IF(INT(Q189)&gt;='3월 등급 정보'!$F$4,2,IF(INT(Q189)&gt;='3월 등급 정보'!$F$5,3,IF(INT(Q189)&gt;='3월 등급 정보'!$F$6,4,IF(INT(Q189)&gt;='3월 등급 정보'!$F$7,5,IF(INT(Q189)&gt;='3월 등급 정보'!$F$8,6,IF(INT(Q189)&gt;='3월 등급 정보'!$F$9,7,IF(INT(Q189)&gt;='3월 등급 정보'!$F$10,8,IF(INT(Q189)&gt;='3월 등급 정보'!$F$11,9)))))))))</f>
        <v>5</v>
      </c>
      <c r="U189" s="34">
        <v>10</v>
      </c>
      <c r="V189" s="33"/>
      <c r="W189" s="33"/>
      <c r="X189" s="33">
        <f>IF(INT(U189)&gt;='3월 등급 정보'!$G$3,1,IF(INT(U189)&gt;='3월 등급 정보'!$G$4,2,IF(INT(U189)&gt;='3월 등급 정보'!$G$5,3,IF(INT(U189)&gt;='3월 등급 정보'!$G$6,4,IF(INT(U189)&gt;='3월 등급 정보'!$G$7,5,IF(INT(U189)&gt;='3월 등급 정보'!$G$8,6,IF(INT(U189)&gt;='3월 등급 정보'!$G$9,7,IF(INT(U189)&gt;='3월 등급 정보'!$G$10,8,IF(INT(U189)&gt;='3월 등급 정보'!$G$11,9)))))))))</f>
        <v>8</v>
      </c>
      <c r="Y189" s="34">
        <v>18</v>
      </c>
      <c r="Z189" s="33"/>
      <c r="AA189" s="33"/>
      <c r="AB189" s="33">
        <f>IF(INT(Y189)&gt;='3월 등급 정보'!$H$3,1,IF(INT(Y189)&gt;='3월 등급 정보'!$H$4,2,IF(INT(Y189)&gt;='3월 등급 정보'!$H$5,3,IF(INT(Y189)&gt;='3월 등급 정보'!$H$6,4,IF(INT(Y189)&gt;='3월 등급 정보'!$H$7,5,IF(INT(Y189)&gt;='3월 등급 정보'!$H$8,6,IF(INT(Y189)&gt;='3월 등급 정보'!$H$9,7,IF(INT(Y189)&gt;='3월 등급 정보'!$H$10,8,IF(INT(Y189)&gt;='3월 등급 정보'!$H$11,9)))))))))</f>
        <v>6</v>
      </c>
      <c r="AC189" s="33">
        <f>E189+I189+M189+Q189+U189</f>
        <v>188</v>
      </c>
      <c r="AD189" s="33">
        <f>RANK(AC189,$AC$3:$AC$273)</f>
        <v>187</v>
      </c>
    </row>
    <row r="190" spans="1:30" ht="17.25" customHeight="1">
      <c r="A190" s="33" t="s">
        <v>26</v>
      </c>
      <c r="B190" s="34">
        <v>7</v>
      </c>
      <c r="C190" s="34">
        <v>10</v>
      </c>
      <c r="D190" s="34" t="s">
        <v>196</v>
      </c>
      <c r="E190" s="34">
        <v>48</v>
      </c>
      <c r="F190" s="33"/>
      <c r="G190" s="33"/>
      <c r="H190" s="33">
        <f>IF(INT(E190)&gt;='3월 등급 정보'!$C$3,1,IF(INT(E190)&gt;='3월 등급 정보'!$C$4,2,IF(INT(E190)&gt;='3월 등급 정보'!$C$5,3,IF(INT(E190)&gt;='3월 등급 정보'!$C$6,4,IF(INT(E190)&gt;='3월 등급 정보'!$C$7,5,IF(INT(E190)&gt;='3월 등급 정보'!$C$8,6,IF(INT(E190)&gt;='3월 등급 정보'!$C$9,7,IF(INT(E190)&gt;='3월 등급 정보'!$C$10,8,IF(INT(E190)&gt;='3월 등급 정보'!$C$11,9)))))))))</f>
        <v>5</v>
      </c>
      <c r="I190" s="34">
        <v>42</v>
      </c>
      <c r="J190" s="33"/>
      <c r="K190" s="33"/>
      <c r="L190" s="33">
        <f>IF(INT(I190)&gt;='3월 등급 정보'!$D$3,1,IF(INT(I190)&gt;='3월 등급 정보'!$D$4,2,IF(INT(I190)&gt;='3월 등급 정보'!$D$5,3,IF(INT(I190)&gt;='3월 등급 정보'!$D$6,4,IF(INT(I190)&gt;='3월 등급 정보'!$D$7,5,IF(INT(I190)&gt;='3월 등급 정보'!$D$8,6,IF(INT(I190)&gt;='3월 등급 정보'!$D$9,7,IF(INT(I190)&gt;='3월 등급 정보'!$D$10,8,IF(INT(I190)&gt;='3월 등급 정보'!$D$11,9)))))))))</f>
        <v>5</v>
      </c>
      <c r="M190" s="34">
        <v>57</v>
      </c>
      <c r="N190" s="33"/>
      <c r="O190" s="33"/>
      <c r="P190" s="33">
        <f>IF(INT(M190)&gt;='3월 등급 정보'!$E$3,1,IF(INT(M190)&gt;='3월 등급 정보'!$E$4,2,IF(INT(M190)&gt;='3월 등급 정보'!$E$5,3,IF(INT(M190)&gt;='3월 등급 정보'!$E$6,4,IF(INT(M190)&gt;='3월 등급 정보'!$E$7,5,IF(INT(M190)&gt;='3월 등급 정보'!$E$8,6,IF(INT(M190)&gt;='3월 등급 정보'!$E$9,7,IF(INT(M190)&gt;='3월 등급 정보'!$E$10,8,IF(INT(M190)&gt;='3월 등급 정보'!$E$11,9)))))))))</f>
        <v>5</v>
      </c>
      <c r="Q190" s="34">
        <v>21.5</v>
      </c>
      <c r="R190" s="33"/>
      <c r="S190" s="33"/>
      <c r="T190" s="33">
        <f>IF(INT(Q190)&gt;='3월 등급 정보'!$F$3,1,IF(INT(Q190)&gt;='3월 등급 정보'!$F$4,2,IF(INT(Q190)&gt;='3월 등급 정보'!$F$5,3,IF(INT(Q190)&gt;='3월 등급 정보'!$F$6,4,IF(INT(Q190)&gt;='3월 등급 정보'!$F$7,5,IF(INT(Q190)&gt;='3월 등급 정보'!$F$8,6,IF(INT(Q190)&gt;='3월 등급 정보'!$F$9,7,IF(INT(Q190)&gt;='3월 등급 정보'!$F$10,8,IF(INT(Q190)&gt;='3월 등급 정보'!$F$11,9)))))))))</f>
        <v>6</v>
      </c>
      <c r="U190" s="34">
        <v>19</v>
      </c>
      <c r="V190" s="33"/>
      <c r="W190" s="33"/>
      <c r="X190" s="33">
        <f>IF(INT(U190)&gt;='3월 등급 정보'!$G$3,1,IF(INT(U190)&gt;='3월 등급 정보'!$G$4,2,IF(INT(U190)&gt;='3월 등급 정보'!$G$5,3,IF(INT(U190)&gt;='3월 등급 정보'!$G$6,4,IF(INT(U190)&gt;='3월 등급 정보'!$G$7,5,IF(INT(U190)&gt;='3월 등급 정보'!$G$8,6,IF(INT(U190)&gt;='3월 등급 정보'!$G$9,7,IF(INT(U190)&gt;='3월 등급 정보'!$G$10,8,IF(INT(U190)&gt;='3월 등급 정보'!$G$11,9)))))))))</f>
        <v>5</v>
      </c>
      <c r="Y190" s="34">
        <v>11</v>
      </c>
      <c r="Z190" s="33"/>
      <c r="AA190" s="33"/>
      <c r="AB190" s="33">
        <f>IF(INT(Y190)&gt;='3월 등급 정보'!$H$3,1,IF(INT(Y190)&gt;='3월 등급 정보'!$H$4,2,IF(INT(Y190)&gt;='3월 등급 정보'!$H$5,3,IF(INT(Y190)&gt;='3월 등급 정보'!$H$6,4,IF(INT(Y190)&gt;='3월 등급 정보'!$H$7,5,IF(INT(Y190)&gt;='3월 등급 정보'!$H$8,6,IF(INT(Y190)&gt;='3월 등급 정보'!$H$9,7,IF(INT(Y190)&gt;='3월 등급 정보'!$H$10,8,IF(INT(Y190)&gt;='3월 등급 정보'!$H$11,9)))))))))</f>
        <v>7</v>
      </c>
      <c r="AC190" s="33">
        <f>E190+I190+M190+Q190+U190</f>
        <v>187.5</v>
      </c>
      <c r="AD190" s="33">
        <f>RANK(AC190,$AC$3:$AC$273)</f>
        <v>188</v>
      </c>
    </row>
    <row r="191" spans="1:30" ht="17.25" customHeight="1">
      <c r="A191" s="33" t="s">
        <v>26</v>
      </c>
      <c r="B191" s="34">
        <v>6</v>
      </c>
      <c r="C191" s="34">
        <v>22</v>
      </c>
      <c r="D191" s="34" t="s">
        <v>180</v>
      </c>
      <c r="E191" s="34">
        <v>54</v>
      </c>
      <c r="F191" s="33"/>
      <c r="G191" s="33"/>
      <c r="H191" s="33">
        <f>IF(INT(E191)&gt;='3월 등급 정보'!$C$3,1,IF(INT(E191)&gt;='3월 등급 정보'!$C$4,2,IF(INT(E191)&gt;='3월 등급 정보'!$C$5,3,IF(INT(E191)&gt;='3월 등급 정보'!$C$6,4,IF(INT(E191)&gt;='3월 등급 정보'!$C$7,5,IF(INT(E191)&gt;='3월 등급 정보'!$C$8,6,IF(INT(E191)&gt;='3월 등급 정보'!$C$9,7,IF(INT(E191)&gt;='3월 등급 정보'!$C$10,8,IF(INT(E191)&gt;='3월 등급 정보'!$C$11,9)))))))))</f>
        <v>5</v>
      </c>
      <c r="I191" s="34">
        <v>46</v>
      </c>
      <c r="J191" s="33"/>
      <c r="K191" s="33"/>
      <c r="L191" s="33">
        <f>IF(INT(I191)&gt;='3월 등급 정보'!$D$3,1,IF(INT(I191)&gt;='3월 등급 정보'!$D$4,2,IF(INT(I191)&gt;='3월 등급 정보'!$D$5,3,IF(INT(I191)&gt;='3월 등급 정보'!$D$6,4,IF(INT(I191)&gt;='3월 등급 정보'!$D$7,5,IF(INT(I191)&gt;='3월 등급 정보'!$D$8,6,IF(INT(I191)&gt;='3월 등급 정보'!$D$9,7,IF(INT(I191)&gt;='3월 등급 정보'!$D$10,8,IF(INT(I191)&gt;='3월 등급 정보'!$D$11,9)))))))))</f>
        <v>5</v>
      </c>
      <c r="M191" s="34">
        <v>41</v>
      </c>
      <c r="N191" s="33"/>
      <c r="O191" s="33"/>
      <c r="P191" s="33">
        <f>IF(INT(M191)&gt;='3월 등급 정보'!$E$3,1,IF(INT(M191)&gt;='3월 등급 정보'!$E$4,2,IF(INT(M191)&gt;='3월 등급 정보'!$E$5,3,IF(INT(M191)&gt;='3월 등급 정보'!$E$6,4,IF(INT(M191)&gt;='3월 등급 정보'!$E$7,5,IF(INT(M191)&gt;='3월 등급 정보'!$E$8,6,IF(INT(M191)&gt;='3월 등급 정보'!$E$9,7,IF(INT(M191)&gt;='3월 등급 정보'!$E$10,8,IF(INT(M191)&gt;='3월 등급 정보'!$E$11,9)))))))))</f>
        <v>6</v>
      </c>
      <c r="Q191" s="34">
        <v>34.5</v>
      </c>
      <c r="R191" s="33"/>
      <c r="S191" s="33"/>
      <c r="T191" s="33">
        <f>IF(INT(Q191)&gt;='3월 등급 정보'!$F$3,1,IF(INT(Q191)&gt;='3월 등급 정보'!$F$4,2,IF(INT(Q191)&gt;='3월 등급 정보'!$F$5,3,IF(INT(Q191)&gt;='3월 등급 정보'!$F$6,4,IF(INT(Q191)&gt;='3월 등급 정보'!$F$7,5,IF(INT(Q191)&gt;='3월 등급 정보'!$F$8,6,IF(INT(Q191)&gt;='3월 등급 정보'!$F$9,7,IF(INT(Q191)&gt;='3월 등급 정보'!$F$10,8,IF(INT(Q191)&gt;='3월 등급 정보'!$F$11,9)))))))))</f>
        <v>4</v>
      </c>
      <c r="U191" s="34">
        <v>11.5</v>
      </c>
      <c r="V191" s="33"/>
      <c r="W191" s="33"/>
      <c r="X191" s="33">
        <f>IF(INT(U191)&gt;='3월 등급 정보'!$G$3,1,IF(INT(U191)&gt;='3월 등급 정보'!$G$4,2,IF(INT(U191)&gt;='3월 등급 정보'!$G$5,3,IF(INT(U191)&gt;='3월 등급 정보'!$G$6,4,IF(INT(U191)&gt;='3월 등급 정보'!$G$7,5,IF(INT(U191)&gt;='3월 등급 정보'!$G$8,6,IF(INT(U191)&gt;='3월 등급 정보'!$G$9,7,IF(INT(U191)&gt;='3월 등급 정보'!$G$10,8,IF(INT(U191)&gt;='3월 등급 정보'!$G$11,9)))))))))</f>
        <v>7</v>
      </c>
      <c r="Y191" s="34">
        <v>31</v>
      </c>
      <c r="Z191" s="33"/>
      <c r="AA191" s="33"/>
      <c r="AB191" s="33">
        <f>IF(INT(Y191)&gt;='3월 등급 정보'!$H$3,1,IF(INT(Y191)&gt;='3월 등급 정보'!$H$4,2,IF(INT(Y191)&gt;='3월 등급 정보'!$H$5,3,IF(INT(Y191)&gt;='3월 등급 정보'!$H$6,4,IF(INT(Y191)&gt;='3월 등급 정보'!$H$7,5,IF(INT(Y191)&gt;='3월 등급 정보'!$H$8,6,IF(INT(Y191)&gt;='3월 등급 정보'!$H$9,7,IF(INT(Y191)&gt;='3월 등급 정보'!$H$10,8,IF(INT(Y191)&gt;='3월 등급 정보'!$H$11,9)))))))))</f>
        <v>3</v>
      </c>
      <c r="AC191" s="33">
        <f>E191+I191+M191+Q191+U191</f>
        <v>187</v>
      </c>
      <c r="AD191" s="33">
        <f>RANK(AC191,$AC$3:$AC$273)</f>
        <v>189</v>
      </c>
    </row>
    <row r="192" spans="1:30" ht="17.25" customHeight="1">
      <c r="A192" s="33" t="s">
        <v>26</v>
      </c>
      <c r="B192" s="34">
        <v>2</v>
      </c>
      <c r="C192" s="34">
        <v>23</v>
      </c>
      <c r="D192" s="34" t="s">
        <v>75</v>
      </c>
      <c r="E192" s="34">
        <v>54</v>
      </c>
      <c r="F192" s="33"/>
      <c r="G192" s="33"/>
      <c r="H192" s="33">
        <f>IF(INT(E192)&gt;='3월 등급 정보'!$C$3,1,IF(INT(E192)&gt;='3월 등급 정보'!$C$4,2,IF(INT(E192)&gt;='3월 등급 정보'!$C$5,3,IF(INT(E192)&gt;='3월 등급 정보'!$C$6,4,IF(INT(E192)&gt;='3월 등급 정보'!$C$7,5,IF(INT(E192)&gt;='3월 등급 정보'!$C$8,6,IF(INT(E192)&gt;='3월 등급 정보'!$C$9,7,IF(INT(E192)&gt;='3월 등급 정보'!$C$10,8,IF(INT(E192)&gt;='3월 등급 정보'!$C$11,9)))))))))</f>
        <v>5</v>
      </c>
      <c r="I192" s="34">
        <v>19</v>
      </c>
      <c r="J192" s="33"/>
      <c r="K192" s="33"/>
      <c r="L192" s="33">
        <f>IF(INT(I192)&gt;='3월 등급 정보'!$D$3,1,IF(INT(I192)&gt;='3월 등급 정보'!$D$4,2,IF(INT(I192)&gt;='3월 등급 정보'!$D$5,3,IF(INT(I192)&gt;='3월 등급 정보'!$D$6,4,IF(INT(I192)&gt;='3월 등급 정보'!$D$7,5,IF(INT(I192)&gt;='3월 등급 정보'!$D$8,6,IF(INT(I192)&gt;='3월 등급 정보'!$D$9,7,IF(INT(I192)&gt;='3월 등급 정보'!$D$10,8,IF(INT(I192)&gt;='3월 등급 정보'!$D$11,9)))))))))</f>
        <v>7</v>
      </c>
      <c r="M192" s="34">
        <v>59</v>
      </c>
      <c r="N192" s="33"/>
      <c r="O192" s="33"/>
      <c r="P192" s="33">
        <f>IF(INT(M192)&gt;='3월 등급 정보'!$E$3,1,IF(INT(M192)&gt;='3월 등급 정보'!$E$4,2,IF(INT(M192)&gt;='3월 등급 정보'!$E$5,3,IF(INT(M192)&gt;='3월 등급 정보'!$E$6,4,IF(INT(M192)&gt;='3월 등급 정보'!$E$7,5,IF(INT(M192)&gt;='3월 등급 정보'!$E$8,6,IF(INT(M192)&gt;='3월 등급 정보'!$E$9,7,IF(INT(M192)&gt;='3월 등급 정보'!$E$10,8,IF(INT(M192)&gt;='3월 등급 정보'!$E$11,9)))))))))</f>
        <v>5</v>
      </c>
      <c r="Q192" s="34">
        <v>34.5</v>
      </c>
      <c r="R192" s="33"/>
      <c r="S192" s="33"/>
      <c r="T192" s="33">
        <f>IF(INT(Q192)&gt;='3월 등급 정보'!$F$3,1,IF(INT(Q192)&gt;='3월 등급 정보'!$F$4,2,IF(INT(Q192)&gt;='3월 등급 정보'!$F$5,3,IF(INT(Q192)&gt;='3월 등급 정보'!$F$6,4,IF(INT(Q192)&gt;='3월 등급 정보'!$F$7,5,IF(INT(Q192)&gt;='3월 등급 정보'!$F$8,6,IF(INT(Q192)&gt;='3월 등급 정보'!$F$9,7,IF(INT(Q192)&gt;='3월 등급 정보'!$F$10,8,IF(INT(Q192)&gt;='3월 등급 정보'!$F$11,9)))))))))</f>
        <v>4</v>
      </c>
      <c r="U192" s="34">
        <v>19</v>
      </c>
      <c r="V192" s="33"/>
      <c r="W192" s="33"/>
      <c r="X192" s="33">
        <f>IF(INT(U192)&gt;='3월 등급 정보'!$G$3,1,IF(INT(U192)&gt;='3월 등급 정보'!$G$4,2,IF(INT(U192)&gt;='3월 등급 정보'!$G$5,3,IF(INT(U192)&gt;='3월 등급 정보'!$G$6,4,IF(INT(U192)&gt;='3월 등급 정보'!$G$7,5,IF(INT(U192)&gt;='3월 등급 정보'!$G$8,6,IF(INT(U192)&gt;='3월 등급 정보'!$G$9,7,IF(INT(U192)&gt;='3월 등급 정보'!$G$10,8,IF(INT(U192)&gt;='3월 등급 정보'!$G$11,9)))))))))</f>
        <v>5</v>
      </c>
      <c r="Y192" s="34">
        <v>39</v>
      </c>
      <c r="Z192" s="33"/>
      <c r="AA192" s="33"/>
      <c r="AB192" s="33">
        <f>IF(INT(Y192)&gt;='3월 등급 정보'!$H$3,1,IF(INT(Y192)&gt;='3월 등급 정보'!$H$4,2,IF(INT(Y192)&gt;='3월 등급 정보'!$H$5,3,IF(INT(Y192)&gt;='3월 등급 정보'!$H$6,4,IF(INT(Y192)&gt;='3월 등급 정보'!$H$7,5,IF(INT(Y192)&gt;='3월 등급 정보'!$H$8,6,IF(INT(Y192)&gt;='3월 등급 정보'!$H$9,7,IF(INT(Y192)&gt;='3월 등급 정보'!$H$10,8,IF(INT(Y192)&gt;='3월 등급 정보'!$H$11,9)))))))))</f>
        <v>2</v>
      </c>
      <c r="AC192" s="33">
        <f>E192+I192+M192+Q192+U192</f>
        <v>185.5</v>
      </c>
      <c r="AD192" s="33">
        <f>RANK(AC192,$AC$3:$AC$273)</f>
        <v>190</v>
      </c>
    </row>
    <row r="193" spans="1:30" ht="17.25" customHeight="1">
      <c r="A193" s="33" t="s">
        <v>26</v>
      </c>
      <c r="B193" s="34">
        <v>4</v>
      </c>
      <c r="C193" s="34">
        <v>13</v>
      </c>
      <c r="D193" s="34" t="s">
        <v>118</v>
      </c>
      <c r="E193" s="34">
        <v>45</v>
      </c>
      <c r="F193" s="33"/>
      <c r="G193" s="33"/>
      <c r="H193" s="33">
        <f>IF(INT(E193)&gt;='3월 등급 정보'!$C$3,1,IF(INT(E193)&gt;='3월 등급 정보'!$C$4,2,IF(INT(E193)&gt;='3월 등급 정보'!$C$5,3,IF(INT(E193)&gt;='3월 등급 정보'!$C$6,4,IF(INT(E193)&gt;='3월 등급 정보'!$C$7,5,IF(INT(E193)&gt;='3월 등급 정보'!$C$8,6,IF(INT(E193)&gt;='3월 등급 정보'!$C$9,7,IF(INT(E193)&gt;='3월 등급 정보'!$C$10,8,IF(INT(E193)&gt;='3월 등급 정보'!$C$11,9)))))))))</f>
        <v>6</v>
      </c>
      <c r="I193" s="34">
        <v>49</v>
      </c>
      <c r="J193" s="33"/>
      <c r="K193" s="33"/>
      <c r="L193" s="33">
        <f>IF(INT(I193)&gt;='3월 등급 정보'!$D$3,1,IF(INT(I193)&gt;='3월 등급 정보'!$D$4,2,IF(INT(I193)&gt;='3월 등급 정보'!$D$5,3,IF(INT(I193)&gt;='3월 등급 정보'!$D$6,4,IF(INT(I193)&gt;='3월 등급 정보'!$D$7,5,IF(INT(I193)&gt;='3월 등급 정보'!$D$8,6,IF(INT(I193)&gt;='3월 등급 정보'!$D$9,7,IF(INT(I193)&gt;='3월 등급 정보'!$D$10,8,IF(INT(I193)&gt;='3월 등급 정보'!$D$11,9)))))))))</f>
        <v>5</v>
      </c>
      <c r="M193" s="34">
        <v>42</v>
      </c>
      <c r="N193" s="33"/>
      <c r="O193" s="33"/>
      <c r="P193" s="33">
        <f>IF(INT(M193)&gt;='3월 등급 정보'!$E$3,1,IF(INT(M193)&gt;='3월 등급 정보'!$E$4,2,IF(INT(M193)&gt;='3월 등급 정보'!$E$5,3,IF(INT(M193)&gt;='3월 등급 정보'!$E$6,4,IF(INT(M193)&gt;='3월 등급 정보'!$E$7,5,IF(INT(M193)&gt;='3월 등급 정보'!$E$8,6,IF(INT(M193)&gt;='3월 등급 정보'!$E$9,7,IF(INT(M193)&gt;='3월 등급 정보'!$E$10,8,IF(INT(M193)&gt;='3월 등급 정보'!$E$11,9)))))))))</f>
        <v>6</v>
      </c>
      <c r="Q193" s="34">
        <v>24.5</v>
      </c>
      <c r="R193" s="33"/>
      <c r="S193" s="33"/>
      <c r="T193" s="33">
        <f>IF(INT(Q193)&gt;='3월 등급 정보'!$F$3,1,IF(INT(Q193)&gt;='3월 등급 정보'!$F$4,2,IF(INT(Q193)&gt;='3월 등급 정보'!$F$5,3,IF(INT(Q193)&gt;='3월 등급 정보'!$F$6,4,IF(INT(Q193)&gt;='3월 등급 정보'!$F$7,5,IF(INT(Q193)&gt;='3월 등급 정보'!$F$8,6,IF(INT(Q193)&gt;='3월 등급 정보'!$F$9,7,IF(INT(Q193)&gt;='3월 등급 정보'!$F$10,8,IF(INT(Q193)&gt;='3월 등급 정보'!$F$11,9)))))))))</f>
        <v>6</v>
      </c>
      <c r="U193" s="34">
        <v>25</v>
      </c>
      <c r="V193" s="33"/>
      <c r="W193" s="33"/>
      <c r="X193" s="33">
        <f>IF(INT(U193)&gt;='3월 등급 정보'!$G$3,1,IF(INT(U193)&gt;='3월 등급 정보'!$G$4,2,IF(INT(U193)&gt;='3월 등급 정보'!$G$5,3,IF(INT(U193)&gt;='3월 등급 정보'!$G$6,4,IF(INT(U193)&gt;='3월 등급 정보'!$G$7,5,IF(INT(U193)&gt;='3월 등급 정보'!$G$8,6,IF(INT(U193)&gt;='3월 등급 정보'!$G$9,7,IF(INT(U193)&gt;='3월 등급 정보'!$G$10,8,IF(INT(U193)&gt;='3월 등급 정보'!$G$11,9)))))))))</f>
        <v>5</v>
      </c>
      <c r="Y193" s="34">
        <v>26</v>
      </c>
      <c r="Z193" s="33"/>
      <c r="AA193" s="33"/>
      <c r="AB193" s="33">
        <f>IF(INT(Y193)&gt;='3월 등급 정보'!$H$3,1,IF(INT(Y193)&gt;='3월 등급 정보'!$H$4,2,IF(INT(Y193)&gt;='3월 등급 정보'!$H$5,3,IF(INT(Y193)&gt;='3월 등급 정보'!$H$6,4,IF(INT(Y193)&gt;='3월 등급 정보'!$H$7,5,IF(INT(Y193)&gt;='3월 등급 정보'!$H$8,6,IF(INT(Y193)&gt;='3월 등급 정보'!$H$9,7,IF(INT(Y193)&gt;='3월 등급 정보'!$H$10,8,IF(INT(Y193)&gt;='3월 등급 정보'!$H$11,9)))))))))</f>
        <v>4</v>
      </c>
      <c r="AC193" s="33">
        <f>E193+I193+M193+Q193+U193</f>
        <v>185.5</v>
      </c>
      <c r="AD193" s="33">
        <f>RANK(AC193,$AC$3:$AC$273)</f>
        <v>190</v>
      </c>
    </row>
    <row r="194" spans="1:30" ht="17.25" customHeight="1">
      <c r="A194" s="33" t="s">
        <v>26</v>
      </c>
      <c r="B194" s="34">
        <v>1</v>
      </c>
      <c r="C194" s="34">
        <v>5</v>
      </c>
      <c r="D194" s="34" t="s">
        <v>32</v>
      </c>
      <c r="E194" s="34">
        <v>50</v>
      </c>
      <c r="F194" s="33"/>
      <c r="G194" s="33"/>
      <c r="H194" s="33">
        <f>IF(INT(E194)&gt;='3월 등급 정보'!$C$3,1,IF(INT(E194)&gt;='3월 등급 정보'!$C$4,2,IF(INT(E194)&gt;='3월 등급 정보'!$C$5,3,IF(INT(E194)&gt;='3월 등급 정보'!$C$6,4,IF(INT(E194)&gt;='3월 등급 정보'!$C$7,5,IF(INT(E194)&gt;='3월 등급 정보'!$C$8,6,IF(INT(E194)&gt;='3월 등급 정보'!$C$9,7,IF(INT(E194)&gt;='3월 등급 정보'!$C$10,8,IF(INT(E194)&gt;='3월 등급 정보'!$C$11,9)))))))))</f>
        <v>5</v>
      </c>
      <c r="I194" s="34">
        <v>30</v>
      </c>
      <c r="J194" s="33"/>
      <c r="K194" s="33"/>
      <c r="L194" s="33">
        <f>IF(INT(I194)&gt;='3월 등급 정보'!$D$3,1,IF(INT(I194)&gt;='3월 등급 정보'!$D$4,2,IF(INT(I194)&gt;='3월 등급 정보'!$D$5,3,IF(INT(I194)&gt;='3월 등급 정보'!$D$6,4,IF(INT(I194)&gt;='3월 등급 정보'!$D$7,5,IF(INT(I194)&gt;='3월 등급 정보'!$D$8,6,IF(INT(I194)&gt;='3월 등급 정보'!$D$9,7,IF(INT(I194)&gt;='3월 등급 정보'!$D$10,8,IF(INT(I194)&gt;='3월 등급 정보'!$D$11,9)))))))))</f>
        <v>6</v>
      </c>
      <c r="M194" s="34">
        <v>68</v>
      </c>
      <c r="N194" s="33"/>
      <c r="O194" s="33"/>
      <c r="P194" s="33">
        <f>IF(INT(M194)&gt;='3월 등급 정보'!$E$3,1,IF(INT(M194)&gt;='3월 등급 정보'!$E$4,2,IF(INT(M194)&gt;='3월 등급 정보'!$E$5,3,IF(INT(M194)&gt;='3월 등급 정보'!$E$6,4,IF(INT(M194)&gt;='3월 등급 정보'!$E$7,5,IF(INT(M194)&gt;='3월 등급 정보'!$E$8,6,IF(INT(M194)&gt;='3월 등급 정보'!$E$9,7,IF(INT(M194)&gt;='3월 등급 정보'!$E$10,8,IF(INT(M194)&gt;='3월 등급 정보'!$E$11,9)))))))))</f>
        <v>4</v>
      </c>
      <c r="Q194" s="34">
        <v>27.5</v>
      </c>
      <c r="R194" s="33"/>
      <c r="S194" s="33"/>
      <c r="T194" s="33">
        <f>IF(INT(Q194)&gt;='3월 등급 정보'!$F$3,1,IF(INT(Q194)&gt;='3월 등급 정보'!$F$4,2,IF(INT(Q194)&gt;='3월 등급 정보'!$F$5,3,IF(INT(Q194)&gt;='3월 등급 정보'!$F$6,4,IF(INT(Q194)&gt;='3월 등급 정보'!$F$7,5,IF(INT(Q194)&gt;='3월 등급 정보'!$F$8,6,IF(INT(Q194)&gt;='3월 등급 정보'!$F$9,7,IF(INT(Q194)&gt;='3월 등급 정보'!$F$10,8,IF(INT(Q194)&gt;='3월 등급 정보'!$F$11,9)))))))))</f>
        <v>5</v>
      </c>
      <c r="U194" s="34">
        <v>9</v>
      </c>
      <c r="V194" s="33"/>
      <c r="W194" s="33"/>
      <c r="X194" s="33">
        <f>IF(INT(U194)&gt;='3월 등급 정보'!$G$3,1,IF(INT(U194)&gt;='3월 등급 정보'!$G$4,2,IF(INT(U194)&gt;='3월 등급 정보'!$G$5,3,IF(INT(U194)&gt;='3월 등급 정보'!$G$6,4,IF(INT(U194)&gt;='3월 등급 정보'!$G$7,5,IF(INT(U194)&gt;='3월 등급 정보'!$G$8,6,IF(INT(U194)&gt;='3월 등급 정보'!$G$9,7,IF(INT(U194)&gt;='3월 등급 정보'!$G$10,8,IF(INT(U194)&gt;='3월 등급 정보'!$G$11,9)))))))))</f>
        <v>8</v>
      </c>
      <c r="Y194" s="34">
        <v>27</v>
      </c>
      <c r="Z194" s="33"/>
      <c r="AA194" s="33"/>
      <c r="AB194" s="33">
        <f>IF(INT(Y194)&gt;='3월 등급 정보'!$H$3,1,IF(INT(Y194)&gt;='3월 등급 정보'!$H$4,2,IF(INT(Y194)&gt;='3월 등급 정보'!$H$5,3,IF(INT(Y194)&gt;='3월 등급 정보'!$H$6,4,IF(INT(Y194)&gt;='3월 등급 정보'!$H$7,5,IF(INT(Y194)&gt;='3월 등급 정보'!$H$8,6,IF(INT(Y194)&gt;='3월 등급 정보'!$H$9,7,IF(INT(Y194)&gt;='3월 등급 정보'!$H$10,8,IF(INT(Y194)&gt;='3월 등급 정보'!$H$11,9)))))))))</f>
        <v>4</v>
      </c>
      <c r="AC194" s="33">
        <f>E194+I194+M194+Q194+U194</f>
        <v>184.5</v>
      </c>
      <c r="AD194" s="33">
        <f>RANK(AC194,$AC$3:$AC$273)</f>
        <v>192</v>
      </c>
    </row>
    <row r="195" spans="1:30" ht="17.25" customHeight="1">
      <c r="A195" s="33" t="s">
        <v>26</v>
      </c>
      <c r="B195" s="34">
        <v>2</v>
      </c>
      <c r="C195" s="34">
        <v>15</v>
      </c>
      <c r="D195" s="34" t="s">
        <v>67</v>
      </c>
      <c r="E195" s="34">
        <v>49</v>
      </c>
      <c r="F195" s="33"/>
      <c r="G195" s="33"/>
      <c r="H195" s="33">
        <f>IF(INT(E195)&gt;='3월 등급 정보'!$C$3,1,IF(INT(E195)&gt;='3월 등급 정보'!$C$4,2,IF(INT(E195)&gt;='3월 등급 정보'!$C$5,3,IF(INT(E195)&gt;='3월 등급 정보'!$C$6,4,IF(INT(E195)&gt;='3월 등급 정보'!$C$7,5,IF(INT(E195)&gt;='3월 등급 정보'!$C$8,6,IF(INT(E195)&gt;='3월 등급 정보'!$C$9,7,IF(INT(E195)&gt;='3월 등급 정보'!$C$10,8,IF(INT(E195)&gt;='3월 등급 정보'!$C$11,9)))))))))</f>
        <v>5</v>
      </c>
      <c r="I195" s="34">
        <v>22</v>
      </c>
      <c r="J195" s="33"/>
      <c r="K195" s="33"/>
      <c r="L195" s="33">
        <f>IF(INT(I195)&gt;='3월 등급 정보'!$D$3,1,IF(INT(I195)&gt;='3월 등급 정보'!$D$4,2,IF(INT(I195)&gt;='3월 등급 정보'!$D$5,3,IF(INT(I195)&gt;='3월 등급 정보'!$D$6,4,IF(INT(I195)&gt;='3월 등급 정보'!$D$7,5,IF(INT(I195)&gt;='3월 등급 정보'!$D$8,6,IF(INT(I195)&gt;='3월 등급 정보'!$D$9,7,IF(INT(I195)&gt;='3월 등급 정보'!$D$10,8,IF(INT(I195)&gt;='3월 등급 정보'!$D$11,9)))))))))</f>
        <v>7</v>
      </c>
      <c r="M195" s="34">
        <v>55</v>
      </c>
      <c r="N195" s="33"/>
      <c r="O195" s="33"/>
      <c r="P195" s="33">
        <f>IF(INT(M195)&gt;='3월 등급 정보'!$E$3,1,IF(INT(M195)&gt;='3월 등급 정보'!$E$4,2,IF(INT(M195)&gt;='3월 등급 정보'!$E$5,3,IF(INT(M195)&gt;='3월 등급 정보'!$E$6,4,IF(INT(M195)&gt;='3월 등급 정보'!$E$7,5,IF(INT(M195)&gt;='3월 등급 정보'!$E$8,6,IF(INT(M195)&gt;='3월 등급 정보'!$E$9,7,IF(INT(M195)&gt;='3월 등급 정보'!$E$10,8,IF(INT(M195)&gt;='3월 등급 정보'!$E$11,9)))))))))</f>
        <v>5</v>
      </c>
      <c r="Q195" s="34">
        <v>36</v>
      </c>
      <c r="R195" s="33"/>
      <c r="S195" s="33"/>
      <c r="T195" s="33">
        <f>IF(INT(Q195)&gt;='3월 등급 정보'!$F$3,1,IF(INT(Q195)&gt;='3월 등급 정보'!$F$4,2,IF(INT(Q195)&gt;='3월 등급 정보'!$F$5,3,IF(INT(Q195)&gt;='3월 등급 정보'!$F$6,4,IF(INT(Q195)&gt;='3월 등급 정보'!$F$7,5,IF(INT(Q195)&gt;='3월 등급 정보'!$F$8,6,IF(INT(Q195)&gt;='3월 등급 정보'!$F$9,7,IF(INT(Q195)&gt;='3월 등급 정보'!$F$10,8,IF(INT(Q195)&gt;='3월 등급 정보'!$F$11,9)))))))))</f>
        <v>4</v>
      </c>
      <c r="U195" s="34">
        <v>22.5</v>
      </c>
      <c r="V195" s="33"/>
      <c r="W195" s="33"/>
      <c r="X195" s="33">
        <f>IF(INT(U195)&gt;='3월 등급 정보'!$G$3,1,IF(INT(U195)&gt;='3월 등급 정보'!$G$4,2,IF(INT(U195)&gt;='3월 등급 정보'!$G$5,3,IF(INT(U195)&gt;='3월 등급 정보'!$G$6,4,IF(INT(U195)&gt;='3월 등급 정보'!$G$7,5,IF(INT(U195)&gt;='3월 등급 정보'!$G$8,6,IF(INT(U195)&gt;='3월 등급 정보'!$G$9,7,IF(INT(U195)&gt;='3월 등급 정보'!$G$10,8,IF(INT(U195)&gt;='3월 등급 정보'!$G$11,9)))))))))</f>
        <v>5</v>
      </c>
      <c r="Y195" s="34">
        <v>38</v>
      </c>
      <c r="Z195" s="33"/>
      <c r="AA195" s="33"/>
      <c r="AB195" s="33">
        <f>IF(INT(Y195)&gt;='3월 등급 정보'!$H$3,1,IF(INT(Y195)&gt;='3월 등급 정보'!$H$4,2,IF(INT(Y195)&gt;='3월 등급 정보'!$H$5,3,IF(INT(Y195)&gt;='3월 등급 정보'!$H$6,4,IF(INT(Y195)&gt;='3월 등급 정보'!$H$7,5,IF(INT(Y195)&gt;='3월 등급 정보'!$H$8,6,IF(INT(Y195)&gt;='3월 등급 정보'!$H$9,7,IF(INT(Y195)&gt;='3월 등급 정보'!$H$10,8,IF(INT(Y195)&gt;='3월 등급 정보'!$H$11,9)))))))))</f>
        <v>2</v>
      </c>
      <c r="AC195" s="33">
        <f>E195+I195+M195+Q195+U195</f>
        <v>184.5</v>
      </c>
      <c r="AD195" s="33">
        <f>RANK(AC195,$AC$3:$AC$273)</f>
        <v>192</v>
      </c>
    </row>
    <row r="196" spans="1:30" ht="17.25" customHeight="1">
      <c r="A196" s="33" t="s">
        <v>26</v>
      </c>
      <c r="B196" s="34">
        <v>9</v>
      </c>
      <c r="C196" s="34">
        <v>9</v>
      </c>
      <c r="D196" s="34" t="s">
        <v>246</v>
      </c>
      <c r="E196" s="34">
        <v>61</v>
      </c>
      <c r="F196" s="33"/>
      <c r="G196" s="33"/>
      <c r="H196" s="33">
        <f>IF(INT(E196)&gt;='3월 등급 정보'!$C$3,1,IF(INT(E196)&gt;='3월 등급 정보'!$C$4,2,IF(INT(E196)&gt;='3월 등급 정보'!$C$5,3,IF(INT(E196)&gt;='3월 등급 정보'!$C$6,4,IF(INT(E196)&gt;='3월 등급 정보'!$C$7,5,IF(INT(E196)&gt;='3월 등급 정보'!$C$8,6,IF(INT(E196)&gt;='3월 등급 정보'!$C$9,7,IF(INT(E196)&gt;='3월 등급 정보'!$C$10,8,IF(INT(E196)&gt;='3월 등급 정보'!$C$11,9)))))))))</f>
        <v>4</v>
      </c>
      <c r="I196" s="34">
        <v>39</v>
      </c>
      <c r="J196" s="33"/>
      <c r="K196" s="33"/>
      <c r="L196" s="33">
        <f>IF(INT(I196)&gt;='3월 등급 정보'!$D$3,1,IF(INT(I196)&gt;='3월 등급 정보'!$D$4,2,IF(INT(I196)&gt;='3월 등급 정보'!$D$5,3,IF(INT(I196)&gt;='3월 등급 정보'!$D$6,4,IF(INT(I196)&gt;='3월 등급 정보'!$D$7,5,IF(INT(I196)&gt;='3월 등급 정보'!$D$8,6,IF(INT(I196)&gt;='3월 등급 정보'!$D$9,7,IF(INT(I196)&gt;='3월 등급 정보'!$D$10,8,IF(INT(I196)&gt;='3월 등급 정보'!$D$11,9)))))))))</f>
        <v>5</v>
      </c>
      <c r="M196" s="34">
        <v>48</v>
      </c>
      <c r="N196" s="33"/>
      <c r="O196" s="33"/>
      <c r="P196" s="33">
        <f>IF(INT(M196)&gt;='3월 등급 정보'!$E$3,1,IF(INT(M196)&gt;='3월 등급 정보'!$E$4,2,IF(INT(M196)&gt;='3월 등급 정보'!$E$5,3,IF(INT(M196)&gt;='3월 등급 정보'!$E$6,4,IF(INT(M196)&gt;='3월 등급 정보'!$E$7,5,IF(INT(M196)&gt;='3월 등급 정보'!$E$8,6,IF(INT(M196)&gt;='3월 등급 정보'!$E$9,7,IF(INT(M196)&gt;='3월 등급 정보'!$E$10,8,IF(INT(M196)&gt;='3월 등급 정보'!$E$11,9)))))))))</f>
        <v>6</v>
      </c>
      <c r="Q196" s="34">
        <v>11.5</v>
      </c>
      <c r="R196" s="33"/>
      <c r="S196" s="33"/>
      <c r="T196" s="33">
        <f>IF(INT(Q196)&gt;='3월 등급 정보'!$F$3,1,IF(INT(Q196)&gt;='3월 등급 정보'!$F$4,2,IF(INT(Q196)&gt;='3월 등급 정보'!$F$5,3,IF(INT(Q196)&gt;='3월 등급 정보'!$F$6,4,IF(INT(Q196)&gt;='3월 등급 정보'!$F$7,5,IF(INT(Q196)&gt;='3월 등급 정보'!$F$8,6,IF(INT(Q196)&gt;='3월 등급 정보'!$F$9,7,IF(INT(Q196)&gt;='3월 등급 정보'!$F$10,8,IF(INT(Q196)&gt;='3월 등급 정보'!$F$11,9)))))))))</f>
        <v>8</v>
      </c>
      <c r="U196" s="34">
        <v>24.5</v>
      </c>
      <c r="V196" s="33"/>
      <c r="W196" s="33"/>
      <c r="X196" s="33">
        <f>IF(INT(U196)&gt;='3월 등급 정보'!$G$3,1,IF(INT(U196)&gt;='3월 등급 정보'!$G$4,2,IF(INT(U196)&gt;='3월 등급 정보'!$G$5,3,IF(INT(U196)&gt;='3월 등급 정보'!$G$6,4,IF(INT(U196)&gt;='3월 등급 정보'!$G$7,5,IF(INT(U196)&gt;='3월 등급 정보'!$G$8,6,IF(INT(U196)&gt;='3월 등급 정보'!$G$9,7,IF(INT(U196)&gt;='3월 등급 정보'!$G$10,8,IF(INT(U196)&gt;='3월 등급 정보'!$G$11,9)))))))))</f>
        <v>5</v>
      </c>
      <c r="Y196" s="34">
        <v>18</v>
      </c>
      <c r="Z196" s="33"/>
      <c r="AA196" s="33"/>
      <c r="AB196" s="33">
        <f>IF(INT(Y196)&gt;='3월 등급 정보'!$H$3,1,IF(INT(Y196)&gt;='3월 등급 정보'!$H$4,2,IF(INT(Y196)&gt;='3월 등급 정보'!$H$5,3,IF(INT(Y196)&gt;='3월 등급 정보'!$H$6,4,IF(INT(Y196)&gt;='3월 등급 정보'!$H$7,5,IF(INT(Y196)&gt;='3월 등급 정보'!$H$8,6,IF(INT(Y196)&gt;='3월 등급 정보'!$H$9,7,IF(INT(Y196)&gt;='3월 등급 정보'!$H$10,8,IF(INT(Y196)&gt;='3월 등급 정보'!$H$11,9)))))))))</f>
        <v>6</v>
      </c>
      <c r="AC196" s="33">
        <f>E196+I196+M196+Q196+U196</f>
        <v>184</v>
      </c>
      <c r="AD196" s="33">
        <f>RANK(AC196,$AC$3:$AC$273)</f>
        <v>194</v>
      </c>
    </row>
    <row r="197" spans="1:30" ht="17.25" customHeight="1">
      <c r="A197" s="33" t="s">
        <v>26</v>
      </c>
      <c r="B197" s="34">
        <v>4</v>
      </c>
      <c r="C197" s="34">
        <v>23</v>
      </c>
      <c r="D197" s="34" t="s">
        <v>127</v>
      </c>
      <c r="E197" s="34">
        <v>40</v>
      </c>
      <c r="F197" s="33"/>
      <c r="G197" s="33"/>
      <c r="H197" s="33">
        <f>IF(INT(E197)&gt;='3월 등급 정보'!$C$3,1,IF(INT(E197)&gt;='3월 등급 정보'!$C$4,2,IF(INT(E197)&gt;='3월 등급 정보'!$C$5,3,IF(INT(E197)&gt;='3월 등급 정보'!$C$6,4,IF(INT(E197)&gt;='3월 등급 정보'!$C$7,5,IF(INT(E197)&gt;='3월 등급 정보'!$C$8,6,IF(INT(E197)&gt;='3월 등급 정보'!$C$9,7,IF(INT(E197)&gt;='3월 등급 정보'!$C$10,8,IF(INT(E197)&gt;='3월 등급 정보'!$C$11,9)))))))))</f>
        <v>6</v>
      </c>
      <c r="I197" s="34">
        <v>47</v>
      </c>
      <c r="J197" s="33"/>
      <c r="K197" s="33"/>
      <c r="L197" s="33">
        <f>IF(INT(I197)&gt;='3월 등급 정보'!$D$3,1,IF(INT(I197)&gt;='3월 등급 정보'!$D$4,2,IF(INT(I197)&gt;='3월 등급 정보'!$D$5,3,IF(INT(I197)&gt;='3월 등급 정보'!$D$6,4,IF(INT(I197)&gt;='3월 등급 정보'!$D$7,5,IF(INT(I197)&gt;='3월 등급 정보'!$D$8,6,IF(INT(I197)&gt;='3월 등급 정보'!$D$9,7,IF(INT(I197)&gt;='3월 등급 정보'!$D$10,8,IF(INT(I197)&gt;='3월 등급 정보'!$D$11,9)))))))))</f>
        <v>5</v>
      </c>
      <c r="M197" s="34">
        <v>48</v>
      </c>
      <c r="N197" s="33"/>
      <c r="O197" s="33"/>
      <c r="P197" s="33">
        <f>IF(INT(M197)&gt;='3월 등급 정보'!$E$3,1,IF(INT(M197)&gt;='3월 등급 정보'!$E$4,2,IF(INT(M197)&gt;='3월 등급 정보'!$E$5,3,IF(INT(M197)&gt;='3월 등급 정보'!$E$6,4,IF(INT(M197)&gt;='3월 등급 정보'!$E$7,5,IF(INT(M197)&gt;='3월 등급 정보'!$E$8,6,IF(INT(M197)&gt;='3월 등급 정보'!$E$9,7,IF(INT(M197)&gt;='3월 등급 정보'!$E$10,8,IF(INT(M197)&gt;='3월 등급 정보'!$E$11,9)))))))))</f>
        <v>6</v>
      </c>
      <c r="Q197" s="34">
        <v>27</v>
      </c>
      <c r="R197" s="33"/>
      <c r="S197" s="33"/>
      <c r="T197" s="33">
        <f>IF(INT(Q197)&gt;='3월 등급 정보'!$F$3,1,IF(INT(Q197)&gt;='3월 등급 정보'!$F$4,2,IF(INT(Q197)&gt;='3월 등급 정보'!$F$5,3,IF(INT(Q197)&gt;='3월 등급 정보'!$F$6,4,IF(INT(Q197)&gt;='3월 등급 정보'!$F$7,5,IF(INT(Q197)&gt;='3월 등급 정보'!$F$8,6,IF(INT(Q197)&gt;='3월 등급 정보'!$F$9,7,IF(INT(Q197)&gt;='3월 등급 정보'!$F$10,8,IF(INT(Q197)&gt;='3월 등급 정보'!$F$11,9)))))))))</f>
        <v>5</v>
      </c>
      <c r="U197" s="34">
        <v>21.5</v>
      </c>
      <c r="V197" s="33"/>
      <c r="W197" s="33"/>
      <c r="X197" s="33">
        <f>IF(INT(U197)&gt;='3월 등급 정보'!$G$3,1,IF(INT(U197)&gt;='3월 등급 정보'!$G$4,2,IF(INT(U197)&gt;='3월 등급 정보'!$G$5,3,IF(INT(U197)&gt;='3월 등급 정보'!$G$6,4,IF(INT(U197)&gt;='3월 등급 정보'!$G$7,5,IF(INT(U197)&gt;='3월 등급 정보'!$G$8,6,IF(INT(U197)&gt;='3월 등급 정보'!$G$9,7,IF(INT(U197)&gt;='3월 등급 정보'!$G$10,8,IF(INT(U197)&gt;='3월 등급 정보'!$G$11,9)))))))))</f>
        <v>5</v>
      </c>
      <c r="Y197" s="34">
        <v>25</v>
      </c>
      <c r="Z197" s="33"/>
      <c r="AA197" s="33"/>
      <c r="AB197" s="33">
        <f>IF(INT(Y197)&gt;='3월 등급 정보'!$H$3,1,IF(INT(Y197)&gt;='3월 등급 정보'!$H$4,2,IF(INT(Y197)&gt;='3월 등급 정보'!$H$5,3,IF(INT(Y197)&gt;='3월 등급 정보'!$H$6,4,IF(INT(Y197)&gt;='3월 등급 정보'!$H$7,5,IF(INT(Y197)&gt;='3월 등급 정보'!$H$8,6,IF(INT(Y197)&gt;='3월 등급 정보'!$H$9,7,IF(INT(Y197)&gt;='3월 등급 정보'!$H$10,8,IF(INT(Y197)&gt;='3월 등급 정보'!$H$11,9)))))))))</f>
        <v>4</v>
      </c>
      <c r="AC197" s="33">
        <f>E197+I197+M197+Q197+U197</f>
        <v>183.5</v>
      </c>
      <c r="AD197" s="33">
        <f>RANK(AC197,$AC$3:$AC$273)</f>
        <v>195</v>
      </c>
    </row>
    <row r="198" spans="1:30" ht="17.25" customHeight="1">
      <c r="A198" s="33" t="s">
        <v>26</v>
      </c>
      <c r="B198" s="34">
        <v>7</v>
      </c>
      <c r="C198" s="34">
        <v>23</v>
      </c>
      <c r="D198" s="34" t="s">
        <v>209</v>
      </c>
      <c r="E198" s="34">
        <v>42</v>
      </c>
      <c r="F198" s="33"/>
      <c r="G198" s="33"/>
      <c r="H198" s="33">
        <f>IF(INT(E198)&gt;='3월 등급 정보'!$C$3,1,IF(INT(E198)&gt;='3월 등급 정보'!$C$4,2,IF(INT(E198)&gt;='3월 등급 정보'!$C$5,3,IF(INT(E198)&gt;='3월 등급 정보'!$C$6,4,IF(INT(E198)&gt;='3월 등급 정보'!$C$7,5,IF(INT(E198)&gt;='3월 등급 정보'!$C$8,6,IF(INT(E198)&gt;='3월 등급 정보'!$C$9,7,IF(INT(E198)&gt;='3월 등급 정보'!$C$10,8,IF(INT(E198)&gt;='3월 등급 정보'!$C$11,9)))))))))</f>
        <v>6</v>
      </c>
      <c r="I198" s="34">
        <v>43</v>
      </c>
      <c r="J198" s="33"/>
      <c r="K198" s="33"/>
      <c r="L198" s="33">
        <f>IF(INT(I198)&gt;='3월 등급 정보'!$D$3,1,IF(INT(I198)&gt;='3월 등급 정보'!$D$4,2,IF(INT(I198)&gt;='3월 등급 정보'!$D$5,3,IF(INT(I198)&gt;='3월 등급 정보'!$D$6,4,IF(INT(I198)&gt;='3월 등급 정보'!$D$7,5,IF(INT(I198)&gt;='3월 등급 정보'!$D$8,6,IF(INT(I198)&gt;='3월 등급 정보'!$D$9,7,IF(INT(I198)&gt;='3월 등급 정보'!$D$10,8,IF(INT(I198)&gt;='3월 등급 정보'!$D$11,9)))))))))</f>
        <v>5</v>
      </c>
      <c r="M198" s="34">
        <v>61</v>
      </c>
      <c r="N198" s="33"/>
      <c r="O198" s="33"/>
      <c r="P198" s="33">
        <f>IF(INT(M198)&gt;='3월 등급 정보'!$E$3,1,IF(INT(M198)&gt;='3월 등급 정보'!$E$4,2,IF(INT(M198)&gt;='3월 등급 정보'!$E$5,3,IF(INT(M198)&gt;='3월 등급 정보'!$E$6,4,IF(INT(M198)&gt;='3월 등급 정보'!$E$7,5,IF(INT(M198)&gt;='3월 등급 정보'!$E$8,6,IF(INT(M198)&gt;='3월 등급 정보'!$E$9,7,IF(INT(M198)&gt;='3월 등급 정보'!$E$10,8,IF(INT(M198)&gt;='3월 등급 정보'!$E$11,9)))))))))</f>
        <v>4</v>
      </c>
      <c r="Q198" s="34">
        <v>25.5</v>
      </c>
      <c r="R198" s="33"/>
      <c r="S198" s="33"/>
      <c r="T198" s="33">
        <f>IF(INT(Q198)&gt;='3월 등급 정보'!$F$3,1,IF(INT(Q198)&gt;='3월 등급 정보'!$F$4,2,IF(INT(Q198)&gt;='3월 등급 정보'!$F$5,3,IF(INT(Q198)&gt;='3월 등급 정보'!$F$6,4,IF(INT(Q198)&gt;='3월 등급 정보'!$F$7,5,IF(INT(Q198)&gt;='3월 등급 정보'!$F$8,6,IF(INT(Q198)&gt;='3월 등급 정보'!$F$9,7,IF(INT(Q198)&gt;='3월 등급 정보'!$F$10,8,IF(INT(Q198)&gt;='3월 등급 정보'!$F$11,9)))))))))</f>
        <v>6</v>
      </c>
      <c r="U198" s="34">
        <v>12</v>
      </c>
      <c r="V198" s="33"/>
      <c r="W198" s="33"/>
      <c r="X198" s="33">
        <f>IF(INT(U198)&gt;='3월 등급 정보'!$G$3,1,IF(INT(U198)&gt;='3월 등급 정보'!$G$4,2,IF(INT(U198)&gt;='3월 등급 정보'!$G$5,3,IF(INT(U198)&gt;='3월 등급 정보'!$G$6,4,IF(INT(U198)&gt;='3월 등급 정보'!$G$7,5,IF(INT(U198)&gt;='3월 등급 정보'!$G$8,6,IF(INT(U198)&gt;='3월 등급 정보'!$G$9,7,IF(INT(U198)&gt;='3월 등급 정보'!$G$10,8,IF(INT(U198)&gt;='3월 등급 정보'!$G$11,9)))))))))</f>
        <v>7</v>
      </c>
      <c r="Y198" s="34">
        <v>29</v>
      </c>
      <c r="Z198" s="33"/>
      <c r="AA198" s="33"/>
      <c r="AB198" s="33">
        <f>IF(INT(Y198)&gt;='3월 등급 정보'!$H$3,1,IF(INT(Y198)&gt;='3월 등급 정보'!$H$4,2,IF(INT(Y198)&gt;='3월 등급 정보'!$H$5,3,IF(INT(Y198)&gt;='3월 등급 정보'!$H$6,4,IF(INT(Y198)&gt;='3월 등급 정보'!$H$7,5,IF(INT(Y198)&gt;='3월 등급 정보'!$H$8,6,IF(INT(Y198)&gt;='3월 등급 정보'!$H$9,7,IF(INT(Y198)&gt;='3월 등급 정보'!$H$10,8,IF(INT(Y198)&gt;='3월 등급 정보'!$H$11,9)))))))))</f>
        <v>4</v>
      </c>
      <c r="AC198" s="33">
        <f>E198+I198+M198+Q198+U198</f>
        <v>183.5</v>
      </c>
      <c r="AD198" s="33">
        <f>RANK(AC198,$AC$3:$AC$273)</f>
        <v>195</v>
      </c>
    </row>
    <row r="199" spans="1:30" ht="17.25" customHeight="1">
      <c r="A199" s="33" t="s">
        <v>26</v>
      </c>
      <c r="B199" s="34">
        <v>7</v>
      </c>
      <c r="C199" s="34">
        <v>21</v>
      </c>
      <c r="D199" s="34" t="s">
        <v>207</v>
      </c>
      <c r="E199" s="34">
        <v>51</v>
      </c>
      <c r="F199" s="33"/>
      <c r="G199" s="33"/>
      <c r="H199" s="33">
        <f>IF(INT(E199)&gt;='3월 등급 정보'!$C$3,1,IF(INT(E199)&gt;='3월 등급 정보'!$C$4,2,IF(INT(E199)&gt;='3월 등급 정보'!$C$5,3,IF(INT(E199)&gt;='3월 등급 정보'!$C$6,4,IF(INT(E199)&gt;='3월 등급 정보'!$C$7,5,IF(INT(E199)&gt;='3월 등급 정보'!$C$8,6,IF(INT(E199)&gt;='3월 등급 정보'!$C$9,7,IF(INT(E199)&gt;='3월 등급 정보'!$C$10,8,IF(INT(E199)&gt;='3월 등급 정보'!$C$11,9)))))))))</f>
        <v>5</v>
      </c>
      <c r="I199" s="34">
        <v>41</v>
      </c>
      <c r="J199" s="33"/>
      <c r="K199" s="33"/>
      <c r="L199" s="33">
        <f>IF(INT(I199)&gt;='3월 등급 정보'!$D$3,1,IF(INT(I199)&gt;='3월 등급 정보'!$D$4,2,IF(INT(I199)&gt;='3월 등급 정보'!$D$5,3,IF(INT(I199)&gt;='3월 등급 정보'!$D$6,4,IF(INT(I199)&gt;='3월 등급 정보'!$D$7,5,IF(INT(I199)&gt;='3월 등급 정보'!$D$8,6,IF(INT(I199)&gt;='3월 등급 정보'!$D$9,7,IF(INT(I199)&gt;='3월 등급 정보'!$D$10,8,IF(INT(I199)&gt;='3월 등급 정보'!$D$11,9)))))))))</f>
        <v>5</v>
      </c>
      <c r="M199" s="34">
        <v>55</v>
      </c>
      <c r="N199" s="33"/>
      <c r="O199" s="33"/>
      <c r="P199" s="33">
        <f>IF(INT(M199)&gt;='3월 등급 정보'!$E$3,1,IF(INT(M199)&gt;='3월 등급 정보'!$E$4,2,IF(INT(M199)&gt;='3월 등급 정보'!$E$5,3,IF(INT(M199)&gt;='3월 등급 정보'!$E$6,4,IF(INT(M199)&gt;='3월 등급 정보'!$E$7,5,IF(INT(M199)&gt;='3월 등급 정보'!$E$8,6,IF(INT(M199)&gt;='3월 등급 정보'!$E$9,7,IF(INT(M199)&gt;='3월 등급 정보'!$E$10,8,IF(INT(M199)&gt;='3월 등급 정보'!$E$11,9)))))))))</f>
        <v>5</v>
      </c>
      <c r="Q199" s="34">
        <v>28</v>
      </c>
      <c r="R199" s="33"/>
      <c r="S199" s="33"/>
      <c r="T199" s="33">
        <f>IF(INT(Q199)&gt;='3월 등급 정보'!$F$3,1,IF(INT(Q199)&gt;='3월 등급 정보'!$F$4,2,IF(INT(Q199)&gt;='3월 등급 정보'!$F$5,3,IF(INT(Q199)&gt;='3월 등급 정보'!$F$6,4,IF(INT(Q199)&gt;='3월 등급 정보'!$F$7,5,IF(INT(Q199)&gt;='3월 등급 정보'!$F$8,6,IF(INT(Q199)&gt;='3월 등급 정보'!$F$9,7,IF(INT(Q199)&gt;='3월 등급 정보'!$F$10,8,IF(INT(Q199)&gt;='3월 등급 정보'!$F$11,9)))))))))</f>
        <v>5</v>
      </c>
      <c r="U199" s="34">
        <v>7.5</v>
      </c>
      <c r="V199" s="33"/>
      <c r="W199" s="33"/>
      <c r="X199" s="33">
        <f>IF(INT(U199)&gt;='3월 등급 정보'!$G$3,1,IF(INT(U199)&gt;='3월 등급 정보'!$G$4,2,IF(INT(U199)&gt;='3월 등급 정보'!$G$5,3,IF(INT(U199)&gt;='3월 등급 정보'!$G$6,4,IF(INT(U199)&gt;='3월 등급 정보'!$G$7,5,IF(INT(U199)&gt;='3월 등급 정보'!$G$8,6,IF(INT(U199)&gt;='3월 등급 정보'!$G$9,7,IF(INT(U199)&gt;='3월 등급 정보'!$G$10,8,IF(INT(U199)&gt;='3월 등급 정보'!$G$11,9)))))))))</f>
        <v>8</v>
      </c>
      <c r="Y199" s="34">
        <v>19</v>
      </c>
      <c r="Z199" s="33"/>
      <c r="AA199" s="33"/>
      <c r="AB199" s="33">
        <f>IF(INT(Y199)&gt;='3월 등급 정보'!$H$3,1,IF(INT(Y199)&gt;='3월 등급 정보'!$H$4,2,IF(INT(Y199)&gt;='3월 등급 정보'!$H$5,3,IF(INT(Y199)&gt;='3월 등급 정보'!$H$6,4,IF(INT(Y199)&gt;='3월 등급 정보'!$H$7,5,IF(INT(Y199)&gt;='3월 등급 정보'!$H$8,6,IF(INT(Y199)&gt;='3월 등급 정보'!$H$9,7,IF(INT(Y199)&gt;='3월 등급 정보'!$H$10,8,IF(INT(Y199)&gt;='3월 등급 정보'!$H$11,9)))))))))</f>
        <v>6</v>
      </c>
      <c r="AC199" s="33">
        <f>E199+I199+M199+Q199+U199</f>
        <v>182.5</v>
      </c>
      <c r="AD199" s="33">
        <f>RANK(AC199,$AC$3:$AC$273)</f>
        <v>197</v>
      </c>
    </row>
    <row r="200" spans="1:30" ht="17.25" customHeight="1">
      <c r="A200" s="33" t="s">
        <v>26</v>
      </c>
      <c r="B200" s="34">
        <v>7</v>
      </c>
      <c r="C200" s="34">
        <v>2</v>
      </c>
      <c r="D200" s="34" t="s">
        <v>188</v>
      </c>
      <c r="E200" s="34">
        <v>48</v>
      </c>
      <c r="F200" s="33"/>
      <c r="G200" s="33"/>
      <c r="H200" s="33">
        <f>IF(INT(E200)&gt;='3월 등급 정보'!$C$3,1,IF(INT(E200)&gt;='3월 등급 정보'!$C$4,2,IF(INT(E200)&gt;='3월 등급 정보'!$C$5,3,IF(INT(E200)&gt;='3월 등급 정보'!$C$6,4,IF(INT(E200)&gt;='3월 등급 정보'!$C$7,5,IF(INT(E200)&gt;='3월 등급 정보'!$C$8,6,IF(INT(E200)&gt;='3월 등급 정보'!$C$9,7,IF(INT(E200)&gt;='3월 등급 정보'!$C$10,8,IF(INT(E200)&gt;='3월 등급 정보'!$C$11,9)))))))))</f>
        <v>5</v>
      </c>
      <c r="I200" s="34">
        <v>49</v>
      </c>
      <c r="J200" s="33"/>
      <c r="K200" s="33"/>
      <c r="L200" s="33">
        <f>IF(INT(I200)&gt;='3월 등급 정보'!$D$3,1,IF(INT(I200)&gt;='3월 등급 정보'!$D$4,2,IF(INT(I200)&gt;='3월 등급 정보'!$D$5,3,IF(INT(I200)&gt;='3월 등급 정보'!$D$6,4,IF(INT(I200)&gt;='3월 등급 정보'!$D$7,5,IF(INT(I200)&gt;='3월 등급 정보'!$D$8,6,IF(INT(I200)&gt;='3월 등급 정보'!$D$9,7,IF(INT(I200)&gt;='3월 등급 정보'!$D$10,8,IF(INT(I200)&gt;='3월 등급 정보'!$D$11,9)))))))))</f>
        <v>5</v>
      </c>
      <c r="M200" s="34">
        <v>56</v>
      </c>
      <c r="N200" s="33"/>
      <c r="O200" s="33"/>
      <c r="P200" s="33">
        <f>IF(INT(M200)&gt;='3월 등급 정보'!$E$3,1,IF(INT(M200)&gt;='3월 등급 정보'!$E$4,2,IF(INT(M200)&gt;='3월 등급 정보'!$E$5,3,IF(INT(M200)&gt;='3월 등급 정보'!$E$6,4,IF(INT(M200)&gt;='3월 등급 정보'!$E$7,5,IF(INT(M200)&gt;='3월 등급 정보'!$E$8,6,IF(INT(M200)&gt;='3월 등급 정보'!$E$9,7,IF(INT(M200)&gt;='3월 등급 정보'!$E$10,8,IF(INT(M200)&gt;='3월 등급 정보'!$E$11,9)))))))))</f>
        <v>5</v>
      </c>
      <c r="Q200" s="34">
        <v>19</v>
      </c>
      <c r="R200" s="33"/>
      <c r="S200" s="33"/>
      <c r="T200" s="33">
        <f>IF(INT(Q200)&gt;='3월 등급 정보'!$F$3,1,IF(INT(Q200)&gt;='3월 등급 정보'!$F$4,2,IF(INT(Q200)&gt;='3월 등급 정보'!$F$5,3,IF(INT(Q200)&gt;='3월 등급 정보'!$F$6,4,IF(INT(Q200)&gt;='3월 등급 정보'!$F$7,5,IF(INT(Q200)&gt;='3월 등급 정보'!$F$8,6,IF(INT(Q200)&gt;='3월 등급 정보'!$F$9,7,IF(INT(Q200)&gt;='3월 등급 정보'!$F$10,8,IF(INT(Q200)&gt;='3월 등급 정보'!$F$11,9)))))))))</f>
        <v>6</v>
      </c>
      <c r="U200" s="34">
        <v>10</v>
      </c>
      <c r="V200" s="33"/>
      <c r="W200" s="33"/>
      <c r="X200" s="33">
        <f>IF(INT(U200)&gt;='3월 등급 정보'!$G$3,1,IF(INT(U200)&gt;='3월 등급 정보'!$G$4,2,IF(INT(U200)&gt;='3월 등급 정보'!$G$5,3,IF(INT(U200)&gt;='3월 등급 정보'!$G$6,4,IF(INT(U200)&gt;='3월 등급 정보'!$G$7,5,IF(INT(U200)&gt;='3월 등급 정보'!$G$8,6,IF(INT(U200)&gt;='3월 등급 정보'!$G$9,7,IF(INT(U200)&gt;='3월 등급 정보'!$G$10,8,IF(INT(U200)&gt;='3월 등급 정보'!$G$11,9)))))))))</f>
        <v>8</v>
      </c>
      <c r="Y200" s="34">
        <v>10</v>
      </c>
      <c r="Z200" s="33"/>
      <c r="AA200" s="33"/>
      <c r="AB200" s="33">
        <f>IF(INT(Y200)&gt;='3월 등급 정보'!$H$3,1,IF(INT(Y200)&gt;='3월 등급 정보'!$H$4,2,IF(INT(Y200)&gt;='3월 등급 정보'!$H$5,3,IF(INT(Y200)&gt;='3월 등급 정보'!$H$6,4,IF(INT(Y200)&gt;='3월 등급 정보'!$H$7,5,IF(INT(Y200)&gt;='3월 등급 정보'!$H$8,6,IF(INT(Y200)&gt;='3월 등급 정보'!$H$9,7,IF(INT(Y200)&gt;='3월 등급 정보'!$H$10,8,IF(INT(Y200)&gt;='3월 등급 정보'!$H$11,9)))))))))</f>
        <v>7</v>
      </c>
      <c r="AC200" s="33">
        <f>E200+I200+M200+Q200+U200</f>
        <v>182</v>
      </c>
      <c r="AD200" s="33">
        <f>RANK(AC200,$AC$3:$AC$273)</f>
        <v>198</v>
      </c>
    </row>
    <row r="201" spans="1:30" ht="17.25" customHeight="1">
      <c r="A201" s="33" t="s">
        <v>26</v>
      </c>
      <c r="B201" s="34">
        <v>10</v>
      </c>
      <c r="C201" s="34">
        <v>3</v>
      </c>
      <c r="D201" s="34" t="s">
        <v>267</v>
      </c>
      <c r="E201" s="34">
        <v>54</v>
      </c>
      <c r="F201" s="33"/>
      <c r="G201" s="33"/>
      <c r="H201" s="33">
        <f>IF(INT(E201)&gt;='3월 등급 정보'!$C$3,1,IF(INT(E201)&gt;='3월 등급 정보'!$C$4,2,IF(INT(E201)&gt;='3월 등급 정보'!$C$5,3,IF(INT(E201)&gt;='3월 등급 정보'!$C$6,4,IF(INT(E201)&gt;='3월 등급 정보'!$C$7,5,IF(INT(E201)&gt;='3월 등급 정보'!$C$8,6,IF(INT(E201)&gt;='3월 등급 정보'!$C$9,7,IF(INT(E201)&gt;='3월 등급 정보'!$C$10,8,IF(INT(E201)&gt;='3월 등급 정보'!$C$11,9)))))))))</f>
        <v>5</v>
      </c>
      <c r="I201" s="34">
        <v>38</v>
      </c>
      <c r="J201" s="33"/>
      <c r="K201" s="33"/>
      <c r="L201" s="33">
        <f>IF(INT(I201)&gt;='3월 등급 정보'!$D$3,1,IF(INT(I201)&gt;='3월 등급 정보'!$D$4,2,IF(INT(I201)&gt;='3월 등급 정보'!$D$5,3,IF(INT(I201)&gt;='3월 등급 정보'!$D$6,4,IF(INT(I201)&gt;='3월 등급 정보'!$D$7,5,IF(INT(I201)&gt;='3월 등급 정보'!$D$8,6,IF(INT(I201)&gt;='3월 등급 정보'!$D$9,7,IF(INT(I201)&gt;='3월 등급 정보'!$D$10,8,IF(INT(I201)&gt;='3월 등급 정보'!$D$11,9)))))))))</f>
        <v>5</v>
      </c>
      <c r="M201" s="34">
        <v>53</v>
      </c>
      <c r="N201" s="33"/>
      <c r="O201" s="33"/>
      <c r="P201" s="33">
        <f>IF(INT(M201)&gt;='3월 등급 정보'!$E$3,1,IF(INT(M201)&gt;='3월 등급 정보'!$E$4,2,IF(INT(M201)&gt;='3월 등급 정보'!$E$5,3,IF(INT(M201)&gt;='3월 등급 정보'!$E$6,4,IF(INT(M201)&gt;='3월 등급 정보'!$E$7,5,IF(INT(M201)&gt;='3월 등급 정보'!$E$8,6,IF(INT(M201)&gt;='3월 등급 정보'!$E$9,7,IF(INT(M201)&gt;='3월 등급 정보'!$E$10,8,IF(INT(M201)&gt;='3월 등급 정보'!$E$11,9)))))))))</f>
        <v>5</v>
      </c>
      <c r="Q201" s="34">
        <v>25.5</v>
      </c>
      <c r="R201" s="33"/>
      <c r="S201" s="33"/>
      <c r="T201" s="33">
        <f>IF(INT(Q201)&gt;='3월 등급 정보'!$F$3,1,IF(INT(Q201)&gt;='3월 등급 정보'!$F$4,2,IF(INT(Q201)&gt;='3월 등급 정보'!$F$5,3,IF(INT(Q201)&gt;='3월 등급 정보'!$F$6,4,IF(INT(Q201)&gt;='3월 등급 정보'!$F$7,5,IF(INT(Q201)&gt;='3월 등급 정보'!$F$8,6,IF(INT(Q201)&gt;='3월 등급 정보'!$F$9,7,IF(INT(Q201)&gt;='3월 등급 정보'!$F$10,8,IF(INT(Q201)&gt;='3월 등급 정보'!$F$11,9)))))))))</f>
        <v>6</v>
      </c>
      <c r="U201" s="34">
        <v>11.5</v>
      </c>
      <c r="V201" s="33"/>
      <c r="W201" s="33"/>
      <c r="X201" s="33">
        <f>IF(INT(U201)&gt;='3월 등급 정보'!$G$3,1,IF(INT(U201)&gt;='3월 등급 정보'!$G$4,2,IF(INT(U201)&gt;='3월 등급 정보'!$G$5,3,IF(INT(U201)&gt;='3월 등급 정보'!$G$6,4,IF(INT(U201)&gt;='3월 등급 정보'!$G$7,5,IF(INT(U201)&gt;='3월 등급 정보'!$G$8,6,IF(INT(U201)&gt;='3월 등급 정보'!$G$9,7,IF(INT(U201)&gt;='3월 등급 정보'!$G$10,8,IF(INT(U201)&gt;='3월 등급 정보'!$G$11,9)))))))))</f>
        <v>7</v>
      </c>
      <c r="Y201" s="34">
        <v>23</v>
      </c>
      <c r="Z201" s="33"/>
      <c r="AA201" s="33"/>
      <c r="AB201" s="33">
        <f>IF(INT(Y201)&gt;='3월 등급 정보'!$H$3,1,IF(INT(Y201)&gt;='3월 등급 정보'!$H$4,2,IF(INT(Y201)&gt;='3월 등급 정보'!$H$5,3,IF(INT(Y201)&gt;='3월 등급 정보'!$H$6,4,IF(INT(Y201)&gt;='3월 등급 정보'!$H$7,5,IF(INT(Y201)&gt;='3월 등급 정보'!$H$8,6,IF(INT(Y201)&gt;='3월 등급 정보'!$H$9,7,IF(INT(Y201)&gt;='3월 등급 정보'!$H$10,8,IF(INT(Y201)&gt;='3월 등급 정보'!$H$11,9)))))))))</f>
        <v>5</v>
      </c>
      <c r="AC201" s="33">
        <f>E201+I201+M201+Q201+U201</f>
        <v>182</v>
      </c>
      <c r="AD201" s="33">
        <f>RANK(AC201,$AC$3:$AC$273)</f>
        <v>198</v>
      </c>
    </row>
    <row r="202" spans="1:30" ht="17.25" customHeight="1">
      <c r="A202" s="33" t="s">
        <v>26</v>
      </c>
      <c r="B202" s="34">
        <v>10</v>
      </c>
      <c r="C202" s="34">
        <v>14</v>
      </c>
      <c r="D202" s="34" t="s">
        <v>277</v>
      </c>
      <c r="E202" s="34">
        <v>59</v>
      </c>
      <c r="F202" s="33"/>
      <c r="G202" s="33"/>
      <c r="H202" s="33">
        <f>IF(INT(E202)&gt;='3월 등급 정보'!$C$3,1,IF(INT(E202)&gt;='3월 등급 정보'!$C$4,2,IF(INT(E202)&gt;='3월 등급 정보'!$C$5,3,IF(INT(E202)&gt;='3월 등급 정보'!$C$6,4,IF(INT(E202)&gt;='3월 등급 정보'!$C$7,5,IF(INT(E202)&gt;='3월 등급 정보'!$C$8,6,IF(INT(E202)&gt;='3월 등급 정보'!$C$9,7,IF(INT(E202)&gt;='3월 등급 정보'!$C$10,8,IF(INT(E202)&gt;='3월 등급 정보'!$C$11,9)))))))))</f>
        <v>5</v>
      </c>
      <c r="I202" s="34">
        <v>13</v>
      </c>
      <c r="J202" s="33"/>
      <c r="K202" s="33"/>
      <c r="L202" s="33">
        <f>IF(INT(I202)&gt;='3월 등급 정보'!$D$3,1,IF(INT(I202)&gt;='3월 등급 정보'!$D$4,2,IF(INT(I202)&gt;='3월 등급 정보'!$D$5,3,IF(INT(I202)&gt;='3월 등급 정보'!$D$6,4,IF(INT(I202)&gt;='3월 등급 정보'!$D$7,5,IF(INT(I202)&gt;='3월 등급 정보'!$D$8,6,IF(INT(I202)&gt;='3월 등급 정보'!$D$9,7,IF(INT(I202)&gt;='3월 등급 정보'!$D$10,8,IF(INT(I202)&gt;='3월 등급 정보'!$D$11,9)))))))))</f>
        <v>8</v>
      </c>
      <c r="M202" s="34">
        <v>61</v>
      </c>
      <c r="N202" s="33"/>
      <c r="O202" s="33"/>
      <c r="P202" s="33">
        <f>IF(INT(M202)&gt;='3월 등급 정보'!$E$3,1,IF(INT(M202)&gt;='3월 등급 정보'!$E$4,2,IF(INT(M202)&gt;='3월 등급 정보'!$E$5,3,IF(INT(M202)&gt;='3월 등급 정보'!$E$6,4,IF(INT(M202)&gt;='3월 등급 정보'!$E$7,5,IF(INT(M202)&gt;='3월 등급 정보'!$E$8,6,IF(INT(M202)&gt;='3월 등급 정보'!$E$9,7,IF(INT(M202)&gt;='3월 등급 정보'!$E$10,8,IF(INT(M202)&gt;='3월 등급 정보'!$E$11,9)))))))))</f>
        <v>4</v>
      </c>
      <c r="Q202" s="34">
        <v>22</v>
      </c>
      <c r="R202" s="33"/>
      <c r="S202" s="33"/>
      <c r="T202" s="33">
        <f>IF(INT(Q202)&gt;='3월 등급 정보'!$F$3,1,IF(INT(Q202)&gt;='3월 등급 정보'!$F$4,2,IF(INT(Q202)&gt;='3월 등급 정보'!$F$5,3,IF(INT(Q202)&gt;='3월 등급 정보'!$F$6,4,IF(INT(Q202)&gt;='3월 등급 정보'!$F$7,5,IF(INT(Q202)&gt;='3월 등급 정보'!$F$8,6,IF(INT(Q202)&gt;='3월 등급 정보'!$F$9,7,IF(INT(Q202)&gt;='3월 등급 정보'!$F$10,8,IF(INT(Q202)&gt;='3월 등급 정보'!$F$11,9)))))))))</f>
        <v>6</v>
      </c>
      <c r="U202" s="34">
        <v>27</v>
      </c>
      <c r="V202" s="33"/>
      <c r="W202" s="33"/>
      <c r="X202" s="33">
        <f>IF(INT(U202)&gt;='3월 등급 정보'!$G$3,1,IF(INT(U202)&gt;='3월 등급 정보'!$G$4,2,IF(INT(U202)&gt;='3월 등급 정보'!$G$5,3,IF(INT(U202)&gt;='3월 등급 정보'!$G$6,4,IF(INT(U202)&gt;='3월 등급 정보'!$G$7,5,IF(INT(U202)&gt;='3월 등급 정보'!$G$8,6,IF(INT(U202)&gt;='3월 등급 정보'!$G$9,7,IF(INT(U202)&gt;='3월 등급 정보'!$G$10,8,IF(INT(U202)&gt;='3월 등급 정보'!$G$11,9)))))))))</f>
        <v>4</v>
      </c>
      <c r="Y202" s="34">
        <v>18</v>
      </c>
      <c r="Z202" s="33"/>
      <c r="AA202" s="33"/>
      <c r="AB202" s="33">
        <f>IF(INT(Y202)&gt;='3월 등급 정보'!$H$3,1,IF(INT(Y202)&gt;='3월 등급 정보'!$H$4,2,IF(INT(Y202)&gt;='3월 등급 정보'!$H$5,3,IF(INT(Y202)&gt;='3월 등급 정보'!$H$6,4,IF(INT(Y202)&gt;='3월 등급 정보'!$H$7,5,IF(INT(Y202)&gt;='3월 등급 정보'!$H$8,6,IF(INT(Y202)&gt;='3월 등급 정보'!$H$9,7,IF(INT(Y202)&gt;='3월 등급 정보'!$H$10,8,IF(INT(Y202)&gt;='3월 등급 정보'!$H$11,9)))))))))</f>
        <v>6</v>
      </c>
      <c r="AC202" s="33">
        <f>E202+I202+M202+Q202+U202</f>
        <v>182</v>
      </c>
      <c r="AD202" s="33">
        <f>RANK(AC202,$AC$3:$AC$273)</f>
        <v>198</v>
      </c>
    </row>
    <row r="203" spans="1:30" ht="17.25" customHeight="1">
      <c r="A203" s="33" t="s">
        <v>26</v>
      </c>
      <c r="B203" s="34">
        <v>2</v>
      </c>
      <c r="C203" s="34">
        <v>1</v>
      </c>
      <c r="D203" s="34" t="s">
        <v>31</v>
      </c>
      <c r="E203" s="34">
        <v>44</v>
      </c>
      <c r="F203" s="33"/>
      <c r="G203" s="33"/>
      <c r="H203" s="33">
        <f>IF(INT(E203)&gt;='3월 등급 정보'!$C$3,1,IF(INT(E203)&gt;='3월 등급 정보'!$C$4,2,IF(INT(E203)&gt;='3월 등급 정보'!$C$5,3,IF(INT(E203)&gt;='3월 등급 정보'!$C$6,4,IF(INT(E203)&gt;='3월 등급 정보'!$C$7,5,IF(INT(E203)&gt;='3월 등급 정보'!$C$8,6,IF(INT(E203)&gt;='3월 등급 정보'!$C$9,7,IF(INT(E203)&gt;='3월 등급 정보'!$C$10,8,IF(INT(E203)&gt;='3월 등급 정보'!$C$11,9)))))))))</f>
        <v>6</v>
      </c>
      <c r="I203" s="34">
        <v>52</v>
      </c>
      <c r="J203" s="33"/>
      <c r="K203" s="33"/>
      <c r="L203" s="33">
        <f>IF(INT(I203)&gt;='3월 등급 정보'!$D$3,1,IF(INT(I203)&gt;='3월 등급 정보'!$D$4,2,IF(INT(I203)&gt;='3월 등급 정보'!$D$5,3,IF(INT(I203)&gt;='3월 등급 정보'!$D$6,4,IF(INT(I203)&gt;='3월 등급 정보'!$D$7,5,IF(INT(I203)&gt;='3월 등급 정보'!$D$8,6,IF(INT(I203)&gt;='3월 등급 정보'!$D$9,7,IF(INT(I203)&gt;='3월 등급 정보'!$D$10,8,IF(INT(I203)&gt;='3월 등급 정보'!$D$11,9)))))))))</f>
        <v>4</v>
      </c>
      <c r="M203" s="34">
        <v>51</v>
      </c>
      <c r="N203" s="33"/>
      <c r="O203" s="33"/>
      <c r="P203" s="33">
        <f>IF(INT(M203)&gt;='3월 등급 정보'!$E$3,1,IF(INT(M203)&gt;='3월 등급 정보'!$E$4,2,IF(INT(M203)&gt;='3월 등급 정보'!$E$5,3,IF(INT(M203)&gt;='3월 등급 정보'!$E$6,4,IF(INT(M203)&gt;='3월 등급 정보'!$E$7,5,IF(INT(M203)&gt;='3월 등급 정보'!$E$8,6,IF(INT(M203)&gt;='3월 등급 정보'!$E$9,7,IF(INT(M203)&gt;='3월 등급 정보'!$E$10,8,IF(INT(M203)&gt;='3월 등급 정보'!$E$11,9)))))))))</f>
        <v>5</v>
      </c>
      <c r="Q203" s="34">
        <v>27.5</v>
      </c>
      <c r="R203" s="33"/>
      <c r="S203" s="33"/>
      <c r="T203" s="33">
        <f>IF(INT(Q203)&gt;='3월 등급 정보'!$F$3,1,IF(INT(Q203)&gt;='3월 등급 정보'!$F$4,2,IF(INT(Q203)&gt;='3월 등급 정보'!$F$5,3,IF(INT(Q203)&gt;='3월 등급 정보'!$F$6,4,IF(INT(Q203)&gt;='3월 등급 정보'!$F$7,5,IF(INT(Q203)&gt;='3월 등급 정보'!$F$8,6,IF(INT(Q203)&gt;='3월 등급 정보'!$F$9,7,IF(INT(Q203)&gt;='3월 등급 정보'!$F$10,8,IF(INT(Q203)&gt;='3월 등급 정보'!$F$11,9)))))))))</f>
        <v>5</v>
      </c>
      <c r="U203" s="34">
        <v>7</v>
      </c>
      <c r="V203" s="33"/>
      <c r="W203" s="33"/>
      <c r="X203" s="33">
        <f>IF(INT(U203)&gt;='3월 등급 정보'!$G$3,1,IF(INT(U203)&gt;='3월 등급 정보'!$G$4,2,IF(INT(U203)&gt;='3월 등급 정보'!$G$5,3,IF(INT(U203)&gt;='3월 등급 정보'!$G$6,4,IF(INT(U203)&gt;='3월 등급 정보'!$G$7,5,IF(INT(U203)&gt;='3월 등급 정보'!$G$8,6,IF(INT(U203)&gt;='3월 등급 정보'!$G$9,7,IF(INT(U203)&gt;='3월 등급 정보'!$G$10,8,IF(INT(U203)&gt;='3월 등급 정보'!$G$11,9)))))))))</f>
        <v>8</v>
      </c>
      <c r="Y203" s="34">
        <v>17</v>
      </c>
      <c r="Z203" s="33"/>
      <c r="AA203" s="33"/>
      <c r="AB203" s="33">
        <f>IF(INT(Y203)&gt;='3월 등급 정보'!$H$3,1,IF(INT(Y203)&gt;='3월 등급 정보'!$H$4,2,IF(INT(Y203)&gt;='3월 등급 정보'!$H$5,3,IF(INT(Y203)&gt;='3월 등급 정보'!$H$6,4,IF(INT(Y203)&gt;='3월 등급 정보'!$H$7,5,IF(INT(Y203)&gt;='3월 등급 정보'!$H$8,6,IF(INT(Y203)&gt;='3월 등급 정보'!$H$9,7,IF(INT(Y203)&gt;='3월 등급 정보'!$H$10,8,IF(INT(Y203)&gt;='3월 등급 정보'!$H$11,9)))))))))</f>
        <v>6</v>
      </c>
      <c r="AC203" s="33">
        <f>E203+I203+M203+Q203+U203</f>
        <v>181.5</v>
      </c>
      <c r="AD203" s="33">
        <f>RANK(AC203,$AC$3:$AC$273)</f>
        <v>201</v>
      </c>
    </row>
    <row r="204" spans="1:30" ht="17.25" customHeight="1">
      <c r="A204" s="33" t="s">
        <v>26</v>
      </c>
      <c r="B204" s="34">
        <v>6</v>
      </c>
      <c r="C204" s="34">
        <v>6</v>
      </c>
      <c r="D204" s="34" t="s">
        <v>164</v>
      </c>
      <c r="E204" s="34">
        <v>57</v>
      </c>
      <c r="F204" s="33"/>
      <c r="G204" s="33"/>
      <c r="H204" s="33">
        <f>IF(INT(E204)&gt;='3월 등급 정보'!$C$3,1,IF(INT(E204)&gt;='3월 등급 정보'!$C$4,2,IF(INT(E204)&gt;='3월 등급 정보'!$C$5,3,IF(INT(E204)&gt;='3월 등급 정보'!$C$6,4,IF(INT(E204)&gt;='3월 등급 정보'!$C$7,5,IF(INT(E204)&gt;='3월 등급 정보'!$C$8,6,IF(INT(E204)&gt;='3월 등급 정보'!$C$9,7,IF(INT(E204)&gt;='3월 등급 정보'!$C$10,8,IF(INT(E204)&gt;='3월 등급 정보'!$C$11,9)))))))))</f>
        <v>5</v>
      </c>
      <c r="I204" s="34">
        <v>30</v>
      </c>
      <c r="J204" s="33"/>
      <c r="K204" s="33"/>
      <c r="L204" s="33">
        <f>IF(INT(I204)&gt;='3월 등급 정보'!$D$3,1,IF(INT(I204)&gt;='3월 등급 정보'!$D$4,2,IF(INT(I204)&gt;='3월 등급 정보'!$D$5,3,IF(INT(I204)&gt;='3월 등급 정보'!$D$6,4,IF(INT(I204)&gt;='3월 등급 정보'!$D$7,5,IF(INT(I204)&gt;='3월 등급 정보'!$D$8,6,IF(INT(I204)&gt;='3월 등급 정보'!$D$9,7,IF(INT(I204)&gt;='3월 등급 정보'!$D$10,8,IF(INT(I204)&gt;='3월 등급 정보'!$D$11,9)))))))))</f>
        <v>6</v>
      </c>
      <c r="M204" s="34">
        <v>50</v>
      </c>
      <c r="N204" s="33"/>
      <c r="O204" s="33"/>
      <c r="P204" s="33">
        <f>IF(INT(M204)&gt;='3월 등급 정보'!$E$3,1,IF(INT(M204)&gt;='3월 등급 정보'!$E$4,2,IF(INT(M204)&gt;='3월 등급 정보'!$E$5,3,IF(INT(M204)&gt;='3월 등급 정보'!$E$6,4,IF(INT(M204)&gt;='3월 등급 정보'!$E$7,5,IF(INT(M204)&gt;='3월 등급 정보'!$E$8,6,IF(INT(M204)&gt;='3월 등급 정보'!$E$9,7,IF(INT(M204)&gt;='3월 등급 정보'!$E$10,8,IF(INT(M204)&gt;='3월 등급 정보'!$E$11,9)))))))))</f>
        <v>5</v>
      </c>
      <c r="Q204" s="34">
        <v>28.5</v>
      </c>
      <c r="R204" s="33"/>
      <c r="S204" s="33"/>
      <c r="T204" s="33">
        <f>IF(INT(Q204)&gt;='3월 등급 정보'!$F$3,1,IF(INT(Q204)&gt;='3월 등급 정보'!$F$4,2,IF(INT(Q204)&gt;='3월 등급 정보'!$F$5,3,IF(INT(Q204)&gt;='3월 등급 정보'!$F$6,4,IF(INT(Q204)&gt;='3월 등급 정보'!$F$7,5,IF(INT(Q204)&gt;='3월 등급 정보'!$F$8,6,IF(INT(Q204)&gt;='3월 등급 정보'!$F$9,7,IF(INT(Q204)&gt;='3월 등급 정보'!$F$10,8,IF(INT(Q204)&gt;='3월 등급 정보'!$F$11,9)))))))))</f>
        <v>5</v>
      </c>
      <c r="U204" s="34">
        <v>15.5</v>
      </c>
      <c r="V204" s="33"/>
      <c r="W204" s="33"/>
      <c r="X204" s="33">
        <f>IF(INT(U204)&gt;='3월 등급 정보'!$G$3,1,IF(INT(U204)&gt;='3월 등급 정보'!$G$4,2,IF(INT(U204)&gt;='3월 등급 정보'!$G$5,3,IF(INT(U204)&gt;='3월 등급 정보'!$G$6,4,IF(INT(U204)&gt;='3월 등급 정보'!$G$7,5,IF(INT(U204)&gt;='3월 등급 정보'!$G$8,6,IF(INT(U204)&gt;='3월 등급 정보'!$G$9,7,IF(INT(U204)&gt;='3월 등급 정보'!$G$10,8,IF(INT(U204)&gt;='3월 등급 정보'!$G$11,9)))))))))</f>
        <v>6</v>
      </c>
      <c r="Y204" s="34">
        <v>12</v>
      </c>
      <c r="Z204" s="33"/>
      <c r="AA204" s="33"/>
      <c r="AB204" s="33">
        <f>IF(INT(Y204)&gt;='3월 등급 정보'!$H$3,1,IF(INT(Y204)&gt;='3월 등급 정보'!$H$4,2,IF(INT(Y204)&gt;='3월 등급 정보'!$H$5,3,IF(INT(Y204)&gt;='3월 등급 정보'!$H$6,4,IF(INT(Y204)&gt;='3월 등급 정보'!$H$7,5,IF(INT(Y204)&gt;='3월 등급 정보'!$H$8,6,IF(INT(Y204)&gt;='3월 등급 정보'!$H$9,7,IF(INT(Y204)&gt;='3월 등급 정보'!$H$10,8,IF(INT(Y204)&gt;='3월 등급 정보'!$H$11,9)))))))))</f>
        <v>7</v>
      </c>
      <c r="AC204" s="33">
        <f>E204+I204+M204+Q204+U204</f>
        <v>181</v>
      </c>
      <c r="AD204" s="33">
        <f>RANK(AC204,$AC$3:$AC$273)</f>
        <v>202</v>
      </c>
    </row>
    <row r="205" spans="1:30" ht="17.25" customHeight="1">
      <c r="A205" s="33" t="s">
        <v>26</v>
      </c>
      <c r="B205" s="34">
        <v>7</v>
      </c>
      <c r="C205" s="34">
        <v>8</v>
      </c>
      <c r="D205" s="34" t="s">
        <v>194</v>
      </c>
      <c r="E205" s="34">
        <v>26</v>
      </c>
      <c r="F205" s="33"/>
      <c r="G205" s="33"/>
      <c r="H205" s="33">
        <f>IF(INT(E205)&gt;='3월 등급 정보'!$C$3,1,IF(INT(E205)&gt;='3월 등급 정보'!$C$4,2,IF(INT(E205)&gt;='3월 등급 정보'!$C$5,3,IF(INT(E205)&gt;='3월 등급 정보'!$C$6,4,IF(INT(E205)&gt;='3월 등급 정보'!$C$7,5,IF(INT(E205)&gt;='3월 등급 정보'!$C$8,6,IF(INT(E205)&gt;='3월 등급 정보'!$C$9,7,IF(INT(E205)&gt;='3월 등급 정보'!$C$10,8,IF(INT(E205)&gt;='3월 등급 정보'!$C$11,9)))))))))</f>
        <v>8</v>
      </c>
      <c r="I205" s="34">
        <v>69</v>
      </c>
      <c r="J205" s="33"/>
      <c r="K205" s="33"/>
      <c r="L205" s="33">
        <f>IF(INT(I205)&gt;='3월 등급 정보'!$D$3,1,IF(INT(I205)&gt;='3월 등급 정보'!$D$4,2,IF(INT(I205)&gt;='3월 등급 정보'!$D$5,3,IF(INT(I205)&gt;='3월 등급 정보'!$D$6,4,IF(INT(I205)&gt;='3월 등급 정보'!$D$7,5,IF(INT(I205)&gt;='3월 등급 정보'!$D$8,6,IF(INT(I205)&gt;='3월 등급 정보'!$D$9,7,IF(INT(I205)&gt;='3월 등급 정보'!$D$10,8,IF(INT(I205)&gt;='3월 등급 정보'!$D$11,9)))))))))</f>
        <v>3</v>
      </c>
      <c r="M205" s="34">
        <v>44</v>
      </c>
      <c r="N205" s="33"/>
      <c r="O205" s="33"/>
      <c r="P205" s="33">
        <f>IF(INT(M205)&gt;='3월 등급 정보'!$E$3,1,IF(INT(M205)&gt;='3월 등급 정보'!$E$4,2,IF(INT(M205)&gt;='3월 등급 정보'!$E$5,3,IF(INT(M205)&gt;='3월 등급 정보'!$E$6,4,IF(INT(M205)&gt;='3월 등급 정보'!$E$7,5,IF(INT(M205)&gt;='3월 등급 정보'!$E$8,6,IF(INT(M205)&gt;='3월 등급 정보'!$E$9,7,IF(INT(M205)&gt;='3월 등급 정보'!$E$10,8,IF(INT(M205)&gt;='3월 등급 정보'!$E$11,9)))))))))</f>
        <v>6</v>
      </c>
      <c r="Q205" s="34">
        <v>24.5</v>
      </c>
      <c r="R205" s="33"/>
      <c r="S205" s="33"/>
      <c r="T205" s="33">
        <f>IF(INT(Q205)&gt;='3월 등급 정보'!$F$3,1,IF(INT(Q205)&gt;='3월 등급 정보'!$F$4,2,IF(INT(Q205)&gt;='3월 등급 정보'!$F$5,3,IF(INT(Q205)&gt;='3월 등급 정보'!$F$6,4,IF(INT(Q205)&gt;='3월 등급 정보'!$F$7,5,IF(INT(Q205)&gt;='3월 등급 정보'!$F$8,6,IF(INT(Q205)&gt;='3월 등급 정보'!$F$9,7,IF(INT(Q205)&gt;='3월 등급 정보'!$F$10,8,IF(INT(Q205)&gt;='3월 등급 정보'!$F$11,9)))))))))</f>
        <v>6</v>
      </c>
      <c r="U205" s="34">
        <v>16</v>
      </c>
      <c r="V205" s="33"/>
      <c r="W205" s="33"/>
      <c r="X205" s="33">
        <f>IF(INT(U205)&gt;='3월 등급 정보'!$G$3,1,IF(INT(U205)&gt;='3월 등급 정보'!$G$4,2,IF(INT(U205)&gt;='3월 등급 정보'!$G$5,3,IF(INT(U205)&gt;='3월 등급 정보'!$G$6,4,IF(INT(U205)&gt;='3월 등급 정보'!$G$7,5,IF(INT(U205)&gt;='3월 등급 정보'!$G$8,6,IF(INT(U205)&gt;='3월 등급 정보'!$G$9,7,IF(INT(U205)&gt;='3월 등급 정보'!$G$10,8,IF(INT(U205)&gt;='3월 등급 정보'!$G$11,9)))))))))</f>
        <v>6</v>
      </c>
      <c r="Y205" s="34">
        <v>13</v>
      </c>
      <c r="Z205" s="33"/>
      <c r="AA205" s="33"/>
      <c r="AB205" s="33">
        <f>IF(INT(Y205)&gt;='3월 등급 정보'!$H$3,1,IF(INT(Y205)&gt;='3월 등급 정보'!$H$4,2,IF(INT(Y205)&gt;='3월 등급 정보'!$H$5,3,IF(INT(Y205)&gt;='3월 등급 정보'!$H$6,4,IF(INT(Y205)&gt;='3월 등급 정보'!$H$7,5,IF(INT(Y205)&gt;='3월 등급 정보'!$H$8,6,IF(INT(Y205)&gt;='3월 등급 정보'!$H$9,7,IF(INT(Y205)&gt;='3월 등급 정보'!$H$10,8,IF(INT(Y205)&gt;='3월 등급 정보'!$H$11,9)))))))))</f>
        <v>7</v>
      </c>
      <c r="AC205" s="33">
        <f>E205+I205+M205+Q205+U205</f>
        <v>179.5</v>
      </c>
      <c r="AD205" s="33">
        <f>RANK(AC205,$AC$3:$AC$273)</f>
        <v>203</v>
      </c>
    </row>
    <row r="206" spans="1:30" ht="17.25" customHeight="1">
      <c r="A206" s="33" t="s">
        <v>26</v>
      </c>
      <c r="B206" s="34">
        <v>9</v>
      </c>
      <c r="C206" s="34">
        <v>26</v>
      </c>
      <c r="D206" s="34" t="s">
        <v>263</v>
      </c>
      <c r="E206" s="34">
        <v>62</v>
      </c>
      <c r="F206" s="33"/>
      <c r="G206" s="33"/>
      <c r="H206" s="33">
        <f>IF(INT(E206)&gt;='3월 등급 정보'!$C$3,1,IF(INT(E206)&gt;='3월 등급 정보'!$C$4,2,IF(INT(E206)&gt;='3월 등급 정보'!$C$5,3,IF(INT(E206)&gt;='3월 등급 정보'!$C$6,4,IF(INT(E206)&gt;='3월 등급 정보'!$C$7,5,IF(INT(E206)&gt;='3월 등급 정보'!$C$8,6,IF(INT(E206)&gt;='3월 등급 정보'!$C$9,7,IF(INT(E206)&gt;='3월 등급 정보'!$C$10,8,IF(INT(E206)&gt;='3월 등급 정보'!$C$11,9)))))))))</f>
        <v>4</v>
      </c>
      <c r="I206" s="34">
        <v>18</v>
      </c>
      <c r="J206" s="33"/>
      <c r="K206" s="33"/>
      <c r="L206" s="33">
        <f>IF(INT(I206)&gt;='3월 등급 정보'!$D$3,1,IF(INT(I206)&gt;='3월 등급 정보'!$D$4,2,IF(INT(I206)&gt;='3월 등급 정보'!$D$5,3,IF(INT(I206)&gt;='3월 등급 정보'!$D$6,4,IF(INT(I206)&gt;='3월 등급 정보'!$D$7,5,IF(INT(I206)&gt;='3월 등급 정보'!$D$8,6,IF(INT(I206)&gt;='3월 등급 정보'!$D$9,7,IF(INT(I206)&gt;='3월 등급 정보'!$D$10,8,IF(INT(I206)&gt;='3월 등급 정보'!$D$11,9)))))))))</f>
        <v>8</v>
      </c>
      <c r="M206" s="34">
        <v>53</v>
      </c>
      <c r="N206" s="33"/>
      <c r="O206" s="33"/>
      <c r="P206" s="33">
        <f>IF(INT(M206)&gt;='3월 등급 정보'!$E$3,1,IF(INT(M206)&gt;='3월 등급 정보'!$E$4,2,IF(INT(M206)&gt;='3월 등급 정보'!$E$5,3,IF(INT(M206)&gt;='3월 등급 정보'!$E$6,4,IF(INT(M206)&gt;='3월 등급 정보'!$E$7,5,IF(INT(M206)&gt;='3월 등급 정보'!$E$8,6,IF(INT(M206)&gt;='3월 등급 정보'!$E$9,7,IF(INT(M206)&gt;='3월 등급 정보'!$E$10,8,IF(INT(M206)&gt;='3월 등급 정보'!$E$11,9)))))))))</f>
        <v>5</v>
      </c>
      <c r="Q206" s="34">
        <v>25</v>
      </c>
      <c r="R206" s="33"/>
      <c r="S206" s="33"/>
      <c r="T206" s="33">
        <f>IF(INT(Q206)&gt;='3월 등급 정보'!$F$3,1,IF(INT(Q206)&gt;='3월 등급 정보'!$F$4,2,IF(INT(Q206)&gt;='3월 등급 정보'!$F$5,3,IF(INT(Q206)&gt;='3월 등급 정보'!$F$6,4,IF(INT(Q206)&gt;='3월 등급 정보'!$F$7,5,IF(INT(Q206)&gt;='3월 등급 정보'!$F$8,6,IF(INT(Q206)&gt;='3월 등급 정보'!$F$9,7,IF(INT(Q206)&gt;='3월 등급 정보'!$F$10,8,IF(INT(Q206)&gt;='3월 등급 정보'!$F$11,9)))))))))</f>
        <v>6</v>
      </c>
      <c r="U206" s="34">
        <v>19</v>
      </c>
      <c r="V206" s="33"/>
      <c r="W206" s="33"/>
      <c r="X206" s="33">
        <f>IF(INT(U206)&gt;='3월 등급 정보'!$G$3,1,IF(INT(U206)&gt;='3월 등급 정보'!$G$4,2,IF(INT(U206)&gt;='3월 등급 정보'!$G$5,3,IF(INT(U206)&gt;='3월 등급 정보'!$G$6,4,IF(INT(U206)&gt;='3월 등급 정보'!$G$7,5,IF(INT(U206)&gt;='3월 등급 정보'!$G$8,6,IF(INT(U206)&gt;='3월 등급 정보'!$G$9,7,IF(INT(U206)&gt;='3월 등급 정보'!$G$10,8,IF(INT(U206)&gt;='3월 등급 정보'!$G$11,9)))))))))</f>
        <v>5</v>
      </c>
      <c r="Y206" s="34">
        <v>18</v>
      </c>
      <c r="Z206" s="33"/>
      <c r="AA206" s="33"/>
      <c r="AB206" s="33">
        <f>IF(INT(Y206)&gt;='3월 등급 정보'!$H$3,1,IF(INT(Y206)&gt;='3월 등급 정보'!$H$4,2,IF(INT(Y206)&gt;='3월 등급 정보'!$H$5,3,IF(INT(Y206)&gt;='3월 등급 정보'!$H$6,4,IF(INT(Y206)&gt;='3월 등급 정보'!$H$7,5,IF(INT(Y206)&gt;='3월 등급 정보'!$H$8,6,IF(INT(Y206)&gt;='3월 등급 정보'!$H$9,7,IF(INT(Y206)&gt;='3월 등급 정보'!$H$10,8,IF(INT(Y206)&gt;='3월 등급 정보'!$H$11,9)))))))))</f>
        <v>6</v>
      </c>
      <c r="AC206" s="33">
        <f>E206+I206+M206+Q206+U206</f>
        <v>177</v>
      </c>
      <c r="AD206" s="33">
        <f>RANK(AC206,$AC$3:$AC$273)</f>
        <v>204</v>
      </c>
    </row>
    <row r="207" spans="1:30" ht="17.25" customHeight="1">
      <c r="A207" s="33" t="s">
        <v>26</v>
      </c>
      <c r="B207" s="34">
        <v>10</v>
      </c>
      <c r="C207" s="34">
        <v>4</v>
      </c>
      <c r="D207" s="34" t="s">
        <v>268</v>
      </c>
      <c r="E207" s="34">
        <v>32</v>
      </c>
      <c r="F207" s="33"/>
      <c r="G207" s="33"/>
      <c r="H207" s="33">
        <f>IF(INT(E207)&gt;='3월 등급 정보'!$C$3,1,IF(INT(E207)&gt;='3월 등급 정보'!$C$4,2,IF(INT(E207)&gt;='3월 등급 정보'!$C$5,3,IF(INT(E207)&gt;='3월 등급 정보'!$C$6,4,IF(INT(E207)&gt;='3월 등급 정보'!$C$7,5,IF(INT(E207)&gt;='3월 등급 정보'!$C$8,6,IF(INT(E207)&gt;='3월 등급 정보'!$C$9,7,IF(INT(E207)&gt;='3월 등급 정보'!$C$10,8,IF(INT(E207)&gt;='3월 등급 정보'!$C$11,9)))))))))</f>
        <v>7</v>
      </c>
      <c r="I207" s="34">
        <v>48</v>
      </c>
      <c r="J207" s="33"/>
      <c r="K207" s="33"/>
      <c r="L207" s="33">
        <f>IF(INT(I207)&gt;='3월 등급 정보'!$D$3,1,IF(INT(I207)&gt;='3월 등급 정보'!$D$4,2,IF(INT(I207)&gt;='3월 등급 정보'!$D$5,3,IF(INT(I207)&gt;='3월 등급 정보'!$D$6,4,IF(INT(I207)&gt;='3월 등급 정보'!$D$7,5,IF(INT(I207)&gt;='3월 등급 정보'!$D$8,6,IF(INT(I207)&gt;='3월 등급 정보'!$D$9,7,IF(INT(I207)&gt;='3월 등급 정보'!$D$10,8,IF(INT(I207)&gt;='3월 등급 정보'!$D$11,9)))))))))</f>
        <v>5</v>
      </c>
      <c r="M207" s="34">
        <v>57</v>
      </c>
      <c r="N207" s="33"/>
      <c r="O207" s="33"/>
      <c r="P207" s="33">
        <f>IF(INT(M207)&gt;='3월 등급 정보'!$E$3,1,IF(INT(M207)&gt;='3월 등급 정보'!$E$4,2,IF(INT(M207)&gt;='3월 등급 정보'!$E$5,3,IF(INT(M207)&gt;='3월 등급 정보'!$E$6,4,IF(INT(M207)&gt;='3월 등급 정보'!$E$7,5,IF(INT(M207)&gt;='3월 등급 정보'!$E$8,6,IF(INT(M207)&gt;='3월 등급 정보'!$E$9,7,IF(INT(M207)&gt;='3월 등급 정보'!$E$10,8,IF(INT(M207)&gt;='3월 등급 정보'!$E$11,9)))))))))</f>
        <v>5</v>
      </c>
      <c r="Q207" s="34">
        <v>28</v>
      </c>
      <c r="R207" s="33"/>
      <c r="S207" s="33"/>
      <c r="T207" s="33">
        <f>IF(INT(Q207)&gt;='3월 등급 정보'!$F$3,1,IF(INT(Q207)&gt;='3월 등급 정보'!$F$4,2,IF(INT(Q207)&gt;='3월 등급 정보'!$F$5,3,IF(INT(Q207)&gt;='3월 등급 정보'!$F$6,4,IF(INT(Q207)&gt;='3월 등급 정보'!$F$7,5,IF(INT(Q207)&gt;='3월 등급 정보'!$F$8,6,IF(INT(Q207)&gt;='3월 등급 정보'!$F$9,7,IF(INT(Q207)&gt;='3월 등급 정보'!$F$10,8,IF(INT(Q207)&gt;='3월 등급 정보'!$F$11,9)))))))))</f>
        <v>5</v>
      </c>
      <c r="U207" s="34">
        <v>12</v>
      </c>
      <c r="V207" s="33"/>
      <c r="W207" s="33"/>
      <c r="X207" s="33">
        <f>IF(INT(U207)&gt;='3월 등급 정보'!$G$3,1,IF(INT(U207)&gt;='3월 등급 정보'!$G$4,2,IF(INT(U207)&gt;='3월 등급 정보'!$G$5,3,IF(INT(U207)&gt;='3월 등급 정보'!$G$6,4,IF(INT(U207)&gt;='3월 등급 정보'!$G$7,5,IF(INT(U207)&gt;='3월 등급 정보'!$G$8,6,IF(INT(U207)&gt;='3월 등급 정보'!$G$9,7,IF(INT(U207)&gt;='3월 등급 정보'!$G$10,8,IF(INT(U207)&gt;='3월 등급 정보'!$G$11,9)))))))))</f>
        <v>7</v>
      </c>
      <c r="Y207" s="34">
        <v>8</v>
      </c>
      <c r="Z207" s="33"/>
      <c r="AA207" s="33"/>
      <c r="AB207" s="33">
        <f>IF(INT(Y207)&gt;='3월 등급 정보'!$H$3,1,IF(INT(Y207)&gt;='3월 등급 정보'!$H$4,2,IF(INT(Y207)&gt;='3월 등급 정보'!$H$5,3,IF(INT(Y207)&gt;='3월 등급 정보'!$H$6,4,IF(INT(Y207)&gt;='3월 등급 정보'!$H$7,5,IF(INT(Y207)&gt;='3월 등급 정보'!$H$8,6,IF(INT(Y207)&gt;='3월 등급 정보'!$H$9,7,IF(INT(Y207)&gt;='3월 등급 정보'!$H$10,8,IF(INT(Y207)&gt;='3월 등급 정보'!$H$11,9)))))))))</f>
        <v>8</v>
      </c>
      <c r="AC207" s="33">
        <f>E207+I207+M207+Q207+U207</f>
        <v>177</v>
      </c>
      <c r="AD207" s="33">
        <f>RANK(AC207,$AC$3:$AC$273)</f>
        <v>204</v>
      </c>
    </row>
    <row r="208" spans="1:30" ht="17.25" customHeight="1">
      <c r="A208" s="33" t="s">
        <v>26</v>
      </c>
      <c r="B208" s="34">
        <v>4</v>
      </c>
      <c r="C208" s="34">
        <v>20</v>
      </c>
      <c r="D208" s="34" t="s">
        <v>124</v>
      </c>
      <c r="E208" s="34">
        <v>43</v>
      </c>
      <c r="F208" s="33"/>
      <c r="G208" s="33"/>
      <c r="H208" s="33">
        <f>IF(INT(E208)&gt;='3월 등급 정보'!$C$3,1,IF(INT(E208)&gt;='3월 등급 정보'!$C$4,2,IF(INT(E208)&gt;='3월 등급 정보'!$C$5,3,IF(INT(E208)&gt;='3월 등급 정보'!$C$6,4,IF(INT(E208)&gt;='3월 등급 정보'!$C$7,5,IF(INT(E208)&gt;='3월 등급 정보'!$C$8,6,IF(INT(E208)&gt;='3월 등급 정보'!$C$9,7,IF(INT(E208)&gt;='3월 등급 정보'!$C$10,8,IF(INT(E208)&gt;='3월 등급 정보'!$C$11,9)))))))))</f>
        <v>6</v>
      </c>
      <c r="I208" s="34">
        <v>45</v>
      </c>
      <c r="J208" s="33"/>
      <c r="K208" s="33"/>
      <c r="L208" s="33">
        <f>IF(INT(I208)&gt;='3월 등급 정보'!$D$3,1,IF(INT(I208)&gt;='3월 등급 정보'!$D$4,2,IF(INT(I208)&gt;='3월 등급 정보'!$D$5,3,IF(INT(I208)&gt;='3월 등급 정보'!$D$6,4,IF(INT(I208)&gt;='3월 등급 정보'!$D$7,5,IF(INT(I208)&gt;='3월 등급 정보'!$D$8,6,IF(INT(I208)&gt;='3월 등급 정보'!$D$9,7,IF(INT(I208)&gt;='3월 등급 정보'!$D$10,8,IF(INT(I208)&gt;='3월 등급 정보'!$D$11,9)))))))))</f>
        <v>5</v>
      </c>
      <c r="M208" s="34">
        <v>43</v>
      </c>
      <c r="N208" s="33"/>
      <c r="O208" s="33"/>
      <c r="P208" s="33">
        <f>IF(INT(M208)&gt;='3월 등급 정보'!$E$3,1,IF(INT(M208)&gt;='3월 등급 정보'!$E$4,2,IF(INT(M208)&gt;='3월 등급 정보'!$E$5,3,IF(INT(M208)&gt;='3월 등급 정보'!$E$6,4,IF(INT(M208)&gt;='3월 등급 정보'!$E$7,5,IF(INT(M208)&gt;='3월 등급 정보'!$E$8,6,IF(INT(M208)&gt;='3월 등급 정보'!$E$9,7,IF(INT(M208)&gt;='3월 등급 정보'!$E$10,8,IF(INT(M208)&gt;='3월 등급 정보'!$E$11,9)))))))))</f>
        <v>6</v>
      </c>
      <c r="Q208" s="34">
        <v>29.5</v>
      </c>
      <c r="R208" s="33"/>
      <c r="S208" s="33"/>
      <c r="T208" s="33">
        <f>IF(INT(Q208)&gt;='3월 등급 정보'!$F$3,1,IF(INT(Q208)&gt;='3월 등급 정보'!$F$4,2,IF(INT(Q208)&gt;='3월 등급 정보'!$F$5,3,IF(INT(Q208)&gt;='3월 등급 정보'!$F$6,4,IF(INT(Q208)&gt;='3월 등급 정보'!$F$7,5,IF(INT(Q208)&gt;='3월 등급 정보'!$F$8,6,IF(INT(Q208)&gt;='3월 등급 정보'!$F$9,7,IF(INT(Q208)&gt;='3월 등급 정보'!$F$10,8,IF(INT(Q208)&gt;='3월 등급 정보'!$F$11,9)))))))))</f>
        <v>5</v>
      </c>
      <c r="U208" s="34">
        <v>15.5</v>
      </c>
      <c r="V208" s="33"/>
      <c r="W208" s="33"/>
      <c r="X208" s="33">
        <f>IF(INT(U208)&gt;='3월 등급 정보'!$G$3,1,IF(INT(U208)&gt;='3월 등급 정보'!$G$4,2,IF(INT(U208)&gt;='3월 등급 정보'!$G$5,3,IF(INT(U208)&gt;='3월 등급 정보'!$G$6,4,IF(INT(U208)&gt;='3월 등급 정보'!$G$7,5,IF(INT(U208)&gt;='3월 등급 정보'!$G$8,6,IF(INT(U208)&gt;='3월 등급 정보'!$G$9,7,IF(INT(U208)&gt;='3월 등급 정보'!$G$10,8,IF(INT(U208)&gt;='3월 등급 정보'!$G$11,9)))))))))</f>
        <v>6</v>
      </c>
      <c r="Y208" s="34">
        <v>30</v>
      </c>
      <c r="Z208" s="33"/>
      <c r="AA208" s="33"/>
      <c r="AB208" s="33">
        <f>IF(INT(Y208)&gt;='3월 등급 정보'!$H$3,1,IF(INT(Y208)&gt;='3월 등급 정보'!$H$4,2,IF(INT(Y208)&gt;='3월 등급 정보'!$H$5,3,IF(INT(Y208)&gt;='3월 등급 정보'!$H$6,4,IF(INT(Y208)&gt;='3월 등급 정보'!$H$7,5,IF(INT(Y208)&gt;='3월 등급 정보'!$H$8,6,IF(INT(Y208)&gt;='3월 등급 정보'!$H$9,7,IF(INT(Y208)&gt;='3월 등급 정보'!$H$10,8,IF(INT(Y208)&gt;='3월 등급 정보'!$H$11,9)))))))))</f>
        <v>3</v>
      </c>
      <c r="AC208" s="33">
        <f>E208+I208+M208+Q208+U208</f>
        <v>176</v>
      </c>
      <c r="AD208" s="33">
        <f>RANK(AC208,$AC$3:$AC$273)</f>
        <v>206</v>
      </c>
    </row>
    <row r="209" spans="1:30" ht="17.25" customHeight="1">
      <c r="A209" s="33" t="s">
        <v>26</v>
      </c>
      <c r="B209" s="34">
        <v>1</v>
      </c>
      <c r="C209" s="34">
        <v>15</v>
      </c>
      <c r="D209" s="34" t="s">
        <v>42</v>
      </c>
      <c r="E209" s="34">
        <v>48</v>
      </c>
      <c r="F209" s="33"/>
      <c r="G209" s="33"/>
      <c r="H209" s="33">
        <f>IF(INT(E209)&gt;='3월 등급 정보'!$C$3,1,IF(INT(E209)&gt;='3월 등급 정보'!$C$4,2,IF(INT(E209)&gt;='3월 등급 정보'!$C$5,3,IF(INT(E209)&gt;='3월 등급 정보'!$C$6,4,IF(INT(E209)&gt;='3월 등급 정보'!$C$7,5,IF(INT(E209)&gt;='3월 등급 정보'!$C$8,6,IF(INT(E209)&gt;='3월 등급 정보'!$C$9,7,IF(INT(E209)&gt;='3월 등급 정보'!$C$10,8,IF(INT(E209)&gt;='3월 등급 정보'!$C$11,9)))))))))</f>
        <v>5</v>
      </c>
      <c r="I209" s="34">
        <v>15</v>
      </c>
      <c r="J209" s="33"/>
      <c r="K209" s="33"/>
      <c r="L209" s="33">
        <f>IF(INT(I209)&gt;='3월 등급 정보'!$D$3,1,IF(INT(I209)&gt;='3월 등급 정보'!$D$4,2,IF(INT(I209)&gt;='3월 등급 정보'!$D$5,3,IF(INT(I209)&gt;='3월 등급 정보'!$D$6,4,IF(INT(I209)&gt;='3월 등급 정보'!$D$7,5,IF(INT(I209)&gt;='3월 등급 정보'!$D$8,6,IF(INT(I209)&gt;='3월 등급 정보'!$D$9,7,IF(INT(I209)&gt;='3월 등급 정보'!$D$10,8,IF(INT(I209)&gt;='3월 등급 정보'!$D$11,9)))))))))</f>
        <v>8</v>
      </c>
      <c r="M209" s="34">
        <v>70</v>
      </c>
      <c r="N209" s="33"/>
      <c r="O209" s="33"/>
      <c r="P209" s="33">
        <f>IF(INT(M209)&gt;='3월 등급 정보'!$E$3,1,IF(INT(M209)&gt;='3월 등급 정보'!$E$4,2,IF(INT(M209)&gt;='3월 등급 정보'!$E$5,3,IF(INT(M209)&gt;='3월 등급 정보'!$E$6,4,IF(INT(M209)&gt;='3월 등급 정보'!$E$7,5,IF(INT(M209)&gt;='3월 등급 정보'!$E$8,6,IF(INT(M209)&gt;='3월 등급 정보'!$E$9,7,IF(INT(M209)&gt;='3월 등급 정보'!$E$10,8,IF(INT(M209)&gt;='3월 등급 정보'!$E$11,9)))))))))</f>
        <v>3</v>
      </c>
      <c r="Q209" s="34">
        <v>24</v>
      </c>
      <c r="R209" s="33"/>
      <c r="S209" s="33"/>
      <c r="T209" s="33">
        <f>IF(INT(Q209)&gt;='3월 등급 정보'!$F$3,1,IF(INT(Q209)&gt;='3월 등급 정보'!$F$4,2,IF(INT(Q209)&gt;='3월 등급 정보'!$F$5,3,IF(INT(Q209)&gt;='3월 등급 정보'!$F$6,4,IF(INT(Q209)&gt;='3월 등급 정보'!$F$7,5,IF(INT(Q209)&gt;='3월 등급 정보'!$F$8,6,IF(INT(Q209)&gt;='3월 등급 정보'!$F$9,7,IF(INT(Q209)&gt;='3월 등급 정보'!$F$10,8,IF(INT(Q209)&gt;='3월 등급 정보'!$F$11,9)))))))))</f>
        <v>6</v>
      </c>
      <c r="U209" s="34">
        <v>18.5</v>
      </c>
      <c r="V209" s="33"/>
      <c r="W209" s="33"/>
      <c r="X209" s="33">
        <f>IF(INT(U209)&gt;='3월 등급 정보'!$G$3,1,IF(INT(U209)&gt;='3월 등급 정보'!$G$4,2,IF(INT(U209)&gt;='3월 등급 정보'!$G$5,3,IF(INT(U209)&gt;='3월 등급 정보'!$G$6,4,IF(INT(U209)&gt;='3월 등급 정보'!$G$7,5,IF(INT(U209)&gt;='3월 등급 정보'!$G$8,6,IF(INT(U209)&gt;='3월 등급 정보'!$G$9,7,IF(INT(U209)&gt;='3월 등급 정보'!$G$10,8,IF(INT(U209)&gt;='3월 등급 정보'!$G$11,9)))))))))</f>
        <v>6</v>
      </c>
      <c r="Y209" s="34">
        <v>20</v>
      </c>
      <c r="Z209" s="33"/>
      <c r="AA209" s="33"/>
      <c r="AB209" s="33">
        <f>IF(INT(Y209)&gt;='3월 등급 정보'!$H$3,1,IF(INT(Y209)&gt;='3월 등급 정보'!$H$4,2,IF(INT(Y209)&gt;='3월 등급 정보'!$H$5,3,IF(INT(Y209)&gt;='3월 등급 정보'!$H$6,4,IF(INT(Y209)&gt;='3월 등급 정보'!$H$7,5,IF(INT(Y209)&gt;='3월 등급 정보'!$H$8,6,IF(INT(Y209)&gt;='3월 등급 정보'!$H$9,7,IF(INT(Y209)&gt;='3월 등급 정보'!$H$10,8,IF(INT(Y209)&gt;='3월 등급 정보'!$H$11,9)))))))))</f>
        <v>5</v>
      </c>
      <c r="AC209" s="33">
        <f>E209+I209+M209+Q209+U209</f>
        <v>175.5</v>
      </c>
      <c r="AD209" s="33">
        <f>RANK(AC209,$AC$3:$AC$273)</f>
        <v>207</v>
      </c>
    </row>
    <row r="210" spans="1:30" ht="17.25" customHeight="1">
      <c r="A210" s="33" t="s">
        <v>26</v>
      </c>
      <c r="B210" s="34">
        <v>6</v>
      </c>
      <c r="C210" s="34">
        <v>27</v>
      </c>
      <c r="D210" s="34" t="s">
        <v>185</v>
      </c>
      <c r="E210" s="34">
        <v>38</v>
      </c>
      <c r="F210" s="33"/>
      <c r="G210" s="33"/>
      <c r="H210" s="33">
        <f>IF(INT(E210)&gt;='3월 등급 정보'!$C$3,1,IF(INT(E210)&gt;='3월 등급 정보'!$C$4,2,IF(INT(E210)&gt;='3월 등급 정보'!$C$5,3,IF(INT(E210)&gt;='3월 등급 정보'!$C$6,4,IF(INT(E210)&gt;='3월 등급 정보'!$C$7,5,IF(INT(E210)&gt;='3월 등급 정보'!$C$8,6,IF(INT(E210)&gt;='3월 등급 정보'!$C$9,7,IF(INT(E210)&gt;='3월 등급 정보'!$C$10,8,IF(INT(E210)&gt;='3월 등급 정보'!$C$11,9)))))))))</f>
        <v>6</v>
      </c>
      <c r="I210" s="34">
        <v>41</v>
      </c>
      <c r="J210" s="33"/>
      <c r="K210" s="33"/>
      <c r="L210" s="33">
        <f>IF(INT(I210)&gt;='3월 등급 정보'!$D$3,1,IF(INT(I210)&gt;='3월 등급 정보'!$D$4,2,IF(INT(I210)&gt;='3월 등급 정보'!$D$5,3,IF(INT(I210)&gt;='3월 등급 정보'!$D$6,4,IF(INT(I210)&gt;='3월 등급 정보'!$D$7,5,IF(INT(I210)&gt;='3월 등급 정보'!$D$8,6,IF(INT(I210)&gt;='3월 등급 정보'!$D$9,7,IF(INT(I210)&gt;='3월 등급 정보'!$D$10,8,IF(INT(I210)&gt;='3월 등급 정보'!$D$11,9)))))))))</f>
        <v>5</v>
      </c>
      <c r="M210" s="34">
        <v>64</v>
      </c>
      <c r="N210" s="33"/>
      <c r="O210" s="33"/>
      <c r="P210" s="33">
        <f>IF(INT(M210)&gt;='3월 등급 정보'!$E$3,1,IF(INT(M210)&gt;='3월 등급 정보'!$E$4,2,IF(INT(M210)&gt;='3월 등급 정보'!$E$5,3,IF(INT(M210)&gt;='3월 등급 정보'!$E$6,4,IF(INT(M210)&gt;='3월 등급 정보'!$E$7,5,IF(INT(M210)&gt;='3월 등급 정보'!$E$8,6,IF(INT(M210)&gt;='3월 등급 정보'!$E$9,7,IF(INT(M210)&gt;='3월 등급 정보'!$E$10,8,IF(INT(M210)&gt;='3월 등급 정보'!$E$11,9)))))))))</f>
        <v>4</v>
      </c>
      <c r="Q210" s="34">
        <v>18.5</v>
      </c>
      <c r="R210" s="33"/>
      <c r="S210" s="33"/>
      <c r="T210" s="33">
        <f>IF(INT(Q210)&gt;='3월 등급 정보'!$F$3,1,IF(INT(Q210)&gt;='3월 등급 정보'!$F$4,2,IF(INT(Q210)&gt;='3월 등급 정보'!$F$5,3,IF(INT(Q210)&gt;='3월 등급 정보'!$F$6,4,IF(INT(Q210)&gt;='3월 등급 정보'!$F$7,5,IF(INT(Q210)&gt;='3월 등급 정보'!$F$8,6,IF(INT(Q210)&gt;='3월 등급 정보'!$F$9,7,IF(INT(Q210)&gt;='3월 등급 정보'!$F$10,8,IF(INT(Q210)&gt;='3월 등급 정보'!$F$11,9)))))))))</f>
        <v>7</v>
      </c>
      <c r="U210" s="34">
        <v>13.5</v>
      </c>
      <c r="V210" s="33"/>
      <c r="W210" s="33"/>
      <c r="X210" s="33">
        <f>IF(INT(U210)&gt;='3월 등급 정보'!$G$3,1,IF(INT(U210)&gt;='3월 등급 정보'!$G$4,2,IF(INT(U210)&gt;='3월 등급 정보'!$G$5,3,IF(INT(U210)&gt;='3월 등급 정보'!$G$6,4,IF(INT(U210)&gt;='3월 등급 정보'!$G$7,5,IF(INT(U210)&gt;='3월 등급 정보'!$G$8,6,IF(INT(U210)&gt;='3월 등급 정보'!$G$9,7,IF(INT(U210)&gt;='3월 등급 정보'!$G$10,8,IF(INT(U210)&gt;='3월 등급 정보'!$G$11,9)))))))))</f>
        <v>7</v>
      </c>
      <c r="Y210" s="34">
        <v>25</v>
      </c>
      <c r="Z210" s="33"/>
      <c r="AA210" s="33"/>
      <c r="AB210" s="33">
        <f>IF(INT(Y210)&gt;='3월 등급 정보'!$H$3,1,IF(INT(Y210)&gt;='3월 등급 정보'!$H$4,2,IF(INT(Y210)&gt;='3월 등급 정보'!$H$5,3,IF(INT(Y210)&gt;='3월 등급 정보'!$H$6,4,IF(INT(Y210)&gt;='3월 등급 정보'!$H$7,5,IF(INT(Y210)&gt;='3월 등급 정보'!$H$8,6,IF(INT(Y210)&gt;='3월 등급 정보'!$H$9,7,IF(INT(Y210)&gt;='3월 등급 정보'!$H$10,8,IF(INT(Y210)&gt;='3월 등급 정보'!$H$11,9)))))))))</f>
        <v>4</v>
      </c>
      <c r="AC210" s="33">
        <f>E210+I210+M210+Q210+U210</f>
        <v>175</v>
      </c>
      <c r="AD210" s="33">
        <f>RANK(AC210,$AC$3:$AC$273)</f>
        <v>208</v>
      </c>
    </row>
    <row r="211" spans="1:30" ht="17.25" customHeight="1">
      <c r="A211" s="33" t="s">
        <v>26</v>
      </c>
      <c r="B211" s="34">
        <v>4</v>
      </c>
      <c r="C211" s="34">
        <v>6</v>
      </c>
      <c r="D211" s="34" t="s">
        <v>111</v>
      </c>
      <c r="E211" s="34">
        <v>50</v>
      </c>
      <c r="F211" s="33"/>
      <c r="G211" s="33"/>
      <c r="H211" s="33">
        <f>IF(INT(E211)&gt;='3월 등급 정보'!$C$3,1,IF(INT(E211)&gt;='3월 등급 정보'!$C$4,2,IF(INT(E211)&gt;='3월 등급 정보'!$C$5,3,IF(INT(E211)&gt;='3월 등급 정보'!$C$6,4,IF(INT(E211)&gt;='3월 등급 정보'!$C$7,5,IF(INT(E211)&gt;='3월 등급 정보'!$C$8,6,IF(INT(E211)&gt;='3월 등급 정보'!$C$9,7,IF(INT(E211)&gt;='3월 등급 정보'!$C$10,8,IF(INT(E211)&gt;='3월 등급 정보'!$C$11,9)))))))))</f>
        <v>5</v>
      </c>
      <c r="I211" s="34">
        <v>18</v>
      </c>
      <c r="J211" s="33"/>
      <c r="K211" s="33"/>
      <c r="L211" s="33">
        <f>IF(INT(I211)&gt;='3월 등급 정보'!$D$3,1,IF(INT(I211)&gt;='3월 등급 정보'!$D$4,2,IF(INT(I211)&gt;='3월 등급 정보'!$D$5,3,IF(INT(I211)&gt;='3월 등급 정보'!$D$6,4,IF(INT(I211)&gt;='3월 등급 정보'!$D$7,5,IF(INT(I211)&gt;='3월 등급 정보'!$D$8,6,IF(INT(I211)&gt;='3월 등급 정보'!$D$9,7,IF(INT(I211)&gt;='3월 등급 정보'!$D$10,8,IF(INT(I211)&gt;='3월 등급 정보'!$D$11,9)))))))))</f>
        <v>8</v>
      </c>
      <c r="M211" s="34">
        <v>50</v>
      </c>
      <c r="N211" s="33"/>
      <c r="O211" s="33"/>
      <c r="P211" s="33">
        <f>IF(INT(M211)&gt;='3월 등급 정보'!$E$3,1,IF(INT(M211)&gt;='3월 등급 정보'!$E$4,2,IF(INT(M211)&gt;='3월 등급 정보'!$E$5,3,IF(INT(M211)&gt;='3월 등급 정보'!$E$6,4,IF(INT(M211)&gt;='3월 등급 정보'!$E$7,5,IF(INT(M211)&gt;='3월 등급 정보'!$E$8,6,IF(INT(M211)&gt;='3월 등급 정보'!$E$9,7,IF(INT(M211)&gt;='3월 등급 정보'!$E$10,8,IF(INT(M211)&gt;='3월 등급 정보'!$E$11,9)))))))))</f>
        <v>5</v>
      </c>
      <c r="Q211" s="34">
        <v>33.5</v>
      </c>
      <c r="R211" s="33"/>
      <c r="S211" s="33"/>
      <c r="T211" s="33">
        <f>IF(INT(Q211)&gt;='3월 등급 정보'!$F$3,1,IF(INT(Q211)&gt;='3월 등급 정보'!$F$4,2,IF(INT(Q211)&gt;='3월 등급 정보'!$F$5,3,IF(INT(Q211)&gt;='3월 등급 정보'!$F$6,4,IF(INT(Q211)&gt;='3월 등급 정보'!$F$7,5,IF(INT(Q211)&gt;='3월 등급 정보'!$F$8,6,IF(INT(Q211)&gt;='3월 등급 정보'!$F$9,7,IF(INT(Q211)&gt;='3월 등급 정보'!$F$10,8,IF(INT(Q211)&gt;='3월 등급 정보'!$F$11,9)))))))))</f>
        <v>4</v>
      </c>
      <c r="U211" s="34">
        <v>23</v>
      </c>
      <c r="V211" s="33"/>
      <c r="W211" s="33"/>
      <c r="X211" s="33">
        <f>IF(INT(U211)&gt;='3월 등급 정보'!$G$3,1,IF(INT(U211)&gt;='3월 등급 정보'!$G$4,2,IF(INT(U211)&gt;='3월 등급 정보'!$G$5,3,IF(INT(U211)&gt;='3월 등급 정보'!$G$6,4,IF(INT(U211)&gt;='3월 등급 정보'!$G$7,5,IF(INT(U211)&gt;='3월 등급 정보'!$G$8,6,IF(INT(U211)&gt;='3월 등급 정보'!$G$9,7,IF(INT(U211)&gt;='3월 등급 정보'!$G$10,8,IF(INT(U211)&gt;='3월 등급 정보'!$G$11,9)))))))))</f>
        <v>5</v>
      </c>
      <c r="Y211" s="34">
        <v>44</v>
      </c>
      <c r="Z211" s="33"/>
      <c r="AA211" s="33"/>
      <c r="AB211" s="33">
        <f>IF(INT(Y211)&gt;='3월 등급 정보'!$H$3,1,IF(INT(Y211)&gt;='3월 등급 정보'!$H$4,2,IF(INT(Y211)&gt;='3월 등급 정보'!$H$5,3,IF(INT(Y211)&gt;='3월 등급 정보'!$H$6,4,IF(INT(Y211)&gt;='3월 등급 정보'!$H$7,5,IF(INT(Y211)&gt;='3월 등급 정보'!$H$8,6,IF(INT(Y211)&gt;='3월 등급 정보'!$H$9,7,IF(INT(Y211)&gt;='3월 등급 정보'!$H$10,8,IF(INT(Y211)&gt;='3월 등급 정보'!$H$11,9)))))))))</f>
        <v>1</v>
      </c>
      <c r="AC211" s="33">
        <f>E211+I211+M211+Q211+U211</f>
        <v>174.5</v>
      </c>
      <c r="AD211" s="33">
        <f>RANK(AC211,$AC$3:$AC$273)</f>
        <v>209</v>
      </c>
    </row>
    <row r="212" spans="1:30" ht="17.25" customHeight="1">
      <c r="A212" s="33" t="s">
        <v>26</v>
      </c>
      <c r="B212" s="34">
        <v>1</v>
      </c>
      <c r="C212" s="34">
        <v>12</v>
      </c>
      <c r="D212" s="34" t="s">
        <v>39</v>
      </c>
      <c r="E212" s="34">
        <v>37</v>
      </c>
      <c r="F212" s="33"/>
      <c r="G212" s="33"/>
      <c r="H212" s="33">
        <f>IF(INT(E212)&gt;='3월 등급 정보'!$C$3,1,IF(INT(E212)&gt;='3월 등급 정보'!$C$4,2,IF(INT(E212)&gt;='3월 등급 정보'!$C$5,3,IF(INT(E212)&gt;='3월 등급 정보'!$C$6,4,IF(INT(E212)&gt;='3월 등급 정보'!$C$7,5,IF(INT(E212)&gt;='3월 등급 정보'!$C$8,6,IF(INT(E212)&gt;='3월 등급 정보'!$C$9,7,IF(INT(E212)&gt;='3월 등급 정보'!$C$10,8,IF(INT(E212)&gt;='3월 등급 정보'!$C$11,9)))))))))</f>
        <v>7</v>
      </c>
      <c r="I212" s="34">
        <v>39</v>
      </c>
      <c r="J212" s="33"/>
      <c r="K212" s="33"/>
      <c r="L212" s="33">
        <f>IF(INT(I212)&gt;='3월 등급 정보'!$D$3,1,IF(INT(I212)&gt;='3월 등급 정보'!$D$4,2,IF(INT(I212)&gt;='3월 등급 정보'!$D$5,3,IF(INT(I212)&gt;='3월 등급 정보'!$D$6,4,IF(INT(I212)&gt;='3월 등급 정보'!$D$7,5,IF(INT(I212)&gt;='3월 등급 정보'!$D$8,6,IF(INT(I212)&gt;='3월 등급 정보'!$D$9,7,IF(INT(I212)&gt;='3월 등급 정보'!$D$10,8,IF(INT(I212)&gt;='3월 등급 정보'!$D$11,9)))))))))</f>
        <v>5</v>
      </c>
      <c r="M212" s="34">
        <v>23</v>
      </c>
      <c r="N212" s="33"/>
      <c r="O212" s="33"/>
      <c r="P212" s="33">
        <f>IF(INT(M212)&gt;='3월 등급 정보'!$E$3,1,IF(INT(M212)&gt;='3월 등급 정보'!$E$4,2,IF(INT(M212)&gt;='3월 등급 정보'!$E$5,3,IF(INT(M212)&gt;='3월 등급 정보'!$E$6,4,IF(INT(M212)&gt;='3월 등급 정보'!$E$7,5,IF(INT(M212)&gt;='3월 등급 정보'!$E$8,6,IF(INT(M212)&gt;='3월 등급 정보'!$E$9,7,IF(INT(M212)&gt;='3월 등급 정보'!$E$10,8,IF(INT(M212)&gt;='3월 등급 정보'!$E$11,9)))))))))</f>
        <v>8</v>
      </c>
      <c r="Q212" s="34">
        <v>48</v>
      </c>
      <c r="R212" s="33"/>
      <c r="S212" s="33"/>
      <c r="T212" s="33">
        <f>IF(INT(Q212)&gt;='3월 등급 정보'!$F$3,1,IF(INT(Q212)&gt;='3월 등급 정보'!$F$4,2,IF(INT(Q212)&gt;='3월 등급 정보'!$F$5,3,IF(INT(Q212)&gt;='3월 등급 정보'!$F$6,4,IF(INT(Q212)&gt;='3월 등급 정보'!$F$7,5,IF(INT(Q212)&gt;='3월 등급 정보'!$F$8,6,IF(INT(Q212)&gt;='3월 등급 정보'!$F$9,7,IF(INT(Q212)&gt;='3월 등급 정보'!$F$10,8,IF(INT(Q212)&gt;='3월 등급 정보'!$F$11,9)))))))))</f>
        <v>1</v>
      </c>
      <c r="U212" s="34">
        <v>26.5</v>
      </c>
      <c r="V212" s="33"/>
      <c r="W212" s="33"/>
      <c r="X212" s="33">
        <f>IF(INT(U212)&gt;='3월 등급 정보'!$G$3,1,IF(INT(U212)&gt;='3월 등급 정보'!$G$4,2,IF(INT(U212)&gt;='3월 등급 정보'!$G$5,3,IF(INT(U212)&gt;='3월 등급 정보'!$G$6,4,IF(INT(U212)&gt;='3월 등급 정보'!$G$7,5,IF(INT(U212)&gt;='3월 등급 정보'!$G$8,6,IF(INT(U212)&gt;='3월 등급 정보'!$G$9,7,IF(INT(U212)&gt;='3월 등급 정보'!$G$10,8,IF(INT(U212)&gt;='3월 등급 정보'!$G$11,9)))))))))</f>
        <v>4</v>
      </c>
      <c r="Y212" s="34">
        <v>26</v>
      </c>
      <c r="Z212" s="33"/>
      <c r="AA212" s="33"/>
      <c r="AB212" s="33">
        <f>IF(INT(Y212)&gt;='3월 등급 정보'!$H$3,1,IF(INT(Y212)&gt;='3월 등급 정보'!$H$4,2,IF(INT(Y212)&gt;='3월 등급 정보'!$H$5,3,IF(INT(Y212)&gt;='3월 등급 정보'!$H$6,4,IF(INT(Y212)&gt;='3월 등급 정보'!$H$7,5,IF(INT(Y212)&gt;='3월 등급 정보'!$H$8,6,IF(INT(Y212)&gt;='3월 등급 정보'!$H$9,7,IF(INT(Y212)&gt;='3월 등급 정보'!$H$10,8,IF(INT(Y212)&gt;='3월 등급 정보'!$H$11,9)))))))))</f>
        <v>4</v>
      </c>
      <c r="AC212" s="33">
        <f>E212+I212+M212+Q212+U212</f>
        <v>173.5</v>
      </c>
      <c r="AD212" s="33">
        <f>RANK(AC212,$AC$3:$AC$273)</f>
        <v>210</v>
      </c>
    </row>
    <row r="213" spans="1:30" ht="17.25" customHeight="1">
      <c r="A213" s="33" t="s">
        <v>26</v>
      </c>
      <c r="B213" s="34">
        <v>8</v>
      </c>
      <c r="C213" s="34">
        <v>18</v>
      </c>
      <c r="D213" s="34" t="s">
        <v>229</v>
      </c>
      <c r="E213" s="34">
        <v>49</v>
      </c>
      <c r="F213" s="33"/>
      <c r="G213" s="33"/>
      <c r="H213" s="33">
        <f>IF(INT(E213)&gt;='3월 등급 정보'!$C$3,1,IF(INT(E213)&gt;='3월 등급 정보'!$C$4,2,IF(INT(E213)&gt;='3월 등급 정보'!$C$5,3,IF(INT(E213)&gt;='3월 등급 정보'!$C$6,4,IF(INT(E213)&gt;='3월 등급 정보'!$C$7,5,IF(INT(E213)&gt;='3월 등급 정보'!$C$8,6,IF(INT(E213)&gt;='3월 등급 정보'!$C$9,7,IF(INT(E213)&gt;='3월 등급 정보'!$C$10,8,IF(INT(E213)&gt;='3월 등급 정보'!$C$11,9)))))))))</f>
        <v>5</v>
      </c>
      <c r="I213" s="34">
        <v>45</v>
      </c>
      <c r="J213" s="33"/>
      <c r="K213" s="33"/>
      <c r="L213" s="33">
        <f>IF(INT(I213)&gt;='3월 등급 정보'!$D$3,1,IF(INT(I213)&gt;='3월 등급 정보'!$D$4,2,IF(INT(I213)&gt;='3월 등급 정보'!$D$5,3,IF(INT(I213)&gt;='3월 등급 정보'!$D$6,4,IF(INT(I213)&gt;='3월 등급 정보'!$D$7,5,IF(INT(I213)&gt;='3월 등급 정보'!$D$8,6,IF(INT(I213)&gt;='3월 등급 정보'!$D$9,7,IF(INT(I213)&gt;='3월 등급 정보'!$D$10,8,IF(INT(I213)&gt;='3월 등급 정보'!$D$11,9)))))))))</f>
        <v>5</v>
      </c>
      <c r="M213" s="34">
        <v>44</v>
      </c>
      <c r="N213" s="33"/>
      <c r="O213" s="33"/>
      <c r="P213" s="33">
        <f>IF(INT(M213)&gt;='3월 등급 정보'!$E$3,1,IF(INT(M213)&gt;='3월 등급 정보'!$E$4,2,IF(INT(M213)&gt;='3월 등급 정보'!$E$5,3,IF(INT(M213)&gt;='3월 등급 정보'!$E$6,4,IF(INT(M213)&gt;='3월 등급 정보'!$E$7,5,IF(INT(M213)&gt;='3월 등급 정보'!$E$8,6,IF(INT(M213)&gt;='3월 등급 정보'!$E$9,7,IF(INT(M213)&gt;='3월 등급 정보'!$E$10,8,IF(INT(M213)&gt;='3월 등급 정보'!$E$11,9)))))))))</f>
        <v>6</v>
      </c>
      <c r="Q213" s="34">
        <v>23.5</v>
      </c>
      <c r="R213" s="33"/>
      <c r="S213" s="33"/>
      <c r="T213" s="33">
        <f>IF(INT(Q213)&gt;='3월 등급 정보'!$F$3,1,IF(INT(Q213)&gt;='3월 등급 정보'!$F$4,2,IF(INT(Q213)&gt;='3월 등급 정보'!$F$5,3,IF(INT(Q213)&gt;='3월 등급 정보'!$F$6,4,IF(INT(Q213)&gt;='3월 등급 정보'!$F$7,5,IF(INT(Q213)&gt;='3월 등급 정보'!$F$8,6,IF(INT(Q213)&gt;='3월 등급 정보'!$F$9,7,IF(INT(Q213)&gt;='3월 등급 정보'!$F$10,8,IF(INT(Q213)&gt;='3월 등급 정보'!$F$11,9)))))))))</f>
        <v>6</v>
      </c>
      <c r="U213" s="34">
        <v>12</v>
      </c>
      <c r="V213" s="33"/>
      <c r="W213" s="33"/>
      <c r="X213" s="33">
        <f>IF(INT(U213)&gt;='3월 등급 정보'!$G$3,1,IF(INT(U213)&gt;='3월 등급 정보'!$G$4,2,IF(INT(U213)&gt;='3월 등급 정보'!$G$5,3,IF(INT(U213)&gt;='3월 등급 정보'!$G$6,4,IF(INT(U213)&gt;='3월 등급 정보'!$G$7,5,IF(INT(U213)&gt;='3월 등급 정보'!$G$8,6,IF(INT(U213)&gt;='3월 등급 정보'!$G$9,7,IF(INT(U213)&gt;='3월 등급 정보'!$G$10,8,IF(INT(U213)&gt;='3월 등급 정보'!$G$11,9)))))))))</f>
        <v>7</v>
      </c>
      <c r="Y213" s="34">
        <v>26</v>
      </c>
      <c r="Z213" s="33"/>
      <c r="AA213" s="33"/>
      <c r="AB213" s="33">
        <f>IF(INT(Y213)&gt;='3월 등급 정보'!$H$3,1,IF(INT(Y213)&gt;='3월 등급 정보'!$H$4,2,IF(INT(Y213)&gt;='3월 등급 정보'!$H$5,3,IF(INT(Y213)&gt;='3월 등급 정보'!$H$6,4,IF(INT(Y213)&gt;='3월 등급 정보'!$H$7,5,IF(INT(Y213)&gt;='3월 등급 정보'!$H$8,6,IF(INT(Y213)&gt;='3월 등급 정보'!$H$9,7,IF(INT(Y213)&gt;='3월 등급 정보'!$H$10,8,IF(INT(Y213)&gt;='3월 등급 정보'!$H$11,9)))))))))</f>
        <v>4</v>
      </c>
      <c r="AC213" s="33">
        <f>E213+I213+M213+Q213+U213</f>
        <v>173.5</v>
      </c>
      <c r="AD213" s="33">
        <f>RANK(AC213,$AC$3:$AC$273)</f>
        <v>210</v>
      </c>
    </row>
    <row r="214" spans="1:30" ht="17.25" customHeight="1">
      <c r="A214" s="33" t="s">
        <v>26</v>
      </c>
      <c r="B214" s="34">
        <v>9</v>
      </c>
      <c r="C214" s="34">
        <v>4</v>
      </c>
      <c r="D214" s="34" t="s">
        <v>243</v>
      </c>
      <c r="E214" s="34">
        <v>47</v>
      </c>
      <c r="F214" s="33"/>
      <c r="G214" s="33"/>
      <c r="H214" s="33">
        <f>IF(INT(E214)&gt;='3월 등급 정보'!$C$3,1,IF(INT(E214)&gt;='3월 등급 정보'!$C$4,2,IF(INT(E214)&gt;='3월 등급 정보'!$C$5,3,IF(INT(E214)&gt;='3월 등급 정보'!$C$6,4,IF(INT(E214)&gt;='3월 등급 정보'!$C$7,5,IF(INT(E214)&gt;='3월 등급 정보'!$C$8,6,IF(INT(E214)&gt;='3월 등급 정보'!$C$9,7,IF(INT(E214)&gt;='3월 등급 정보'!$C$10,8,IF(INT(E214)&gt;='3월 등급 정보'!$C$11,9)))))))))</f>
        <v>6</v>
      </c>
      <c r="I214" s="34">
        <v>41</v>
      </c>
      <c r="J214" s="33"/>
      <c r="K214" s="33"/>
      <c r="L214" s="33">
        <f>IF(INT(I214)&gt;='3월 등급 정보'!$D$3,1,IF(INT(I214)&gt;='3월 등급 정보'!$D$4,2,IF(INT(I214)&gt;='3월 등급 정보'!$D$5,3,IF(INT(I214)&gt;='3월 등급 정보'!$D$6,4,IF(INT(I214)&gt;='3월 등급 정보'!$D$7,5,IF(INT(I214)&gt;='3월 등급 정보'!$D$8,6,IF(INT(I214)&gt;='3월 등급 정보'!$D$9,7,IF(INT(I214)&gt;='3월 등급 정보'!$D$10,8,IF(INT(I214)&gt;='3월 등급 정보'!$D$11,9)))))))))</f>
        <v>5</v>
      </c>
      <c r="M214" s="34">
        <v>47</v>
      </c>
      <c r="N214" s="33"/>
      <c r="O214" s="33"/>
      <c r="P214" s="33">
        <f>IF(INT(M214)&gt;='3월 등급 정보'!$E$3,1,IF(INT(M214)&gt;='3월 등급 정보'!$E$4,2,IF(INT(M214)&gt;='3월 등급 정보'!$E$5,3,IF(INT(M214)&gt;='3월 등급 정보'!$E$6,4,IF(INT(M214)&gt;='3월 등급 정보'!$E$7,5,IF(INT(M214)&gt;='3월 등급 정보'!$E$8,6,IF(INT(M214)&gt;='3월 등급 정보'!$E$9,7,IF(INT(M214)&gt;='3월 등급 정보'!$E$10,8,IF(INT(M214)&gt;='3월 등급 정보'!$E$11,9)))))))))</f>
        <v>6</v>
      </c>
      <c r="Q214" s="34">
        <v>24.5</v>
      </c>
      <c r="R214" s="33"/>
      <c r="S214" s="33"/>
      <c r="T214" s="33">
        <f>IF(INT(Q214)&gt;='3월 등급 정보'!$F$3,1,IF(INT(Q214)&gt;='3월 등급 정보'!$F$4,2,IF(INT(Q214)&gt;='3월 등급 정보'!$F$5,3,IF(INT(Q214)&gt;='3월 등급 정보'!$F$6,4,IF(INT(Q214)&gt;='3월 등급 정보'!$F$7,5,IF(INT(Q214)&gt;='3월 등급 정보'!$F$8,6,IF(INT(Q214)&gt;='3월 등급 정보'!$F$9,7,IF(INT(Q214)&gt;='3월 등급 정보'!$F$10,8,IF(INT(Q214)&gt;='3월 등급 정보'!$F$11,9)))))))))</f>
        <v>6</v>
      </c>
      <c r="U214" s="34">
        <v>13</v>
      </c>
      <c r="V214" s="33"/>
      <c r="W214" s="33"/>
      <c r="X214" s="33">
        <f>IF(INT(U214)&gt;='3월 등급 정보'!$G$3,1,IF(INT(U214)&gt;='3월 등급 정보'!$G$4,2,IF(INT(U214)&gt;='3월 등급 정보'!$G$5,3,IF(INT(U214)&gt;='3월 등급 정보'!$G$6,4,IF(INT(U214)&gt;='3월 등급 정보'!$G$7,5,IF(INT(U214)&gt;='3월 등급 정보'!$G$8,6,IF(INT(U214)&gt;='3월 등급 정보'!$G$9,7,IF(INT(U214)&gt;='3월 등급 정보'!$G$10,8,IF(INT(U214)&gt;='3월 등급 정보'!$G$11,9)))))))))</f>
        <v>7</v>
      </c>
      <c r="Y214" s="34">
        <v>26</v>
      </c>
      <c r="Z214" s="33"/>
      <c r="AA214" s="33"/>
      <c r="AB214" s="33">
        <f>IF(INT(Y214)&gt;='3월 등급 정보'!$H$3,1,IF(INT(Y214)&gt;='3월 등급 정보'!$H$4,2,IF(INT(Y214)&gt;='3월 등급 정보'!$H$5,3,IF(INT(Y214)&gt;='3월 등급 정보'!$H$6,4,IF(INT(Y214)&gt;='3월 등급 정보'!$H$7,5,IF(INT(Y214)&gt;='3월 등급 정보'!$H$8,6,IF(INT(Y214)&gt;='3월 등급 정보'!$H$9,7,IF(INT(Y214)&gt;='3월 등급 정보'!$H$10,8,IF(INT(Y214)&gt;='3월 등급 정보'!$H$11,9)))))))))</f>
        <v>4</v>
      </c>
      <c r="AC214" s="33">
        <f>E214+I214+M214+Q214+U214</f>
        <v>172.5</v>
      </c>
      <c r="AD214" s="33">
        <f>RANK(AC214,$AC$3:$AC$273)</f>
        <v>212</v>
      </c>
    </row>
    <row r="215" spans="1:30" ht="17.25" customHeight="1">
      <c r="A215" s="33" t="s">
        <v>26</v>
      </c>
      <c r="B215" s="34">
        <v>9</v>
      </c>
      <c r="C215" s="34">
        <v>27</v>
      </c>
      <c r="D215" s="34" t="s">
        <v>264</v>
      </c>
      <c r="E215" s="34">
        <v>44</v>
      </c>
      <c r="F215" s="33"/>
      <c r="G215" s="33"/>
      <c r="H215" s="33">
        <f>IF(INT(E215)&gt;='3월 등급 정보'!$C$3,1,IF(INT(E215)&gt;='3월 등급 정보'!$C$4,2,IF(INT(E215)&gt;='3월 등급 정보'!$C$5,3,IF(INT(E215)&gt;='3월 등급 정보'!$C$6,4,IF(INT(E215)&gt;='3월 등급 정보'!$C$7,5,IF(INT(E215)&gt;='3월 등급 정보'!$C$8,6,IF(INT(E215)&gt;='3월 등급 정보'!$C$9,7,IF(INT(E215)&gt;='3월 등급 정보'!$C$10,8,IF(INT(E215)&gt;='3월 등급 정보'!$C$11,9)))))))))</f>
        <v>6</v>
      </c>
      <c r="I215" s="34">
        <v>18</v>
      </c>
      <c r="J215" s="33"/>
      <c r="K215" s="33"/>
      <c r="L215" s="33">
        <f>IF(INT(I215)&gt;='3월 등급 정보'!$D$3,1,IF(INT(I215)&gt;='3월 등급 정보'!$D$4,2,IF(INT(I215)&gt;='3월 등급 정보'!$D$5,3,IF(INT(I215)&gt;='3월 등급 정보'!$D$6,4,IF(INT(I215)&gt;='3월 등급 정보'!$D$7,5,IF(INT(I215)&gt;='3월 등급 정보'!$D$8,6,IF(INT(I215)&gt;='3월 등급 정보'!$D$9,7,IF(INT(I215)&gt;='3월 등급 정보'!$D$10,8,IF(INT(I215)&gt;='3월 등급 정보'!$D$11,9)))))))))</f>
        <v>8</v>
      </c>
      <c r="M215" s="34">
        <v>47</v>
      </c>
      <c r="N215" s="33"/>
      <c r="O215" s="33"/>
      <c r="P215" s="33">
        <f>IF(INT(M215)&gt;='3월 등급 정보'!$E$3,1,IF(INT(M215)&gt;='3월 등급 정보'!$E$4,2,IF(INT(M215)&gt;='3월 등급 정보'!$E$5,3,IF(INT(M215)&gt;='3월 등급 정보'!$E$6,4,IF(INT(M215)&gt;='3월 등급 정보'!$E$7,5,IF(INT(M215)&gt;='3월 등급 정보'!$E$8,6,IF(INT(M215)&gt;='3월 등급 정보'!$E$9,7,IF(INT(M215)&gt;='3월 등급 정보'!$E$10,8,IF(INT(M215)&gt;='3월 등급 정보'!$E$11,9)))))))))</f>
        <v>6</v>
      </c>
      <c r="Q215" s="34">
        <v>35.5</v>
      </c>
      <c r="R215" s="33"/>
      <c r="S215" s="33"/>
      <c r="T215" s="33">
        <f>IF(INT(Q215)&gt;='3월 등급 정보'!$F$3,1,IF(INT(Q215)&gt;='3월 등급 정보'!$F$4,2,IF(INT(Q215)&gt;='3월 등급 정보'!$F$5,3,IF(INT(Q215)&gt;='3월 등급 정보'!$F$6,4,IF(INT(Q215)&gt;='3월 등급 정보'!$F$7,5,IF(INT(Q215)&gt;='3월 등급 정보'!$F$8,6,IF(INT(Q215)&gt;='3월 등급 정보'!$F$9,7,IF(INT(Q215)&gt;='3월 등급 정보'!$F$10,8,IF(INT(Q215)&gt;='3월 등급 정보'!$F$11,9)))))))))</f>
        <v>4</v>
      </c>
      <c r="U215" s="34">
        <v>28</v>
      </c>
      <c r="V215" s="33"/>
      <c r="W215" s="33"/>
      <c r="X215" s="33">
        <f>IF(INT(U215)&gt;='3월 등급 정보'!$G$3,1,IF(INT(U215)&gt;='3월 등급 정보'!$G$4,2,IF(INT(U215)&gt;='3월 등급 정보'!$G$5,3,IF(INT(U215)&gt;='3월 등급 정보'!$G$6,4,IF(INT(U215)&gt;='3월 등급 정보'!$G$7,5,IF(INT(U215)&gt;='3월 등급 정보'!$G$8,6,IF(INT(U215)&gt;='3월 등급 정보'!$G$9,7,IF(INT(U215)&gt;='3월 등급 정보'!$G$10,8,IF(INT(U215)&gt;='3월 등급 정보'!$G$11,9)))))))))</f>
        <v>4</v>
      </c>
      <c r="Y215" s="34">
        <v>33</v>
      </c>
      <c r="Z215" s="33"/>
      <c r="AA215" s="33"/>
      <c r="AB215" s="33">
        <f>IF(INT(Y215)&gt;='3월 등급 정보'!$H$3,1,IF(INT(Y215)&gt;='3월 등급 정보'!$H$4,2,IF(INT(Y215)&gt;='3월 등급 정보'!$H$5,3,IF(INT(Y215)&gt;='3월 등급 정보'!$H$6,4,IF(INT(Y215)&gt;='3월 등급 정보'!$H$7,5,IF(INT(Y215)&gt;='3월 등급 정보'!$H$8,6,IF(INT(Y215)&gt;='3월 등급 정보'!$H$9,7,IF(INT(Y215)&gt;='3월 등급 정보'!$H$10,8,IF(INT(Y215)&gt;='3월 등급 정보'!$H$11,9)))))))))</f>
        <v>3</v>
      </c>
      <c r="AC215" s="33">
        <f>E215+I215+M215+Q215+U215</f>
        <v>172.5</v>
      </c>
      <c r="AD215" s="33">
        <f>RANK(AC215,$AC$3:$AC$273)</f>
        <v>212</v>
      </c>
    </row>
    <row r="216" spans="1:30" ht="17.25" customHeight="1">
      <c r="A216" s="33" t="s">
        <v>26</v>
      </c>
      <c r="B216" s="34">
        <v>3</v>
      </c>
      <c r="C216" s="34">
        <v>25</v>
      </c>
      <c r="D216" s="34" t="s">
        <v>102</v>
      </c>
      <c r="E216" s="34">
        <v>42</v>
      </c>
      <c r="F216" s="33"/>
      <c r="G216" s="33"/>
      <c r="H216" s="33">
        <f>IF(INT(E216)&gt;='3월 등급 정보'!$C$3,1,IF(INT(E216)&gt;='3월 등급 정보'!$C$4,2,IF(INT(E216)&gt;='3월 등급 정보'!$C$5,3,IF(INT(E216)&gt;='3월 등급 정보'!$C$6,4,IF(INT(E216)&gt;='3월 등급 정보'!$C$7,5,IF(INT(E216)&gt;='3월 등급 정보'!$C$8,6,IF(INT(E216)&gt;='3월 등급 정보'!$C$9,7,IF(INT(E216)&gt;='3월 등급 정보'!$C$10,8,IF(INT(E216)&gt;='3월 등급 정보'!$C$11,9)))))))))</f>
        <v>6</v>
      </c>
      <c r="I216" s="34">
        <v>30</v>
      </c>
      <c r="J216" s="33"/>
      <c r="K216" s="33"/>
      <c r="L216" s="33">
        <f>IF(INT(I216)&gt;='3월 등급 정보'!$D$3,1,IF(INT(I216)&gt;='3월 등급 정보'!$D$4,2,IF(INT(I216)&gt;='3월 등급 정보'!$D$5,3,IF(INT(I216)&gt;='3월 등급 정보'!$D$6,4,IF(INT(I216)&gt;='3월 등급 정보'!$D$7,5,IF(INT(I216)&gt;='3월 등급 정보'!$D$8,6,IF(INT(I216)&gt;='3월 등급 정보'!$D$9,7,IF(INT(I216)&gt;='3월 등급 정보'!$D$10,8,IF(INT(I216)&gt;='3월 등급 정보'!$D$11,9)))))))))</f>
        <v>6</v>
      </c>
      <c r="M216" s="34">
        <v>50</v>
      </c>
      <c r="N216" s="33"/>
      <c r="O216" s="33"/>
      <c r="P216" s="33">
        <f>IF(INT(M216)&gt;='3월 등급 정보'!$E$3,1,IF(INT(M216)&gt;='3월 등급 정보'!$E$4,2,IF(INT(M216)&gt;='3월 등급 정보'!$E$5,3,IF(INT(M216)&gt;='3월 등급 정보'!$E$6,4,IF(INT(M216)&gt;='3월 등급 정보'!$E$7,5,IF(INT(M216)&gt;='3월 등급 정보'!$E$8,6,IF(INT(M216)&gt;='3월 등급 정보'!$E$9,7,IF(INT(M216)&gt;='3월 등급 정보'!$E$10,8,IF(INT(M216)&gt;='3월 등급 정보'!$E$11,9)))))))))</f>
        <v>5</v>
      </c>
      <c r="Q216" s="34">
        <v>23.5</v>
      </c>
      <c r="R216" s="33"/>
      <c r="S216" s="33"/>
      <c r="T216" s="33">
        <f>IF(INT(Q216)&gt;='3월 등급 정보'!$F$3,1,IF(INT(Q216)&gt;='3월 등급 정보'!$F$4,2,IF(INT(Q216)&gt;='3월 등급 정보'!$F$5,3,IF(INT(Q216)&gt;='3월 등급 정보'!$F$6,4,IF(INT(Q216)&gt;='3월 등급 정보'!$F$7,5,IF(INT(Q216)&gt;='3월 등급 정보'!$F$8,6,IF(INT(Q216)&gt;='3월 등급 정보'!$F$9,7,IF(INT(Q216)&gt;='3월 등급 정보'!$F$10,8,IF(INT(Q216)&gt;='3월 등급 정보'!$F$11,9)))))))))</f>
        <v>6</v>
      </c>
      <c r="U216" s="34">
        <v>25</v>
      </c>
      <c r="V216" s="33"/>
      <c r="W216" s="33"/>
      <c r="X216" s="33">
        <f>IF(INT(U216)&gt;='3월 등급 정보'!$G$3,1,IF(INT(U216)&gt;='3월 등급 정보'!$G$4,2,IF(INT(U216)&gt;='3월 등급 정보'!$G$5,3,IF(INT(U216)&gt;='3월 등급 정보'!$G$6,4,IF(INT(U216)&gt;='3월 등급 정보'!$G$7,5,IF(INT(U216)&gt;='3월 등급 정보'!$G$8,6,IF(INT(U216)&gt;='3월 등급 정보'!$G$9,7,IF(INT(U216)&gt;='3월 등급 정보'!$G$10,8,IF(INT(U216)&gt;='3월 등급 정보'!$G$11,9)))))))))</f>
        <v>5</v>
      </c>
      <c r="Y216" s="34">
        <v>26</v>
      </c>
      <c r="Z216" s="33"/>
      <c r="AA216" s="33"/>
      <c r="AB216" s="33">
        <f>IF(INT(Y216)&gt;='3월 등급 정보'!$H$3,1,IF(INT(Y216)&gt;='3월 등급 정보'!$H$4,2,IF(INT(Y216)&gt;='3월 등급 정보'!$H$5,3,IF(INT(Y216)&gt;='3월 등급 정보'!$H$6,4,IF(INT(Y216)&gt;='3월 등급 정보'!$H$7,5,IF(INT(Y216)&gt;='3월 등급 정보'!$H$8,6,IF(INT(Y216)&gt;='3월 등급 정보'!$H$9,7,IF(INT(Y216)&gt;='3월 등급 정보'!$H$10,8,IF(INT(Y216)&gt;='3월 등급 정보'!$H$11,9)))))))))</f>
        <v>4</v>
      </c>
      <c r="AC216" s="33">
        <f>E216+I216+M216+Q216+U216</f>
        <v>170.5</v>
      </c>
      <c r="AD216" s="33">
        <f>RANK(AC216,$AC$3:$AC$273)</f>
        <v>214</v>
      </c>
    </row>
    <row r="217" spans="1:30" ht="17.25" customHeight="1">
      <c r="A217" s="33" t="s">
        <v>26</v>
      </c>
      <c r="B217" s="34">
        <v>4</v>
      </c>
      <c r="C217" s="34">
        <v>25</v>
      </c>
      <c r="D217" s="34" t="s">
        <v>129</v>
      </c>
      <c r="E217" s="34">
        <v>49</v>
      </c>
      <c r="F217" s="33"/>
      <c r="G217" s="33"/>
      <c r="H217" s="33">
        <f>IF(INT(E217)&gt;='3월 등급 정보'!$C$3,1,IF(INT(E217)&gt;='3월 등급 정보'!$C$4,2,IF(INT(E217)&gt;='3월 등급 정보'!$C$5,3,IF(INT(E217)&gt;='3월 등급 정보'!$C$6,4,IF(INT(E217)&gt;='3월 등급 정보'!$C$7,5,IF(INT(E217)&gt;='3월 등급 정보'!$C$8,6,IF(INT(E217)&gt;='3월 등급 정보'!$C$9,7,IF(INT(E217)&gt;='3월 등급 정보'!$C$10,8,IF(INT(E217)&gt;='3월 등급 정보'!$C$11,9)))))))))</f>
        <v>5</v>
      </c>
      <c r="I217" s="34">
        <v>18</v>
      </c>
      <c r="J217" s="33"/>
      <c r="K217" s="33"/>
      <c r="L217" s="33">
        <f>IF(INT(I217)&gt;='3월 등급 정보'!$D$3,1,IF(INT(I217)&gt;='3월 등급 정보'!$D$4,2,IF(INT(I217)&gt;='3월 등급 정보'!$D$5,3,IF(INT(I217)&gt;='3월 등급 정보'!$D$6,4,IF(INT(I217)&gt;='3월 등급 정보'!$D$7,5,IF(INT(I217)&gt;='3월 등급 정보'!$D$8,6,IF(INT(I217)&gt;='3월 등급 정보'!$D$9,7,IF(INT(I217)&gt;='3월 등급 정보'!$D$10,8,IF(INT(I217)&gt;='3월 등급 정보'!$D$11,9)))))))))</f>
        <v>8</v>
      </c>
      <c r="M217" s="34">
        <v>56</v>
      </c>
      <c r="N217" s="33"/>
      <c r="O217" s="33"/>
      <c r="P217" s="33">
        <f>IF(INT(M217)&gt;='3월 등급 정보'!$E$3,1,IF(INT(M217)&gt;='3월 등급 정보'!$E$4,2,IF(INT(M217)&gt;='3월 등급 정보'!$E$5,3,IF(INT(M217)&gt;='3월 등급 정보'!$E$6,4,IF(INT(M217)&gt;='3월 등급 정보'!$E$7,5,IF(INT(M217)&gt;='3월 등급 정보'!$E$8,6,IF(INT(M217)&gt;='3월 등급 정보'!$E$9,7,IF(INT(M217)&gt;='3월 등급 정보'!$E$10,8,IF(INT(M217)&gt;='3월 등급 정보'!$E$11,9)))))))))</f>
        <v>5</v>
      </c>
      <c r="Q217" s="34">
        <v>30</v>
      </c>
      <c r="R217" s="33"/>
      <c r="S217" s="33"/>
      <c r="T217" s="33">
        <f>IF(INT(Q217)&gt;='3월 등급 정보'!$F$3,1,IF(INT(Q217)&gt;='3월 등급 정보'!$F$4,2,IF(INT(Q217)&gt;='3월 등급 정보'!$F$5,3,IF(INT(Q217)&gt;='3월 등급 정보'!$F$6,4,IF(INT(Q217)&gt;='3월 등급 정보'!$F$7,5,IF(INT(Q217)&gt;='3월 등급 정보'!$F$8,6,IF(INT(Q217)&gt;='3월 등급 정보'!$F$9,7,IF(INT(Q217)&gt;='3월 등급 정보'!$F$10,8,IF(INT(Q217)&gt;='3월 등급 정보'!$F$11,9)))))))))</f>
        <v>5</v>
      </c>
      <c r="U217" s="34">
        <v>17</v>
      </c>
      <c r="V217" s="33"/>
      <c r="W217" s="33"/>
      <c r="X217" s="33">
        <f>IF(INT(U217)&gt;='3월 등급 정보'!$G$3,1,IF(INT(U217)&gt;='3월 등급 정보'!$G$4,2,IF(INT(U217)&gt;='3월 등급 정보'!$G$5,3,IF(INT(U217)&gt;='3월 등급 정보'!$G$6,4,IF(INT(U217)&gt;='3월 등급 정보'!$G$7,5,IF(INT(U217)&gt;='3월 등급 정보'!$G$8,6,IF(INT(U217)&gt;='3월 등급 정보'!$G$9,7,IF(INT(U217)&gt;='3월 등급 정보'!$G$10,8,IF(INT(U217)&gt;='3월 등급 정보'!$G$11,9)))))))))</f>
        <v>6</v>
      </c>
      <c r="Y217" s="34">
        <v>40</v>
      </c>
      <c r="Z217" s="33"/>
      <c r="AA217" s="33"/>
      <c r="AB217" s="33">
        <f>IF(INT(Y217)&gt;='3월 등급 정보'!$H$3,1,IF(INT(Y217)&gt;='3월 등급 정보'!$H$4,2,IF(INT(Y217)&gt;='3월 등급 정보'!$H$5,3,IF(INT(Y217)&gt;='3월 등급 정보'!$H$6,4,IF(INT(Y217)&gt;='3월 등급 정보'!$H$7,5,IF(INT(Y217)&gt;='3월 등급 정보'!$H$8,6,IF(INT(Y217)&gt;='3월 등급 정보'!$H$9,7,IF(INT(Y217)&gt;='3월 등급 정보'!$H$10,8,IF(INT(Y217)&gt;='3월 등급 정보'!$H$11,9)))))))))</f>
        <v>1</v>
      </c>
      <c r="AC217" s="33">
        <f>E217+I217+M217+Q217+U217</f>
        <v>170</v>
      </c>
      <c r="AD217" s="33">
        <f>RANK(AC217,$AC$3:$AC$273)</f>
        <v>215</v>
      </c>
    </row>
    <row r="218" spans="1:30" ht="17.25" customHeight="1">
      <c r="A218" s="33" t="s">
        <v>26</v>
      </c>
      <c r="B218" s="34">
        <v>5</v>
      </c>
      <c r="C218" s="34">
        <v>11</v>
      </c>
      <c r="D218" s="34" t="s">
        <v>142</v>
      </c>
      <c r="E218" s="34">
        <v>37</v>
      </c>
      <c r="F218" s="33"/>
      <c r="G218" s="33"/>
      <c r="H218" s="33">
        <f>IF(INT(E218)&gt;='3월 등급 정보'!$C$3,1,IF(INT(E218)&gt;='3월 등급 정보'!$C$4,2,IF(INT(E218)&gt;='3월 등급 정보'!$C$5,3,IF(INT(E218)&gt;='3월 등급 정보'!$C$6,4,IF(INT(E218)&gt;='3월 등급 정보'!$C$7,5,IF(INT(E218)&gt;='3월 등급 정보'!$C$8,6,IF(INT(E218)&gt;='3월 등급 정보'!$C$9,7,IF(INT(E218)&gt;='3월 등급 정보'!$C$10,8,IF(INT(E218)&gt;='3월 등급 정보'!$C$11,9)))))))))</f>
        <v>7</v>
      </c>
      <c r="I218" s="34">
        <v>39</v>
      </c>
      <c r="J218" s="33"/>
      <c r="K218" s="33"/>
      <c r="L218" s="33">
        <f>IF(INT(I218)&gt;='3월 등급 정보'!$D$3,1,IF(INT(I218)&gt;='3월 등급 정보'!$D$4,2,IF(INT(I218)&gt;='3월 등급 정보'!$D$5,3,IF(INT(I218)&gt;='3월 등급 정보'!$D$6,4,IF(INT(I218)&gt;='3월 등급 정보'!$D$7,5,IF(INT(I218)&gt;='3월 등급 정보'!$D$8,6,IF(INT(I218)&gt;='3월 등급 정보'!$D$9,7,IF(INT(I218)&gt;='3월 등급 정보'!$D$10,8,IF(INT(I218)&gt;='3월 등급 정보'!$D$11,9)))))))))</f>
        <v>5</v>
      </c>
      <c r="M218" s="34">
        <v>44</v>
      </c>
      <c r="N218" s="33"/>
      <c r="O218" s="33"/>
      <c r="P218" s="33">
        <f>IF(INT(M218)&gt;='3월 등급 정보'!$E$3,1,IF(INT(M218)&gt;='3월 등급 정보'!$E$4,2,IF(INT(M218)&gt;='3월 등급 정보'!$E$5,3,IF(INT(M218)&gt;='3월 등급 정보'!$E$6,4,IF(INT(M218)&gt;='3월 등급 정보'!$E$7,5,IF(INT(M218)&gt;='3월 등급 정보'!$E$8,6,IF(INT(M218)&gt;='3월 등급 정보'!$E$9,7,IF(INT(M218)&gt;='3월 등급 정보'!$E$10,8,IF(INT(M218)&gt;='3월 등급 정보'!$E$11,9)))))))))</f>
        <v>6</v>
      </c>
      <c r="Q218" s="34">
        <v>36</v>
      </c>
      <c r="R218" s="33"/>
      <c r="S218" s="33"/>
      <c r="T218" s="33">
        <f>IF(INT(Q218)&gt;='3월 등급 정보'!$F$3,1,IF(INT(Q218)&gt;='3월 등급 정보'!$F$4,2,IF(INT(Q218)&gt;='3월 등급 정보'!$F$5,3,IF(INT(Q218)&gt;='3월 등급 정보'!$F$6,4,IF(INT(Q218)&gt;='3월 등급 정보'!$F$7,5,IF(INT(Q218)&gt;='3월 등급 정보'!$F$8,6,IF(INT(Q218)&gt;='3월 등급 정보'!$F$9,7,IF(INT(Q218)&gt;='3월 등급 정보'!$F$10,8,IF(INT(Q218)&gt;='3월 등급 정보'!$F$11,9)))))))))</f>
        <v>4</v>
      </c>
      <c r="U218" s="34">
        <v>14</v>
      </c>
      <c r="V218" s="33"/>
      <c r="W218" s="33"/>
      <c r="X218" s="33">
        <f>IF(INT(U218)&gt;='3월 등급 정보'!$G$3,1,IF(INT(U218)&gt;='3월 등급 정보'!$G$4,2,IF(INT(U218)&gt;='3월 등급 정보'!$G$5,3,IF(INT(U218)&gt;='3월 등급 정보'!$G$6,4,IF(INT(U218)&gt;='3월 등급 정보'!$G$7,5,IF(INT(U218)&gt;='3월 등급 정보'!$G$8,6,IF(INT(U218)&gt;='3월 등급 정보'!$G$9,7,IF(INT(U218)&gt;='3월 등급 정보'!$G$10,8,IF(INT(U218)&gt;='3월 등급 정보'!$G$11,9)))))))))</f>
        <v>6</v>
      </c>
      <c r="Y218" s="34">
        <v>29</v>
      </c>
      <c r="Z218" s="33"/>
      <c r="AA218" s="33"/>
      <c r="AB218" s="33">
        <f>IF(INT(Y218)&gt;='3월 등급 정보'!$H$3,1,IF(INT(Y218)&gt;='3월 등급 정보'!$H$4,2,IF(INT(Y218)&gt;='3월 등급 정보'!$H$5,3,IF(INT(Y218)&gt;='3월 등급 정보'!$H$6,4,IF(INT(Y218)&gt;='3월 등급 정보'!$H$7,5,IF(INT(Y218)&gt;='3월 등급 정보'!$H$8,6,IF(INT(Y218)&gt;='3월 등급 정보'!$H$9,7,IF(INT(Y218)&gt;='3월 등급 정보'!$H$10,8,IF(INT(Y218)&gt;='3월 등급 정보'!$H$11,9)))))))))</f>
        <v>4</v>
      </c>
      <c r="AC218" s="33">
        <f>E218+I218+M218+Q218+U218</f>
        <v>170</v>
      </c>
      <c r="AD218" s="33">
        <f>RANK(AC218,$AC$3:$AC$273)</f>
        <v>215</v>
      </c>
    </row>
    <row r="219" spans="1:30" ht="17.25" customHeight="1">
      <c r="A219" s="33" t="s">
        <v>26</v>
      </c>
      <c r="B219" s="34">
        <v>7</v>
      </c>
      <c r="C219" s="34">
        <v>28</v>
      </c>
      <c r="D219" s="34" t="s">
        <v>214</v>
      </c>
      <c r="E219" s="34">
        <v>45</v>
      </c>
      <c r="F219" s="33"/>
      <c r="G219" s="33"/>
      <c r="H219" s="33">
        <f>IF(INT(E219)&gt;='3월 등급 정보'!$C$3,1,IF(INT(E219)&gt;='3월 등급 정보'!$C$4,2,IF(INT(E219)&gt;='3월 등급 정보'!$C$5,3,IF(INT(E219)&gt;='3월 등급 정보'!$C$6,4,IF(INT(E219)&gt;='3월 등급 정보'!$C$7,5,IF(INT(E219)&gt;='3월 등급 정보'!$C$8,6,IF(INT(E219)&gt;='3월 등급 정보'!$C$9,7,IF(INT(E219)&gt;='3월 등급 정보'!$C$10,8,IF(INT(E219)&gt;='3월 등급 정보'!$C$11,9)))))))))</f>
        <v>6</v>
      </c>
      <c r="I219" s="34">
        <v>40</v>
      </c>
      <c r="J219" s="33"/>
      <c r="K219" s="33"/>
      <c r="L219" s="33">
        <f>IF(INT(I219)&gt;='3월 등급 정보'!$D$3,1,IF(INT(I219)&gt;='3월 등급 정보'!$D$4,2,IF(INT(I219)&gt;='3월 등급 정보'!$D$5,3,IF(INT(I219)&gt;='3월 등급 정보'!$D$6,4,IF(INT(I219)&gt;='3월 등급 정보'!$D$7,5,IF(INT(I219)&gt;='3월 등급 정보'!$D$8,6,IF(INT(I219)&gt;='3월 등급 정보'!$D$9,7,IF(INT(I219)&gt;='3월 등급 정보'!$D$10,8,IF(INT(I219)&gt;='3월 등급 정보'!$D$11,9)))))))))</f>
        <v>5</v>
      </c>
      <c r="M219" s="34">
        <v>48</v>
      </c>
      <c r="N219" s="33"/>
      <c r="O219" s="33"/>
      <c r="P219" s="33">
        <f>IF(INT(M219)&gt;='3월 등급 정보'!$E$3,1,IF(INT(M219)&gt;='3월 등급 정보'!$E$4,2,IF(INT(M219)&gt;='3월 등급 정보'!$E$5,3,IF(INT(M219)&gt;='3월 등급 정보'!$E$6,4,IF(INT(M219)&gt;='3월 등급 정보'!$E$7,5,IF(INT(M219)&gt;='3월 등급 정보'!$E$8,6,IF(INT(M219)&gt;='3월 등급 정보'!$E$9,7,IF(INT(M219)&gt;='3월 등급 정보'!$E$10,8,IF(INT(M219)&gt;='3월 등급 정보'!$E$11,9)))))))))</f>
        <v>6</v>
      </c>
      <c r="Q219" s="34">
        <v>24.5</v>
      </c>
      <c r="R219" s="33"/>
      <c r="S219" s="33"/>
      <c r="T219" s="33">
        <f>IF(INT(Q219)&gt;='3월 등급 정보'!$F$3,1,IF(INT(Q219)&gt;='3월 등급 정보'!$F$4,2,IF(INT(Q219)&gt;='3월 등급 정보'!$F$5,3,IF(INT(Q219)&gt;='3월 등급 정보'!$F$6,4,IF(INT(Q219)&gt;='3월 등급 정보'!$F$7,5,IF(INT(Q219)&gt;='3월 등급 정보'!$F$8,6,IF(INT(Q219)&gt;='3월 등급 정보'!$F$9,7,IF(INT(Q219)&gt;='3월 등급 정보'!$F$10,8,IF(INT(Q219)&gt;='3월 등급 정보'!$F$11,9)))))))))</f>
        <v>6</v>
      </c>
      <c r="U219" s="34">
        <v>12.5</v>
      </c>
      <c r="V219" s="33"/>
      <c r="W219" s="33"/>
      <c r="X219" s="33">
        <f>IF(INT(U219)&gt;='3월 등급 정보'!$G$3,1,IF(INT(U219)&gt;='3월 등급 정보'!$G$4,2,IF(INT(U219)&gt;='3월 등급 정보'!$G$5,3,IF(INT(U219)&gt;='3월 등급 정보'!$G$6,4,IF(INT(U219)&gt;='3월 등급 정보'!$G$7,5,IF(INT(U219)&gt;='3월 등급 정보'!$G$8,6,IF(INT(U219)&gt;='3월 등급 정보'!$G$9,7,IF(INT(U219)&gt;='3월 등급 정보'!$G$10,8,IF(INT(U219)&gt;='3월 등급 정보'!$G$11,9)))))))))</f>
        <v>7</v>
      </c>
      <c r="Y219" s="34">
        <v>21</v>
      </c>
      <c r="Z219" s="33"/>
      <c r="AA219" s="33"/>
      <c r="AB219" s="33">
        <f>IF(INT(Y219)&gt;='3월 등급 정보'!$H$3,1,IF(INT(Y219)&gt;='3월 등급 정보'!$H$4,2,IF(INT(Y219)&gt;='3월 등급 정보'!$H$5,3,IF(INT(Y219)&gt;='3월 등급 정보'!$H$6,4,IF(INT(Y219)&gt;='3월 등급 정보'!$H$7,5,IF(INT(Y219)&gt;='3월 등급 정보'!$H$8,6,IF(INT(Y219)&gt;='3월 등급 정보'!$H$9,7,IF(INT(Y219)&gt;='3월 등급 정보'!$H$10,8,IF(INT(Y219)&gt;='3월 등급 정보'!$H$11,9)))))))))</f>
        <v>5</v>
      </c>
      <c r="AC219" s="33">
        <f>E219+I219+M219+Q219+U219</f>
        <v>170</v>
      </c>
      <c r="AD219" s="33">
        <f>RANK(AC219,$AC$3:$AC$273)</f>
        <v>215</v>
      </c>
    </row>
    <row r="220" spans="1:30" ht="17.25" customHeight="1">
      <c r="A220" s="33" t="s">
        <v>26</v>
      </c>
      <c r="B220" s="34">
        <v>9</v>
      </c>
      <c r="C220" s="34">
        <v>12</v>
      </c>
      <c r="D220" s="34" t="s">
        <v>249</v>
      </c>
      <c r="E220" s="34">
        <v>49</v>
      </c>
      <c r="F220" s="33"/>
      <c r="G220" s="33"/>
      <c r="H220" s="33">
        <f>IF(INT(E220)&gt;='3월 등급 정보'!$C$3,1,IF(INT(E220)&gt;='3월 등급 정보'!$C$4,2,IF(INT(E220)&gt;='3월 등급 정보'!$C$5,3,IF(INT(E220)&gt;='3월 등급 정보'!$C$6,4,IF(INT(E220)&gt;='3월 등급 정보'!$C$7,5,IF(INT(E220)&gt;='3월 등급 정보'!$C$8,6,IF(INT(E220)&gt;='3월 등급 정보'!$C$9,7,IF(INT(E220)&gt;='3월 등급 정보'!$C$10,8,IF(INT(E220)&gt;='3월 등급 정보'!$C$11,9)))))))))</f>
        <v>5</v>
      </c>
      <c r="I220" s="34">
        <v>45</v>
      </c>
      <c r="J220" s="33"/>
      <c r="K220" s="33"/>
      <c r="L220" s="33">
        <f>IF(INT(I220)&gt;='3월 등급 정보'!$D$3,1,IF(INT(I220)&gt;='3월 등급 정보'!$D$4,2,IF(INT(I220)&gt;='3월 등급 정보'!$D$5,3,IF(INT(I220)&gt;='3월 등급 정보'!$D$6,4,IF(INT(I220)&gt;='3월 등급 정보'!$D$7,5,IF(INT(I220)&gt;='3월 등급 정보'!$D$8,6,IF(INT(I220)&gt;='3월 등급 정보'!$D$9,7,IF(INT(I220)&gt;='3월 등급 정보'!$D$10,8,IF(INT(I220)&gt;='3월 등급 정보'!$D$11,9)))))))))</f>
        <v>5</v>
      </c>
      <c r="M220" s="34">
        <v>51</v>
      </c>
      <c r="N220" s="33"/>
      <c r="O220" s="33"/>
      <c r="P220" s="33">
        <f>IF(INT(M220)&gt;='3월 등급 정보'!$E$3,1,IF(INT(M220)&gt;='3월 등급 정보'!$E$4,2,IF(INT(M220)&gt;='3월 등급 정보'!$E$5,3,IF(INT(M220)&gt;='3월 등급 정보'!$E$6,4,IF(INT(M220)&gt;='3월 등급 정보'!$E$7,5,IF(INT(M220)&gt;='3월 등급 정보'!$E$8,6,IF(INT(M220)&gt;='3월 등급 정보'!$E$9,7,IF(INT(M220)&gt;='3월 등급 정보'!$E$10,8,IF(INT(M220)&gt;='3월 등급 정보'!$E$11,9)))))))))</f>
        <v>5</v>
      </c>
      <c r="Q220" s="34">
        <v>14</v>
      </c>
      <c r="R220" s="33"/>
      <c r="S220" s="33"/>
      <c r="T220" s="33">
        <f>IF(INT(Q220)&gt;='3월 등급 정보'!$F$3,1,IF(INT(Q220)&gt;='3월 등급 정보'!$F$4,2,IF(INT(Q220)&gt;='3월 등급 정보'!$F$5,3,IF(INT(Q220)&gt;='3월 등급 정보'!$F$6,4,IF(INT(Q220)&gt;='3월 등급 정보'!$F$7,5,IF(INT(Q220)&gt;='3월 등급 정보'!$F$8,6,IF(INT(Q220)&gt;='3월 등급 정보'!$F$9,7,IF(INT(Q220)&gt;='3월 등급 정보'!$F$10,8,IF(INT(Q220)&gt;='3월 등급 정보'!$F$11,9)))))))))</f>
        <v>7</v>
      </c>
      <c r="U220" s="34">
        <v>11</v>
      </c>
      <c r="V220" s="33"/>
      <c r="W220" s="33"/>
      <c r="X220" s="33">
        <f>IF(INT(U220)&gt;='3월 등급 정보'!$G$3,1,IF(INT(U220)&gt;='3월 등급 정보'!$G$4,2,IF(INT(U220)&gt;='3월 등급 정보'!$G$5,3,IF(INT(U220)&gt;='3월 등급 정보'!$G$6,4,IF(INT(U220)&gt;='3월 등급 정보'!$G$7,5,IF(INT(U220)&gt;='3월 등급 정보'!$G$8,6,IF(INT(U220)&gt;='3월 등급 정보'!$G$9,7,IF(INT(U220)&gt;='3월 등급 정보'!$G$10,8,IF(INT(U220)&gt;='3월 등급 정보'!$G$11,9)))))))))</f>
        <v>7</v>
      </c>
      <c r="Y220" s="34">
        <v>22</v>
      </c>
      <c r="Z220" s="33"/>
      <c r="AA220" s="33"/>
      <c r="AB220" s="33">
        <f>IF(INT(Y220)&gt;='3월 등급 정보'!$H$3,1,IF(INT(Y220)&gt;='3월 등급 정보'!$H$4,2,IF(INT(Y220)&gt;='3월 등급 정보'!$H$5,3,IF(INT(Y220)&gt;='3월 등급 정보'!$H$6,4,IF(INT(Y220)&gt;='3월 등급 정보'!$H$7,5,IF(INT(Y220)&gt;='3월 등급 정보'!$H$8,6,IF(INT(Y220)&gt;='3월 등급 정보'!$H$9,7,IF(INT(Y220)&gt;='3월 등급 정보'!$H$10,8,IF(INT(Y220)&gt;='3월 등급 정보'!$H$11,9)))))))))</f>
        <v>5</v>
      </c>
      <c r="AC220" s="33">
        <f>E220+I220+M220+Q220+U220</f>
        <v>170</v>
      </c>
      <c r="AD220" s="33">
        <f>RANK(AC220,$AC$3:$AC$273)</f>
        <v>215</v>
      </c>
    </row>
    <row r="221" spans="1:30" ht="17.25" customHeight="1">
      <c r="A221" s="33" t="s">
        <v>26</v>
      </c>
      <c r="B221" s="34">
        <v>6</v>
      </c>
      <c r="C221" s="34">
        <v>26</v>
      </c>
      <c r="D221" s="34" t="s">
        <v>184</v>
      </c>
      <c r="E221" s="34">
        <v>45</v>
      </c>
      <c r="F221" s="33"/>
      <c r="G221" s="33"/>
      <c r="H221" s="33">
        <f>IF(INT(E221)&gt;='3월 등급 정보'!$C$3,1,IF(INT(E221)&gt;='3월 등급 정보'!$C$4,2,IF(INT(E221)&gt;='3월 등급 정보'!$C$5,3,IF(INT(E221)&gt;='3월 등급 정보'!$C$6,4,IF(INT(E221)&gt;='3월 등급 정보'!$C$7,5,IF(INT(E221)&gt;='3월 등급 정보'!$C$8,6,IF(INT(E221)&gt;='3월 등급 정보'!$C$9,7,IF(INT(E221)&gt;='3월 등급 정보'!$C$10,8,IF(INT(E221)&gt;='3월 등급 정보'!$C$11,9)))))))))</f>
        <v>6</v>
      </c>
      <c r="I221" s="34">
        <v>35</v>
      </c>
      <c r="J221" s="33"/>
      <c r="K221" s="33"/>
      <c r="L221" s="33">
        <f>IF(INT(I221)&gt;='3월 등급 정보'!$D$3,1,IF(INT(I221)&gt;='3월 등급 정보'!$D$4,2,IF(INT(I221)&gt;='3월 등급 정보'!$D$5,3,IF(INT(I221)&gt;='3월 등급 정보'!$D$6,4,IF(INT(I221)&gt;='3월 등급 정보'!$D$7,5,IF(INT(I221)&gt;='3월 등급 정보'!$D$8,6,IF(INT(I221)&gt;='3월 등급 정보'!$D$9,7,IF(INT(I221)&gt;='3월 등급 정보'!$D$10,8,IF(INT(I221)&gt;='3월 등급 정보'!$D$11,9)))))))))</f>
        <v>6</v>
      </c>
      <c r="M221" s="34">
        <v>52</v>
      </c>
      <c r="N221" s="33"/>
      <c r="O221" s="33"/>
      <c r="P221" s="33">
        <f>IF(INT(M221)&gt;='3월 등급 정보'!$E$3,1,IF(INT(M221)&gt;='3월 등급 정보'!$E$4,2,IF(INT(M221)&gt;='3월 등급 정보'!$E$5,3,IF(INT(M221)&gt;='3월 등급 정보'!$E$6,4,IF(INT(M221)&gt;='3월 등급 정보'!$E$7,5,IF(INT(M221)&gt;='3월 등급 정보'!$E$8,6,IF(INT(M221)&gt;='3월 등급 정보'!$E$9,7,IF(INT(M221)&gt;='3월 등급 정보'!$E$10,8,IF(INT(M221)&gt;='3월 등급 정보'!$E$11,9)))))))))</f>
        <v>5</v>
      </c>
      <c r="Q221" s="34">
        <v>19</v>
      </c>
      <c r="R221" s="33"/>
      <c r="S221" s="33"/>
      <c r="T221" s="33">
        <f>IF(INT(Q221)&gt;='3월 등급 정보'!$F$3,1,IF(INT(Q221)&gt;='3월 등급 정보'!$F$4,2,IF(INT(Q221)&gt;='3월 등급 정보'!$F$5,3,IF(INT(Q221)&gt;='3월 등급 정보'!$F$6,4,IF(INT(Q221)&gt;='3월 등급 정보'!$F$7,5,IF(INT(Q221)&gt;='3월 등급 정보'!$F$8,6,IF(INT(Q221)&gt;='3월 등급 정보'!$F$9,7,IF(INT(Q221)&gt;='3월 등급 정보'!$F$10,8,IF(INT(Q221)&gt;='3월 등급 정보'!$F$11,9)))))))))</f>
        <v>6</v>
      </c>
      <c r="U221" s="34">
        <v>18.5</v>
      </c>
      <c r="V221" s="33"/>
      <c r="W221" s="33"/>
      <c r="X221" s="33">
        <f>IF(INT(U221)&gt;='3월 등급 정보'!$G$3,1,IF(INT(U221)&gt;='3월 등급 정보'!$G$4,2,IF(INT(U221)&gt;='3월 등급 정보'!$G$5,3,IF(INT(U221)&gt;='3월 등급 정보'!$G$6,4,IF(INT(U221)&gt;='3월 등급 정보'!$G$7,5,IF(INT(U221)&gt;='3월 등급 정보'!$G$8,6,IF(INT(U221)&gt;='3월 등급 정보'!$G$9,7,IF(INT(U221)&gt;='3월 등급 정보'!$G$10,8,IF(INT(U221)&gt;='3월 등급 정보'!$G$11,9)))))))))</f>
        <v>6</v>
      </c>
      <c r="Y221" s="34">
        <v>22</v>
      </c>
      <c r="Z221" s="33"/>
      <c r="AA221" s="33"/>
      <c r="AB221" s="33">
        <f>IF(INT(Y221)&gt;='3월 등급 정보'!$H$3,1,IF(INT(Y221)&gt;='3월 등급 정보'!$H$4,2,IF(INT(Y221)&gt;='3월 등급 정보'!$H$5,3,IF(INT(Y221)&gt;='3월 등급 정보'!$H$6,4,IF(INT(Y221)&gt;='3월 등급 정보'!$H$7,5,IF(INT(Y221)&gt;='3월 등급 정보'!$H$8,6,IF(INT(Y221)&gt;='3월 등급 정보'!$H$9,7,IF(INT(Y221)&gt;='3월 등급 정보'!$H$10,8,IF(INT(Y221)&gt;='3월 등급 정보'!$H$11,9)))))))))</f>
        <v>5</v>
      </c>
      <c r="AC221" s="33">
        <f>E221+I221+M221+Q221+U221</f>
        <v>169.5</v>
      </c>
      <c r="AD221" s="33">
        <f>RANK(AC221,$AC$3:$AC$273)</f>
        <v>219</v>
      </c>
    </row>
    <row r="222" spans="1:30" ht="17.25" customHeight="1">
      <c r="A222" s="33" t="s">
        <v>26</v>
      </c>
      <c r="B222" s="34">
        <v>3</v>
      </c>
      <c r="C222" s="34">
        <v>16</v>
      </c>
      <c r="D222" s="34" t="s">
        <v>94</v>
      </c>
      <c r="E222" s="34">
        <v>54</v>
      </c>
      <c r="F222" s="33"/>
      <c r="G222" s="33"/>
      <c r="H222" s="33">
        <f>IF(INT(E222)&gt;='3월 등급 정보'!$C$3,1,IF(INT(E222)&gt;='3월 등급 정보'!$C$4,2,IF(INT(E222)&gt;='3월 등급 정보'!$C$5,3,IF(INT(E222)&gt;='3월 등급 정보'!$C$6,4,IF(INT(E222)&gt;='3월 등급 정보'!$C$7,5,IF(INT(E222)&gt;='3월 등급 정보'!$C$8,6,IF(INT(E222)&gt;='3월 등급 정보'!$C$9,7,IF(INT(E222)&gt;='3월 등급 정보'!$C$10,8,IF(INT(E222)&gt;='3월 등급 정보'!$C$11,9)))))))))</f>
        <v>5</v>
      </c>
      <c r="I222" s="34">
        <v>26</v>
      </c>
      <c r="J222" s="33"/>
      <c r="K222" s="33"/>
      <c r="L222" s="33">
        <f>IF(INT(I222)&gt;='3월 등급 정보'!$D$3,1,IF(INT(I222)&gt;='3월 등급 정보'!$D$4,2,IF(INT(I222)&gt;='3월 등급 정보'!$D$5,3,IF(INT(I222)&gt;='3월 등급 정보'!$D$6,4,IF(INT(I222)&gt;='3월 등급 정보'!$D$7,5,IF(INT(I222)&gt;='3월 등급 정보'!$D$8,6,IF(INT(I222)&gt;='3월 등급 정보'!$D$9,7,IF(INT(I222)&gt;='3월 등급 정보'!$D$10,8,IF(INT(I222)&gt;='3월 등급 정보'!$D$11,9)))))))))</f>
        <v>7</v>
      </c>
      <c r="M222" s="34">
        <v>37</v>
      </c>
      <c r="N222" s="33"/>
      <c r="O222" s="33"/>
      <c r="P222" s="33">
        <f>IF(INT(M222)&gt;='3월 등급 정보'!$E$3,1,IF(INT(M222)&gt;='3월 등급 정보'!$E$4,2,IF(INT(M222)&gt;='3월 등급 정보'!$E$5,3,IF(INT(M222)&gt;='3월 등급 정보'!$E$6,4,IF(INT(M222)&gt;='3월 등급 정보'!$E$7,5,IF(INT(M222)&gt;='3월 등급 정보'!$E$8,6,IF(INT(M222)&gt;='3월 등급 정보'!$E$9,7,IF(INT(M222)&gt;='3월 등급 정보'!$E$10,8,IF(INT(M222)&gt;='3월 등급 정보'!$E$11,9)))))))))</f>
        <v>7</v>
      </c>
      <c r="Q222" s="34">
        <v>29.5</v>
      </c>
      <c r="R222" s="33"/>
      <c r="S222" s="33"/>
      <c r="T222" s="33">
        <f>IF(INT(Q222)&gt;='3월 등급 정보'!$F$3,1,IF(INT(Q222)&gt;='3월 등급 정보'!$F$4,2,IF(INT(Q222)&gt;='3월 등급 정보'!$F$5,3,IF(INT(Q222)&gt;='3월 등급 정보'!$F$6,4,IF(INT(Q222)&gt;='3월 등급 정보'!$F$7,5,IF(INT(Q222)&gt;='3월 등급 정보'!$F$8,6,IF(INT(Q222)&gt;='3월 등급 정보'!$F$9,7,IF(INT(Q222)&gt;='3월 등급 정보'!$F$10,8,IF(INT(Q222)&gt;='3월 등급 정보'!$F$11,9)))))))))</f>
        <v>5</v>
      </c>
      <c r="U222" s="34">
        <v>21.5</v>
      </c>
      <c r="V222" s="33"/>
      <c r="W222" s="33"/>
      <c r="X222" s="33">
        <f>IF(INT(U222)&gt;='3월 등급 정보'!$G$3,1,IF(INT(U222)&gt;='3월 등급 정보'!$G$4,2,IF(INT(U222)&gt;='3월 등급 정보'!$G$5,3,IF(INT(U222)&gt;='3월 등급 정보'!$G$6,4,IF(INT(U222)&gt;='3월 등급 정보'!$G$7,5,IF(INT(U222)&gt;='3월 등급 정보'!$G$8,6,IF(INT(U222)&gt;='3월 등급 정보'!$G$9,7,IF(INT(U222)&gt;='3월 등급 정보'!$G$10,8,IF(INT(U222)&gt;='3월 등급 정보'!$G$11,9)))))))))</f>
        <v>5</v>
      </c>
      <c r="Y222" s="34">
        <v>17</v>
      </c>
      <c r="Z222" s="33"/>
      <c r="AA222" s="33"/>
      <c r="AB222" s="33">
        <f>IF(INT(Y222)&gt;='3월 등급 정보'!$H$3,1,IF(INT(Y222)&gt;='3월 등급 정보'!$H$4,2,IF(INT(Y222)&gt;='3월 등급 정보'!$H$5,3,IF(INT(Y222)&gt;='3월 등급 정보'!$H$6,4,IF(INT(Y222)&gt;='3월 등급 정보'!$H$7,5,IF(INT(Y222)&gt;='3월 등급 정보'!$H$8,6,IF(INT(Y222)&gt;='3월 등급 정보'!$H$9,7,IF(INT(Y222)&gt;='3월 등급 정보'!$H$10,8,IF(INT(Y222)&gt;='3월 등급 정보'!$H$11,9)))))))))</f>
        <v>6</v>
      </c>
      <c r="AC222" s="33">
        <f>E222+I222+M222+Q222+U222</f>
        <v>168</v>
      </c>
      <c r="AD222" s="33">
        <f>RANK(AC222,$AC$3:$AC$273)</f>
        <v>220</v>
      </c>
    </row>
    <row r="223" spans="1:30" ht="17.25" customHeight="1">
      <c r="A223" s="33" t="s">
        <v>26</v>
      </c>
      <c r="B223" s="34">
        <v>9</v>
      </c>
      <c r="C223" s="34">
        <v>2</v>
      </c>
      <c r="D223" s="34" t="s">
        <v>241</v>
      </c>
      <c r="E223" s="34">
        <v>45</v>
      </c>
      <c r="F223" s="33"/>
      <c r="G223" s="33"/>
      <c r="H223" s="33">
        <f>IF(INT(E223)&gt;='3월 등급 정보'!$C$3,1,IF(INT(E223)&gt;='3월 등급 정보'!$C$4,2,IF(INT(E223)&gt;='3월 등급 정보'!$C$5,3,IF(INT(E223)&gt;='3월 등급 정보'!$C$6,4,IF(INT(E223)&gt;='3월 등급 정보'!$C$7,5,IF(INT(E223)&gt;='3월 등급 정보'!$C$8,6,IF(INT(E223)&gt;='3월 등급 정보'!$C$9,7,IF(INT(E223)&gt;='3월 등급 정보'!$C$10,8,IF(INT(E223)&gt;='3월 등급 정보'!$C$11,9)))))))))</f>
        <v>6</v>
      </c>
      <c r="I223" s="34">
        <v>34</v>
      </c>
      <c r="J223" s="33"/>
      <c r="K223" s="33"/>
      <c r="L223" s="33">
        <f>IF(INT(I223)&gt;='3월 등급 정보'!$D$3,1,IF(INT(I223)&gt;='3월 등급 정보'!$D$4,2,IF(INT(I223)&gt;='3월 등급 정보'!$D$5,3,IF(INT(I223)&gt;='3월 등급 정보'!$D$6,4,IF(INT(I223)&gt;='3월 등급 정보'!$D$7,5,IF(INT(I223)&gt;='3월 등급 정보'!$D$8,6,IF(INT(I223)&gt;='3월 등급 정보'!$D$9,7,IF(INT(I223)&gt;='3월 등급 정보'!$D$10,8,IF(INT(I223)&gt;='3월 등급 정보'!$D$11,9)))))))))</f>
        <v>6</v>
      </c>
      <c r="M223" s="34">
        <v>42</v>
      </c>
      <c r="N223" s="33"/>
      <c r="O223" s="33"/>
      <c r="P223" s="33">
        <f>IF(INT(M223)&gt;='3월 등급 정보'!$E$3,1,IF(INT(M223)&gt;='3월 등급 정보'!$E$4,2,IF(INT(M223)&gt;='3월 등급 정보'!$E$5,3,IF(INT(M223)&gt;='3월 등급 정보'!$E$6,4,IF(INT(M223)&gt;='3월 등급 정보'!$E$7,5,IF(INT(M223)&gt;='3월 등급 정보'!$E$8,6,IF(INT(M223)&gt;='3월 등급 정보'!$E$9,7,IF(INT(M223)&gt;='3월 등급 정보'!$E$10,8,IF(INT(M223)&gt;='3월 등급 정보'!$E$11,9)))))))))</f>
        <v>6</v>
      </c>
      <c r="Q223" s="34">
        <v>33</v>
      </c>
      <c r="R223" s="33"/>
      <c r="S223" s="33"/>
      <c r="T223" s="33">
        <f>IF(INT(Q223)&gt;='3월 등급 정보'!$F$3,1,IF(INT(Q223)&gt;='3월 등급 정보'!$F$4,2,IF(INT(Q223)&gt;='3월 등급 정보'!$F$5,3,IF(INT(Q223)&gt;='3월 등급 정보'!$F$6,4,IF(INT(Q223)&gt;='3월 등급 정보'!$F$7,5,IF(INT(Q223)&gt;='3월 등급 정보'!$F$8,6,IF(INT(Q223)&gt;='3월 등급 정보'!$F$9,7,IF(INT(Q223)&gt;='3월 등급 정보'!$F$10,8,IF(INT(Q223)&gt;='3월 등급 정보'!$F$11,9)))))))))</f>
        <v>4</v>
      </c>
      <c r="U223" s="34">
        <v>14</v>
      </c>
      <c r="V223" s="33"/>
      <c r="W223" s="33"/>
      <c r="X223" s="33">
        <f>IF(INT(U223)&gt;='3월 등급 정보'!$G$3,1,IF(INT(U223)&gt;='3월 등급 정보'!$G$4,2,IF(INT(U223)&gt;='3월 등급 정보'!$G$5,3,IF(INT(U223)&gt;='3월 등급 정보'!$G$6,4,IF(INT(U223)&gt;='3월 등급 정보'!$G$7,5,IF(INT(U223)&gt;='3월 등급 정보'!$G$8,6,IF(INT(U223)&gt;='3월 등급 정보'!$G$9,7,IF(INT(U223)&gt;='3월 등급 정보'!$G$10,8,IF(INT(U223)&gt;='3월 등급 정보'!$G$11,9)))))))))</f>
        <v>6</v>
      </c>
      <c r="Y223" s="34">
        <v>28</v>
      </c>
      <c r="Z223" s="33"/>
      <c r="AA223" s="33"/>
      <c r="AB223" s="33">
        <f>IF(INT(Y223)&gt;='3월 등급 정보'!$H$3,1,IF(INT(Y223)&gt;='3월 등급 정보'!$H$4,2,IF(INT(Y223)&gt;='3월 등급 정보'!$H$5,3,IF(INT(Y223)&gt;='3월 등급 정보'!$H$6,4,IF(INT(Y223)&gt;='3월 등급 정보'!$H$7,5,IF(INT(Y223)&gt;='3월 등급 정보'!$H$8,6,IF(INT(Y223)&gt;='3월 등급 정보'!$H$9,7,IF(INT(Y223)&gt;='3월 등급 정보'!$H$10,8,IF(INT(Y223)&gt;='3월 등급 정보'!$H$11,9)))))))))</f>
        <v>4</v>
      </c>
      <c r="AC223" s="33">
        <f>E223+I223+M223+Q223+U223</f>
        <v>168</v>
      </c>
      <c r="AD223" s="33">
        <f>RANK(AC223,$AC$3:$AC$273)</f>
        <v>220</v>
      </c>
    </row>
    <row r="224" spans="1:30" ht="17.25" customHeight="1">
      <c r="A224" s="33" t="s">
        <v>26</v>
      </c>
      <c r="B224" s="34">
        <v>6</v>
      </c>
      <c r="C224" s="34">
        <v>8</v>
      </c>
      <c r="D224" s="34" t="s">
        <v>166</v>
      </c>
      <c r="E224" s="34">
        <v>42</v>
      </c>
      <c r="F224" s="33"/>
      <c r="G224" s="33"/>
      <c r="H224" s="33">
        <f>IF(INT(E224)&gt;='3월 등급 정보'!$C$3,1,IF(INT(E224)&gt;='3월 등급 정보'!$C$4,2,IF(INT(E224)&gt;='3월 등급 정보'!$C$5,3,IF(INT(E224)&gt;='3월 등급 정보'!$C$6,4,IF(INT(E224)&gt;='3월 등급 정보'!$C$7,5,IF(INT(E224)&gt;='3월 등급 정보'!$C$8,6,IF(INT(E224)&gt;='3월 등급 정보'!$C$9,7,IF(INT(E224)&gt;='3월 등급 정보'!$C$10,8,IF(INT(E224)&gt;='3월 등급 정보'!$C$11,9)))))))))</f>
        <v>6</v>
      </c>
      <c r="I224" s="34">
        <v>20</v>
      </c>
      <c r="J224" s="33"/>
      <c r="K224" s="33"/>
      <c r="L224" s="33">
        <f>IF(INT(I224)&gt;='3월 등급 정보'!$D$3,1,IF(INT(I224)&gt;='3월 등급 정보'!$D$4,2,IF(INT(I224)&gt;='3월 등급 정보'!$D$5,3,IF(INT(I224)&gt;='3월 등급 정보'!$D$6,4,IF(INT(I224)&gt;='3월 등급 정보'!$D$7,5,IF(INT(I224)&gt;='3월 등급 정보'!$D$8,6,IF(INT(I224)&gt;='3월 등급 정보'!$D$9,7,IF(INT(I224)&gt;='3월 등급 정보'!$D$10,8,IF(INT(I224)&gt;='3월 등급 정보'!$D$11,9)))))))))</f>
        <v>7</v>
      </c>
      <c r="M224" s="34">
        <v>50</v>
      </c>
      <c r="N224" s="33"/>
      <c r="O224" s="33"/>
      <c r="P224" s="33">
        <f>IF(INT(M224)&gt;='3월 등급 정보'!$E$3,1,IF(INT(M224)&gt;='3월 등급 정보'!$E$4,2,IF(INT(M224)&gt;='3월 등급 정보'!$E$5,3,IF(INT(M224)&gt;='3월 등급 정보'!$E$6,4,IF(INT(M224)&gt;='3월 등급 정보'!$E$7,5,IF(INT(M224)&gt;='3월 등급 정보'!$E$8,6,IF(INT(M224)&gt;='3월 등급 정보'!$E$9,7,IF(INT(M224)&gt;='3월 등급 정보'!$E$10,8,IF(INT(M224)&gt;='3월 등급 정보'!$E$11,9)))))))))</f>
        <v>5</v>
      </c>
      <c r="Q224" s="34">
        <v>34</v>
      </c>
      <c r="R224" s="33"/>
      <c r="S224" s="33"/>
      <c r="T224" s="33">
        <f>IF(INT(Q224)&gt;='3월 등급 정보'!$F$3,1,IF(INT(Q224)&gt;='3월 등급 정보'!$F$4,2,IF(INT(Q224)&gt;='3월 등급 정보'!$F$5,3,IF(INT(Q224)&gt;='3월 등급 정보'!$F$6,4,IF(INT(Q224)&gt;='3월 등급 정보'!$F$7,5,IF(INT(Q224)&gt;='3월 등급 정보'!$F$8,6,IF(INT(Q224)&gt;='3월 등급 정보'!$F$9,7,IF(INT(Q224)&gt;='3월 등급 정보'!$F$10,8,IF(INT(Q224)&gt;='3월 등급 정보'!$F$11,9)))))))))</f>
        <v>4</v>
      </c>
      <c r="U224" s="34">
        <v>21.5</v>
      </c>
      <c r="V224" s="33"/>
      <c r="W224" s="33"/>
      <c r="X224" s="33">
        <f>IF(INT(U224)&gt;='3월 등급 정보'!$G$3,1,IF(INT(U224)&gt;='3월 등급 정보'!$G$4,2,IF(INT(U224)&gt;='3월 등급 정보'!$G$5,3,IF(INT(U224)&gt;='3월 등급 정보'!$G$6,4,IF(INT(U224)&gt;='3월 등급 정보'!$G$7,5,IF(INT(U224)&gt;='3월 등급 정보'!$G$8,6,IF(INT(U224)&gt;='3월 등급 정보'!$G$9,7,IF(INT(U224)&gt;='3월 등급 정보'!$G$10,8,IF(INT(U224)&gt;='3월 등급 정보'!$G$11,9)))))))))</f>
        <v>5</v>
      </c>
      <c r="Y224" s="34">
        <v>18</v>
      </c>
      <c r="Z224" s="33"/>
      <c r="AA224" s="33"/>
      <c r="AB224" s="33">
        <f>IF(INT(Y224)&gt;='3월 등급 정보'!$H$3,1,IF(INT(Y224)&gt;='3월 등급 정보'!$H$4,2,IF(INT(Y224)&gt;='3월 등급 정보'!$H$5,3,IF(INT(Y224)&gt;='3월 등급 정보'!$H$6,4,IF(INT(Y224)&gt;='3월 등급 정보'!$H$7,5,IF(INT(Y224)&gt;='3월 등급 정보'!$H$8,6,IF(INT(Y224)&gt;='3월 등급 정보'!$H$9,7,IF(INT(Y224)&gt;='3월 등급 정보'!$H$10,8,IF(INT(Y224)&gt;='3월 등급 정보'!$H$11,9)))))))))</f>
        <v>6</v>
      </c>
      <c r="AC224" s="33">
        <f>E224+I224+M224+Q224+U224</f>
        <v>167.5</v>
      </c>
      <c r="AD224" s="33">
        <f>RANK(AC224,$AC$3:$AC$273)</f>
        <v>222</v>
      </c>
    </row>
    <row r="225" spans="1:30" ht="17.25" customHeight="1">
      <c r="A225" s="33" t="s">
        <v>26</v>
      </c>
      <c r="B225" s="34">
        <v>4</v>
      </c>
      <c r="C225" s="34">
        <v>2</v>
      </c>
      <c r="D225" s="34" t="s">
        <v>107</v>
      </c>
      <c r="E225" s="34">
        <v>55</v>
      </c>
      <c r="F225" s="33"/>
      <c r="G225" s="33"/>
      <c r="H225" s="33">
        <f>IF(INT(E225)&gt;='3월 등급 정보'!$C$3,1,IF(INT(E225)&gt;='3월 등급 정보'!$C$4,2,IF(INT(E225)&gt;='3월 등급 정보'!$C$5,3,IF(INT(E225)&gt;='3월 등급 정보'!$C$6,4,IF(INT(E225)&gt;='3월 등급 정보'!$C$7,5,IF(INT(E225)&gt;='3월 등급 정보'!$C$8,6,IF(INT(E225)&gt;='3월 등급 정보'!$C$9,7,IF(INT(E225)&gt;='3월 등급 정보'!$C$10,8,IF(INT(E225)&gt;='3월 등급 정보'!$C$11,9)))))))))</f>
        <v>5</v>
      </c>
      <c r="I225" s="34">
        <v>26</v>
      </c>
      <c r="J225" s="33"/>
      <c r="K225" s="33"/>
      <c r="L225" s="33">
        <f>IF(INT(I225)&gt;='3월 등급 정보'!$D$3,1,IF(INT(I225)&gt;='3월 등급 정보'!$D$4,2,IF(INT(I225)&gt;='3월 등급 정보'!$D$5,3,IF(INT(I225)&gt;='3월 등급 정보'!$D$6,4,IF(INT(I225)&gt;='3월 등급 정보'!$D$7,5,IF(INT(I225)&gt;='3월 등급 정보'!$D$8,6,IF(INT(I225)&gt;='3월 등급 정보'!$D$9,7,IF(INT(I225)&gt;='3월 등급 정보'!$D$10,8,IF(INT(I225)&gt;='3월 등급 정보'!$D$11,9)))))))))</f>
        <v>7</v>
      </c>
      <c r="M225" s="34">
        <v>37</v>
      </c>
      <c r="N225" s="33"/>
      <c r="O225" s="33"/>
      <c r="P225" s="33">
        <f>IF(INT(M225)&gt;='3월 등급 정보'!$E$3,1,IF(INT(M225)&gt;='3월 등급 정보'!$E$4,2,IF(INT(M225)&gt;='3월 등급 정보'!$E$5,3,IF(INT(M225)&gt;='3월 등급 정보'!$E$6,4,IF(INT(M225)&gt;='3월 등급 정보'!$E$7,5,IF(INT(M225)&gt;='3월 등급 정보'!$E$8,6,IF(INT(M225)&gt;='3월 등급 정보'!$E$9,7,IF(INT(M225)&gt;='3월 등급 정보'!$E$10,8,IF(INT(M225)&gt;='3월 등급 정보'!$E$11,9)))))))))</f>
        <v>7</v>
      </c>
      <c r="Q225" s="34">
        <v>33.5</v>
      </c>
      <c r="R225" s="33"/>
      <c r="S225" s="33"/>
      <c r="T225" s="33">
        <f>IF(INT(Q225)&gt;='3월 등급 정보'!$F$3,1,IF(INT(Q225)&gt;='3월 등급 정보'!$F$4,2,IF(INT(Q225)&gt;='3월 등급 정보'!$F$5,3,IF(INT(Q225)&gt;='3월 등급 정보'!$F$6,4,IF(INT(Q225)&gt;='3월 등급 정보'!$F$7,5,IF(INT(Q225)&gt;='3월 등급 정보'!$F$8,6,IF(INT(Q225)&gt;='3월 등급 정보'!$F$9,7,IF(INT(Q225)&gt;='3월 등급 정보'!$F$10,8,IF(INT(Q225)&gt;='3월 등급 정보'!$F$11,9)))))))))</f>
        <v>4</v>
      </c>
      <c r="U225" s="34">
        <v>15</v>
      </c>
      <c r="V225" s="33"/>
      <c r="W225" s="33"/>
      <c r="X225" s="33">
        <f>IF(INT(U225)&gt;='3월 등급 정보'!$G$3,1,IF(INT(U225)&gt;='3월 등급 정보'!$G$4,2,IF(INT(U225)&gt;='3월 등급 정보'!$G$5,3,IF(INT(U225)&gt;='3월 등급 정보'!$G$6,4,IF(INT(U225)&gt;='3월 등급 정보'!$G$7,5,IF(INT(U225)&gt;='3월 등급 정보'!$G$8,6,IF(INT(U225)&gt;='3월 등급 정보'!$G$9,7,IF(INT(U225)&gt;='3월 등급 정보'!$G$10,8,IF(INT(U225)&gt;='3월 등급 정보'!$G$11,9)))))))))</f>
        <v>6</v>
      </c>
      <c r="Y225" s="34">
        <v>36</v>
      </c>
      <c r="Z225" s="33"/>
      <c r="AA225" s="33"/>
      <c r="AB225" s="33">
        <f>IF(INT(Y225)&gt;='3월 등급 정보'!$H$3,1,IF(INT(Y225)&gt;='3월 등급 정보'!$H$4,2,IF(INT(Y225)&gt;='3월 등급 정보'!$H$5,3,IF(INT(Y225)&gt;='3월 등급 정보'!$H$6,4,IF(INT(Y225)&gt;='3월 등급 정보'!$H$7,5,IF(INT(Y225)&gt;='3월 등급 정보'!$H$8,6,IF(INT(Y225)&gt;='3월 등급 정보'!$H$9,7,IF(INT(Y225)&gt;='3월 등급 정보'!$H$10,8,IF(INT(Y225)&gt;='3월 등급 정보'!$H$11,9)))))))))</f>
        <v>2</v>
      </c>
      <c r="AC225" s="33">
        <f>E225+I225+M225+Q225+U225</f>
        <v>166.5</v>
      </c>
      <c r="AD225" s="33">
        <f>RANK(AC225,$AC$3:$AC$273)</f>
        <v>223</v>
      </c>
    </row>
    <row r="226" spans="1:30" ht="17.25" customHeight="1">
      <c r="A226" s="33" t="s">
        <v>26</v>
      </c>
      <c r="B226" s="34">
        <v>2</v>
      </c>
      <c r="C226" s="34">
        <v>20</v>
      </c>
      <c r="D226" s="34" t="s">
        <v>72</v>
      </c>
      <c r="E226" s="34">
        <v>45</v>
      </c>
      <c r="F226" s="33"/>
      <c r="G226" s="33"/>
      <c r="H226" s="33">
        <f>IF(INT(E226)&gt;='3월 등급 정보'!$C$3,1,IF(INT(E226)&gt;='3월 등급 정보'!$C$4,2,IF(INT(E226)&gt;='3월 등급 정보'!$C$5,3,IF(INT(E226)&gt;='3월 등급 정보'!$C$6,4,IF(INT(E226)&gt;='3월 등급 정보'!$C$7,5,IF(INT(E226)&gt;='3월 등급 정보'!$C$8,6,IF(INT(E226)&gt;='3월 등급 정보'!$C$9,7,IF(INT(E226)&gt;='3월 등급 정보'!$C$10,8,IF(INT(E226)&gt;='3월 등급 정보'!$C$11,9)))))))))</f>
        <v>6</v>
      </c>
      <c r="I226" s="34">
        <v>35</v>
      </c>
      <c r="J226" s="33"/>
      <c r="K226" s="33"/>
      <c r="L226" s="33">
        <f>IF(INT(I226)&gt;='3월 등급 정보'!$D$3,1,IF(INT(I226)&gt;='3월 등급 정보'!$D$4,2,IF(INT(I226)&gt;='3월 등급 정보'!$D$5,3,IF(INT(I226)&gt;='3월 등급 정보'!$D$6,4,IF(INT(I226)&gt;='3월 등급 정보'!$D$7,5,IF(INT(I226)&gt;='3월 등급 정보'!$D$8,6,IF(INT(I226)&gt;='3월 등급 정보'!$D$9,7,IF(INT(I226)&gt;='3월 등급 정보'!$D$10,8,IF(INT(I226)&gt;='3월 등급 정보'!$D$11,9)))))))))</f>
        <v>6</v>
      </c>
      <c r="M226" s="34">
        <v>39</v>
      </c>
      <c r="N226" s="33"/>
      <c r="O226" s="33"/>
      <c r="P226" s="33">
        <f>IF(INT(M226)&gt;='3월 등급 정보'!$E$3,1,IF(INT(M226)&gt;='3월 등급 정보'!$E$4,2,IF(INT(M226)&gt;='3월 등급 정보'!$E$5,3,IF(INT(M226)&gt;='3월 등급 정보'!$E$6,4,IF(INT(M226)&gt;='3월 등급 정보'!$E$7,5,IF(INT(M226)&gt;='3월 등급 정보'!$E$8,6,IF(INT(M226)&gt;='3월 등급 정보'!$E$9,7,IF(INT(M226)&gt;='3월 등급 정보'!$E$10,8,IF(INT(M226)&gt;='3월 등급 정보'!$E$11,9)))))))))</f>
        <v>7</v>
      </c>
      <c r="Q226" s="34">
        <v>32</v>
      </c>
      <c r="R226" s="33"/>
      <c r="S226" s="33"/>
      <c r="T226" s="33">
        <f>IF(INT(Q226)&gt;='3월 등급 정보'!$F$3,1,IF(INT(Q226)&gt;='3월 등급 정보'!$F$4,2,IF(INT(Q226)&gt;='3월 등급 정보'!$F$5,3,IF(INT(Q226)&gt;='3월 등급 정보'!$F$6,4,IF(INT(Q226)&gt;='3월 등급 정보'!$F$7,5,IF(INT(Q226)&gt;='3월 등급 정보'!$F$8,6,IF(INT(Q226)&gt;='3월 등급 정보'!$F$9,7,IF(INT(Q226)&gt;='3월 등급 정보'!$F$10,8,IF(INT(Q226)&gt;='3월 등급 정보'!$F$11,9)))))))))</f>
        <v>5</v>
      </c>
      <c r="U226" s="34">
        <v>15</v>
      </c>
      <c r="V226" s="33"/>
      <c r="W226" s="33"/>
      <c r="X226" s="33">
        <f>IF(INT(U226)&gt;='3월 등급 정보'!$G$3,1,IF(INT(U226)&gt;='3월 등급 정보'!$G$4,2,IF(INT(U226)&gt;='3월 등급 정보'!$G$5,3,IF(INT(U226)&gt;='3월 등급 정보'!$G$6,4,IF(INT(U226)&gt;='3월 등급 정보'!$G$7,5,IF(INT(U226)&gt;='3월 등급 정보'!$G$8,6,IF(INT(U226)&gt;='3월 등급 정보'!$G$9,7,IF(INT(U226)&gt;='3월 등급 정보'!$G$10,8,IF(INT(U226)&gt;='3월 등급 정보'!$G$11,9)))))))))</f>
        <v>6</v>
      </c>
      <c r="Y226" s="34">
        <v>25</v>
      </c>
      <c r="Z226" s="33"/>
      <c r="AA226" s="33"/>
      <c r="AB226" s="33">
        <f>IF(INT(Y226)&gt;='3월 등급 정보'!$H$3,1,IF(INT(Y226)&gt;='3월 등급 정보'!$H$4,2,IF(INT(Y226)&gt;='3월 등급 정보'!$H$5,3,IF(INT(Y226)&gt;='3월 등급 정보'!$H$6,4,IF(INT(Y226)&gt;='3월 등급 정보'!$H$7,5,IF(INT(Y226)&gt;='3월 등급 정보'!$H$8,6,IF(INT(Y226)&gt;='3월 등급 정보'!$H$9,7,IF(INT(Y226)&gt;='3월 등급 정보'!$H$10,8,IF(INT(Y226)&gt;='3월 등급 정보'!$H$11,9)))))))))</f>
        <v>4</v>
      </c>
      <c r="AC226" s="33">
        <f>E226+I226+M226+Q226+U226</f>
        <v>166</v>
      </c>
      <c r="AD226" s="33">
        <f>RANK(AC226,$AC$3:$AC$273)</f>
        <v>224</v>
      </c>
    </row>
    <row r="227" spans="1:30" ht="17.25" customHeight="1">
      <c r="A227" s="33" t="s">
        <v>26</v>
      </c>
      <c r="B227" s="34">
        <v>8</v>
      </c>
      <c r="C227" s="34">
        <v>24</v>
      </c>
      <c r="D227" s="34" t="s">
        <v>235</v>
      </c>
      <c r="E227" s="34">
        <v>50</v>
      </c>
      <c r="F227" s="33"/>
      <c r="G227" s="33"/>
      <c r="H227" s="33">
        <f>IF(INT(E227)&gt;='3월 등급 정보'!$C$3,1,IF(INT(E227)&gt;='3월 등급 정보'!$C$4,2,IF(INT(E227)&gt;='3월 등급 정보'!$C$5,3,IF(INT(E227)&gt;='3월 등급 정보'!$C$6,4,IF(INT(E227)&gt;='3월 등급 정보'!$C$7,5,IF(INT(E227)&gt;='3월 등급 정보'!$C$8,6,IF(INT(E227)&gt;='3월 등급 정보'!$C$9,7,IF(INT(E227)&gt;='3월 등급 정보'!$C$10,8,IF(INT(E227)&gt;='3월 등급 정보'!$C$11,9)))))))))</f>
        <v>5</v>
      </c>
      <c r="I227" s="34">
        <v>32</v>
      </c>
      <c r="J227" s="33"/>
      <c r="K227" s="33"/>
      <c r="L227" s="33">
        <f>IF(INT(I227)&gt;='3월 등급 정보'!$D$3,1,IF(INT(I227)&gt;='3월 등급 정보'!$D$4,2,IF(INT(I227)&gt;='3월 등급 정보'!$D$5,3,IF(INT(I227)&gt;='3월 등급 정보'!$D$6,4,IF(INT(I227)&gt;='3월 등급 정보'!$D$7,5,IF(INT(I227)&gt;='3월 등급 정보'!$D$8,6,IF(INT(I227)&gt;='3월 등급 정보'!$D$9,7,IF(INT(I227)&gt;='3월 등급 정보'!$D$10,8,IF(INT(I227)&gt;='3월 등급 정보'!$D$11,9)))))))))</f>
        <v>6</v>
      </c>
      <c r="M227" s="34">
        <v>50</v>
      </c>
      <c r="N227" s="33"/>
      <c r="O227" s="33"/>
      <c r="P227" s="33">
        <f>IF(INT(M227)&gt;='3월 등급 정보'!$E$3,1,IF(INT(M227)&gt;='3월 등급 정보'!$E$4,2,IF(INT(M227)&gt;='3월 등급 정보'!$E$5,3,IF(INT(M227)&gt;='3월 등급 정보'!$E$6,4,IF(INT(M227)&gt;='3월 등급 정보'!$E$7,5,IF(INT(M227)&gt;='3월 등급 정보'!$E$8,6,IF(INT(M227)&gt;='3월 등급 정보'!$E$9,7,IF(INT(M227)&gt;='3월 등급 정보'!$E$10,8,IF(INT(M227)&gt;='3월 등급 정보'!$E$11,9)))))))))</f>
        <v>5</v>
      </c>
      <c r="Q227" s="34">
        <v>17</v>
      </c>
      <c r="R227" s="33"/>
      <c r="S227" s="33"/>
      <c r="T227" s="33">
        <f>IF(INT(Q227)&gt;='3월 등급 정보'!$F$3,1,IF(INT(Q227)&gt;='3월 등급 정보'!$F$4,2,IF(INT(Q227)&gt;='3월 등급 정보'!$F$5,3,IF(INT(Q227)&gt;='3월 등급 정보'!$F$6,4,IF(INT(Q227)&gt;='3월 등급 정보'!$F$7,5,IF(INT(Q227)&gt;='3월 등급 정보'!$F$8,6,IF(INT(Q227)&gt;='3월 등급 정보'!$F$9,7,IF(INT(Q227)&gt;='3월 등급 정보'!$F$10,8,IF(INT(Q227)&gt;='3월 등급 정보'!$F$11,9)))))))))</f>
        <v>7</v>
      </c>
      <c r="U227" s="34">
        <v>16</v>
      </c>
      <c r="V227" s="33"/>
      <c r="W227" s="33"/>
      <c r="X227" s="33">
        <f>IF(INT(U227)&gt;='3월 등급 정보'!$G$3,1,IF(INT(U227)&gt;='3월 등급 정보'!$G$4,2,IF(INT(U227)&gt;='3월 등급 정보'!$G$5,3,IF(INT(U227)&gt;='3월 등급 정보'!$G$6,4,IF(INT(U227)&gt;='3월 등급 정보'!$G$7,5,IF(INT(U227)&gt;='3월 등급 정보'!$G$8,6,IF(INT(U227)&gt;='3월 등급 정보'!$G$9,7,IF(INT(U227)&gt;='3월 등급 정보'!$G$10,8,IF(INT(U227)&gt;='3월 등급 정보'!$G$11,9)))))))))</f>
        <v>6</v>
      </c>
      <c r="Y227" s="34">
        <v>17</v>
      </c>
      <c r="Z227" s="33"/>
      <c r="AA227" s="33"/>
      <c r="AB227" s="33">
        <f>IF(INT(Y227)&gt;='3월 등급 정보'!$H$3,1,IF(INT(Y227)&gt;='3월 등급 정보'!$H$4,2,IF(INT(Y227)&gt;='3월 등급 정보'!$H$5,3,IF(INT(Y227)&gt;='3월 등급 정보'!$H$6,4,IF(INT(Y227)&gt;='3월 등급 정보'!$H$7,5,IF(INT(Y227)&gt;='3월 등급 정보'!$H$8,6,IF(INT(Y227)&gt;='3월 등급 정보'!$H$9,7,IF(INT(Y227)&gt;='3월 등급 정보'!$H$10,8,IF(INT(Y227)&gt;='3월 등급 정보'!$H$11,9)))))))))</f>
        <v>6</v>
      </c>
      <c r="AC227" s="33">
        <f>E227+I227+M227+Q227+U227</f>
        <v>165</v>
      </c>
      <c r="AD227" s="33">
        <f>RANK(AC227,$AC$3:$AC$273)</f>
        <v>225</v>
      </c>
    </row>
    <row r="228" spans="1:30" ht="17.25" customHeight="1">
      <c r="A228" s="33" t="s">
        <v>26</v>
      </c>
      <c r="B228" s="34">
        <v>8</v>
      </c>
      <c r="C228" s="34">
        <v>26</v>
      </c>
      <c r="D228" s="34" t="s">
        <v>237</v>
      </c>
      <c r="E228" s="34">
        <v>48</v>
      </c>
      <c r="F228" s="33"/>
      <c r="G228" s="33"/>
      <c r="H228" s="33">
        <f>IF(INT(E228)&gt;='3월 등급 정보'!$C$3,1,IF(INT(E228)&gt;='3월 등급 정보'!$C$4,2,IF(INT(E228)&gt;='3월 등급 정보'!$C$5,3,IF(INT(E228)&gt;='3월 등급 정보'!$C$6,4,IF(INT(E228)&gt;='3월 등급 정보'!$C$7,5,IF(INT(E228)&gt;='3월 등급 정보'!$C$8,6,IF(INT(E228)&gt;='3월 등급 정보'!$C$9,7,IF(INT(E228)&gt;='3월 등급 정보'!$C$10,8,IF(INT(E228)&gt;='3월 등급 정보'!$C$11,9)))))))))</f>
        <v>5</v>
      </c>
      <c r="I228" s="34">
        <v>30</v>
      </c>
      <c r="J228" s="33"/>
      <c r="K228" s="33"/>
      <c r="L228" s="33">
        <f>IF(INT(I228)&gt;='3월 등급 정보'!$D$3,1,IF(INT(I228)&gt;='3월 등급 정보'!$D$4,2,IF(INT(I228)&gt;='3월 등급 정보'!$D$5,3,IF(INT(I228)&gt;='3월 등급 정보'!$D$6,4,IF(INT(I228)&gt;='3월 등급 정보'!$D$7,5,IF(INT(I228)&gt;='3월 등급 정보'!$D$8,6,IF(INT(I228)&gt;='3월 등급 정보'!$D$9,7,IF(INT(I228)&gt;='3월 등급 정보'!$D$10,8,IF(INT(I228)&gt;='3월 등급 정보'!$D$11,9)))))))))</f>
        <v>6</v>
      </c>
      <c r="M228" s="34">
        <v>57</v>
      </c>
      <c r="N228" s="33"/>
      <c r="O228" s="33"/>
      <c r="P228" s="33">
        <f>IF(INT(M228)&gt;='3월 등급 정보'!$E$3,1,IF(INT(M228)&gt;='3월 등급 정보'!$E$4,2,IF(INT(M228)&gt;='3월 등급 정보'!$E$5,3,IF(INT(M228)&gt;='3월 등급 정보'!$E$6,4,IF(INT(M228)&gt;='3월 등급 정보'!$E$7,5,IF(INT(M228)&gt;='3월 등급 정보'!$E$8,6,IF(INT(M228)&gt;='3월 등급 정보'!$E$9,7,IF(INT(M228)&gt;='3월 등급 정보'!$E$10,8,IF(INT(M228)&gt;='3월 등급 정보'!$E$11,9)))))))))</f>
        <v>5</v>
      </c>
      <c r="Q228" s="34">
        <v>21</v>
      </c>
      <c r="R228" s="33"/>
      <c r="S228" s="33"/>
      <c r="T228" s="33">
        <f>IF(INT(Q228)&gt;='3월 등급 정보'!$F$3,1,IF(INT(Q228)&gt;='3월 등급 정보'!$F$4,2,IF(INT(Q228)&gt;='3월 등급 정보'!$F$5,3,IF(INT(Q228)&gt;='3월 등급 정보'!$F$6,4,IF(INT(Q228)&gt;='3월 등급 정보'!$F$7,5,IF(INT(Q228)&gt;='3월 등급 정보'!$F$8,6,IF(INT(Q228)&gt;='3월 등급 정보'!$F$9,7,IF(INT(Q228)&gt;='3월 등급 정보'!$F$10,8,IF(INT(Q228)&gt;='3월 등급 정보'!$F$11,9)))))))))</f>
        <v>6</v>
      </c>
      <c r="U228" s="34">
        <v>8.5</v>
      </c>
      <c r="V228" s="33"/>
      <c r="W228" s="33"/>
      <c r="X228" s="33">
        <f>IF(INT(U228)&gt;='3월 등급 정보'!$G$3,1,IF(INT(U228)&gt;='3월 등급 정보'!$G$4,2,IF(INT(U228)&gt;='3월 등급 정보'!$G$5,3,IF(INT(U228)&gt;='3월 등급 정보'!$G$6,4,IF(INT(U228)&gt;='3월 등급 정보'!$G$7,5,IF(INT(U228)&gt;='3월 등급 정보'!$G$8,6,IF(INT(U228)&gt;='3월 등급 정보'!$G$9,7,IF(INT(U228)&gt;='3월 등급 정보'!$G$10,8,IF(INT(U228)&gt;='3월 등급 정보'!$G$11,9)))))))))</f>
        <v>8</v>
      </c>
      <c r="Y228" s="34">
        <v>21</v>
      </c>
      <c r="Z228" s="33"/>
      <c r="AA228" s="33"/>
      <c r="AB228" s="33">
        <f>IF(INT(Y228)&gt;='3월 등급 정보'!$H$3,1,IF(INT(Y228)&gt;='3월 등급 정보'!$H$4,2,IF(INT(Y228)&gt;='3월 등급 정보'!$H$5,3,IF(INT(Y228)&gt;='3월 등급 정보'!$H$6,4,IF(INT(Y228)&gt;='3월 등급 정보'!$H$7,5,IF(INT(Y228)&gt;='3월 등급 정보'!$H$8,6,IF(INT(Y228)&gt;='3월 등급 정보'!$H$9,7,IF(INT(Y228)&gt;='3월 등급 정보'!$H$10,8,IF(INT(Y228)&gt;='3월 등급 정보'!$H$11,9)))))))))</f>
        <v>5</v>
      </c>
      <c r="AC228" s="33">
        <f>E228+I228+M228+Q228+U228</f>
        <v>164.5</v>
      </c>
      <c r="AD228" s="33">
        <f>RANK(AC228,$AC$3:$AC$273)</f>
        <v>226</v>
      </c>
    </row>
    <row r="229" spans="1:30" ht="17.25" customHeight="1">
      <c r="A229" s="33" t="s">
        <v>26</v>
      </c>
      <c r="B229" s="34">
        <v>9</v>
      </c>
      <c r="C229" s="34">
        <v>22</v>
      </c>
      <c r="D229" s="34" t="s">
        <v>259</v>
      </c>
      <c r="E229" s="34">
        <v>43</v>
      </c>
      <c r="F229" s="33"/>
      <c r="G229" s="33"/>
      <c r="H229" s="33">
        <f>IF(INT(E229)&gt;='3월 등급 정보'!$C$3,1,IF(INT(E229)&gt;='3월 등급 정보'!$C$4,2,IF(INT(E229)&gt;='3월 등급 정보'!$C$5,3,IF(INT(E229)&gt;='3월 등급 정보'!$C$6,4,IF(INT(E229)&gt;='3월 등급 정보'!$C$7,5,IF(INT(E229)&gt;='3월 등급 정보'!$C$8,6,IF(INT(E229)&gt;='3월 등급 정보'!$C$9,7,IF(INT(E229)&gt;='3월 등급 정보'!$C$10,8,IF(INT(E229)&gt;='3월 등급 정보'!$C$11,9)))))))))</f>
        <v>6</v>
      </c>
      <c r="I229" s="34">
        <v>32</v>
      </c>
      <c r="J229" s="33"/>
      <c r="K229" s="33"/>
      <c r="L229" s="33">
        <f>IF(INT(I229)&gt;='3월 등급 정보'!$D$3,1,IF(INT(I229)&gt;='3월 등급 정보'!$D$4,2,IF(INT(I229)&gt;='3월 등급 정보'!$D$5,3,IF(INT(I229)&gt;='3월 등급 정보'!$D$6,4,IF(INT(I229)&gt;='3월 등급 정보'!$D$7,5,IF(INT(I229)&gt;='3월 등급 정보'!$D$8,6,IF(INT(I229)&gt;='3월 등급 정보'!$D$9,7,IF(INT(I229)&gt;='3월 등급 정보'!$D$10,8,IF(INT(I229)&gt;='3월 등급 정보'!$D$11,9)))))))))</f>
        <v>6</v>
      </c>
      <c r="M229" s="34">
        <v>48</v>
      </c>
      <c r="N229" s="33"/>
      <c r="O229" s="33"/>
      <c r="P229" s="33">
        <f>IF(INT(M229)&gt;='3월 등급 정보'!$E$3,1,IF(INT(M229)&gt;='3월 등급 정보'!$E$4,2,IF(INT(M229)&gt;='3월 등급 정보'!$E$5,3,IF(INT(M229)&gt;='3월 등급 정보'!$E$6,4,IF(INT(M229)&gt;='3월 등급 정보'!$E$7,5,IF(INT(M229)&gt;='3월 등급 정보'!$E$8,6,IF(INT(M229)&gt;='3월 등급 정보'!$E$9,7,IF(INT(M229)&gt;='3월 등급 정보'!$E$10,8,IF(INT(M229)&gt;='3월 등급 정보'!$E$11,9)))))))))</f>
        <v>6</v>
      </c>
      <c r="Q229" s="34">
        <v>24.5</v>
      </c>
      <c r="R229" s="33"/>
      <c r="S229" s="33"/>
      <c r="T229" s="33">
        <f>IF(INT(Q229)&gt;='3월 등급 정보'!$F$3,1,IF(INT(Q229)&gt;='3월 등급 정보'!$F$4,2,IF(INT(Q229)&gt;='3월 등급 정보'!$F$5,3,IF(INT(Q229)&gt;='3월 등급 정보'!$F$6,4,IF(INT(Q229)&gt;='3월 등급 정보'!$F$7,5,IF(INT(Q229)&gt;='3월 등급 정보'!$F$8,6,IF(INT(Q229)&gt;='3월 등급 정보'!$F$9,7,IF(INT(Q229)&gt;='3월 등급 정보'!$F$10,8,IF(INT(Q229)&gt;='3월 등급 정보'!$F$11,9)))))))))</f>
        <v>6</v>
      </c>
      <c r="U229" s="34">
        <v>17</v>
      </c>
      <c r="V229" s="33"/>
      <c r="W229" s="33"/>
      <c r="X229" s="33">
        <f>IF(INT(U229)&gt;='3월 등급 정보'!$G$3,1,IF(INT(U229)&gt;='3월 등급 정보'!$G$4,2,IF(INT(U229)&gt;='3월 등급 정보'!$G$5,3,IF(INT(U229)&gt;='3월 등급 정보'!$G$6,4,IF(INT(U229)&gt;='3월 등급 정보'!$G$7,5,IF(INT(U229)&gt;='3월 등급 정보'!$G$8,6,IF(INT(U229)&gt;='3월 등급 정보'!$G$9,7,IF(INT(U229)&gt;='3월 등급 정보'!$G$10,8,IF(INT(U229)&gt;='3월 등급 정보'!$G$11,9)))))))))</f>
        <v>6</v>
      </c>
      <c r="Y229" s="34">
        <v>20</v>
      </c>
      <c r="Z229" s="33"/>
      <c r="AA229" s="33"/>
      <c r="AB229" s="33">
        <f>IF(INT(Y229)&gt;='3월 등급 정보'!$H$3,1,IF(INT(Y229)&gt;='3월 등급 정보'!$H$4,2,IF(INT(Y229)&gt;='3월 등급 정보'!$H$5,3,IF(INT(Y229)&gt;='3월 등급 정보'!$H$6,4,IF(INT(Y229)&gt;='3월 등급 정보'!$H$7,5,IF(INT(Y229)&gt;='3월 등급 정보'!$H$8,6,IF(INT(Y229)&gt;='3월 등급 정보'!$H$9,7,IF(INT(Y229)&gt;='3월 등급 정보'!$H$10,8,IF(INT(Y229)&gt;='3월 등급 정보'!$H$11,9)))))))))</f>
        <v>5</v>
      </c>
      <c r="AC229" s="33">
        <f>E229+I229+M229+Q229+U229</f>
        <v>164.5</v>
      </c>
      <c r="AD229" s="33">
        <f>RANK(AC229,$AC$3:$AC$273)</f>
        <v>226</v>
      </c>
    </row>
    <row r="230" spans="1:30" ht="17.25" customHeight="1">
      <c r="A230" s="33" t="s">
        <v>26</v>
      </c>
      <c r="B230" s="34">
        <v>5</v>
      </c>
      <c r="C230" s="34">
        <v>13</v>
      </c>
      <c r="D230" s="34" t="s">
        <v>144</v>
      </c>
      <c r="E230" s="34">
        <v>38</v>
      </c>
      <c r="F230" s="33"/>
      <c r="G230" s="33"/>
      <c r="H230" s="33">
        <f>IF(INT(E230)&gt;='3월 등급 정보'!$C$3,1,IF(INT(E230)&gt;='3월 등급 정보'!$C$4,2,IF(INT(E230)&gt;='3월 등급 정보'!$C$5,3,IF(INT(E230)&gt;='3월 등급 정보'!$C$6,4,IF(INT(E230)&gt;='3월 등급 정보'!$C$7,5,IF(INT(E230)&gt;='3월 등급 정보'!$C$8,6,IF(INT(E230)&gt;='3월 등급 정보'!$C$9,7,IF(INT(E230)&gt;='3월 등급 정보'!$C$10,8,IF(INT(E230)&gt;='3월 등급 정보'!$C$11,9)))))))))</f>
        <v>6</v>
      </c>
      <c r="I230" s="34">
        <v>18</v>
      </c>
      <c r="J230" s="33"/>
      <c r="K230" s="33"/>
      <c r="L230" s="33">
        <f>IF(INT(I230)&gt;='3월 등급 정보'!$D$3,1,IF(INT(I230)&gt;='3월 등급 정보'!$D$4,2,IF(INT(I230)&gt;='3월 등급 정보'!$D$5,3,IF(INT(I230)&gt;='3월 등급 정보'!$D$6,4,IF(INT(I230)&gt;='3월 등급 정보'!$D$7,5,IF(INT(I230)&gt;='3월 등급 정보'!$D$8,6,IF(INT(I230)&gt;='3월 등급 정보'!$D$9,7,IF(INT(I230)&gt;='3월 등급 정보'!$D$10,8,IF(INT(I230)&gt;='3월 등급 정보'!$D$11,9)))))))))</f>
        <v>8</v>
      </c>
      <c r="M230" s="34">
        <v>58</v>
      </c>
      <c r="N230" s="33"/>
      <c r="O230" s="33"/>
      <c r="P230" s="33">
        <f>IF(INT(M230)&gt;='3월 등급 정보'!$E$3,1,IF(INT(M230)&gt;='3월 등급 정보'!$E$4,2,IF(INT(M230)&gt;='3월 등급 정보'!$E$5,3,IF(INT(M230)&gt;='3월 등급 정보'!$E$6,4,IF(INT(M230)&gt;='3월 등급 정보'!$E$7,5,IF(INT(M230)&gt;='3월 등급 정보'!$E$8,6,IF(INT(M230)&gt;='3월 등급 정보'!$E$9,7,IF(INT(M230)&gt;='3월 등급 정보'!$E$10,8,IF(INT(M230)&gt;='3월 등급 정보'!$E$11,9)))))))))</f>
        <v>5</v>
      </c>
      <c r="Q230" s="34">
        <v>29.5</v>
      </c>
      <c r="R230" s="33"/>
      <c r="S230" s="33"/>
      <c r="T230" s="33">
        <f>IF(INT(Q230)&gt;='3월 등급 정보'!$F$3,1,IF(INT(Q230)&gt;='3월 등급 정보'!$F$4,2,IF(INT(Q230)&gt;='3월 등급 정보'!$F$5,3,IF(INT(Q230)&gt;='3월 등급 정보'!$F$6,4,IF(INT(Q230)&gt;='3월 등급 정보'!$F$7,5,IF(INT(Q230)&gt;='3월 등급 정보'!$F$8,6,IF(INT(Q230)&gt;='3월 등급 정보'!$F$9,7,IF(INT(Q230)&gt;='3월 등급 정보'!$F$10,8,IF(INT(Q230)&gt;='3월 등급 정보'!$F$11,9)))))))))</f>
        <v>5</v>
      </c>
      <c r="U230" s="34">
        <v>19.5</v>
      </c>
      <c r="V230" s="33"/>
      <c r="W230" s="33"/>
      <c r="X230" s="33">
        <f>IF(INT(U230)&gt;='3월 등급 정보'!$G$3,1,IF(INT(U230)&gt;='3월 등급 정보'!$G$4,2,IF(INT(U230)&gt;='3월 등급 정보'!$G$5,3,IF(INT(U230)&gt;='3월 등급 정보'!$G$6,4,IF(INT(U230)&gt;='3월 등급 정보'!$G$7,5,IF(INT(U230)&gt;='3월 등급 정보'!$G$8,6,IF(INT(U230)&gt;='3월 등급 정보'!$G$9,7,IF(INT(U230)&gt;='3월 등급 정보'!$G$10,8,IF(INT(U230)&gt;='3월 등급 정보'!$G$11,9)))))))))</f>
        <v>5</v>
      </c>
      <c r="Y230" s="34">
        <v>36</v>
      </c>
      <c r="Z230" s="33"/>
      <c r="AA230" s="33"/>
      <c r="AB230" s="33">
        <f>IF(INT(Y230)&gt;='3월 등급 정보'!$H$3,1,IF(INT(Y230)&gt;='3월 등급 정보'!$H$4,2,IF(INT(Y230)&gt;='3월 등급 정보'!$H$5,3,IF(INT(Y230)&gt;='3월 등급 정보'!$H$6,4,IF(INT(Y230)&gt;='3월 등급 정보'!$H$7,5,IF(INT(Y230)&gt;='3월 등급 정보'!$H$8,6,IF(INT(Y230)&gt;='3월 등급 정보'!$H$9,7,IF(INT(Y230)&gt;='3월 등급 정보'!$H$10,8,IF(INT(Y230)&gt;='3월 등급 정보'!$H$11,9)))))))))</f>
        <v>2</v>
      </c>
      <c r="AC230" s="33">
        <f>E230+I230+M230+Q230+U230</f>
        <v>163</v>
      </c>
      <c r="AD230" s="33">
        <f>RANK(AC230,$AC$3:$AC$273)</f>
        <v>228</v>
      </c>
    </row>
    <row r="231" spans="1:30" ht="17.25" customHeight="1">
      <c r="A231" s="33" t="s">
        <v>26</v>
      </c>
      <c r="B231" s="34">
        <v>10</v>
      </c>
      <c r="C231" s="34">
        <v>1</v>
      </c>
      <c r="D231" s="34" t="s">
        <v>265</v>
      </c>
      <c r="E231" s="34">
        <v>38</v>
      </c>
      <c r="F231" s="33"/>
      <c r="G231" s="33"/>
      <c r="H231" s="33">
        <f>IF(INT(E231)&gt;='3월 등급 정보'!$C$3,1,IF(INT(E231)&gt;='3월 등급 정보'!$C$4,2,IF(INT(E231)&gt;='3월 등급 정보'!$C$5,3,IF(INT(E231)&gt;='3월 등급 정보'!$C$6,4,IF(INT(E231)&gt;='3월 등급 정보'!$C$7,5,IF(INT(E231)&gt;='3월 등급 정보'!$C$8,6,IF(INT(E231)&gt;='3월 등급 정보'!$C$9,7,IF(INT(E231)&gt;='3월 등급 정보'!$C$10,8,IF(INT(E231)&gt;='3월 등급 정보'!$C$11,9)))))))))</f>
        <v>6</v>
      </c>
      <c r="I231" s="34">
        <v>29</v>
      </c>
      <c r="J231" s="33"/>
      <c r="K231" s="33"/>
      <c r="L231" s="33">
        <f>IF(INT(I231)&gt;='3월 등급 정보'!$D$3,1,IF(INT(I231)&gt;='3월 등급 정보'!$D$4,2,IF(INT(I231)&gt;='3월 등급 정보'!$D$5,3,IF(INT(I231)&gt;='3월 등급 정보'!$D$6,4,IF(INT(I231)&gt;='3월 등급 정보'!$D$7,5,IF(INT(I231)&gt;='3월 등급 정보'!$D$8,6,IF(INT(I231)&gt;='3월 등급 정보'!$D$9,7,IF(INT(I231)&gt;='3월 등급 정보'!$D$10,8,IF(INT(I231)&gt;='3월 등급 정보'!$D$11,9)))))))))</f>
        <v>6</v>
      </c>
      <c r="M231" s="34">
        <v>45</v>
      </c>
      <c r="N231" s="33"/>
      <c r="O231" s="33"/>
      <c r="P231" s="33">
        <f>IF(INT(M231)&gt;='3월 등급 정보'!$E$3,1,IF(INT(M231)&gt;='3월 등급 정보'!$E$4,2,IF(INT(M231)&gt;='3월 등급 정보'!$E$5,3,IF(INT(M231)&gt;='3월 등급 정보'!$E$6,4,IF(INT(M231)&gt;='3월 등급 정보'!$E$7,5,IF(INT(M231)&gt;='3월 등급 정보'!$E$8,6,IF(INT(M231)&gt;='3월 등급 정보'!$E$9,7,IF(INT(M231)&gt;='3월 등급 정보'!$E$10,8,IF(INT(M231)&gt;='3월 등급 정보'!$E$11,9)))))))))</f>
        <v>6</v>
      </c>
      <c r="Q231" s="34">
        <v>32</v>
      </c>
      <c r="R231" s="33"/>
      <c r="S231" s="33"/>
      <c r="T231" s="33">
        <f>IF(INT(Q231)&gt;='3월 등급 정보'!$F$3,1,IF(INT(Q231)&gt;='3월 등급 정보'!$F$4,2,IF(INT(Q231)&gt;='3월 등급 정보'!$F$5,3,IF(INT(Q231)&gt;='3월 등급 정보'!$F$6,4,IF(INT(Q231)&gt;='3월 등급 정보'!$F$7,5,IF(INT(Q231)&gt;='3월 등급 정보'!$F$8,6,IF(INT(Q231)&gt;='3월 등급 정보'!$F$9,7,IF(INT(Q231)&gt;='3월 등급 정보'!$F$10,8,IF(INT(Q231)&gt;='3월 등급 정보'!$F$11,9)))))))))</f>
        <v>5</v>
      </c>
      <c r="U231" s="34">
        <v>18</v>
      </c>
      <c r="V231" s="33"/>
      <c r="W231" s="33"/>
      <c r="X231" s="33">
        <f>IF(INT(U231)&gt;='3월 등급 정보'!$G$3,1,IF(INT(U231)&gt;='3월 등급 정보'!$G$4,2,IF(INT(U231)&gt;='3월 등급 정보'!$G$5,3,IF(INT(U231)&gt;='3월 등급 정보'!$G$6,4,IF(INT(U231)&gt;='3월 등급 정보'!$G$7,5,IF(INT(U231)&gt;='3월 등급 정보'!$G$8,6,IF(INT(U231)&gt;='3월 등급 정보'!$G$9,7,IF(INT(U231)&gt;='3월 등급 정보'!$G$10,8,IF(INT(U231)&gt;='3월 등급 정보'!$G$11,9)))))))))</f>
        <v>6</v>
      </c>
      <c r="Y231" s="34">
        <v>32</v>
      </c>
      <c r="Z231" s="33"/>
      <c r="AA231" s="33"/>
      <c r="AB231" s="33">
        <f>IF(INT(Y231)&gt;='3월 등급 정보'!$H$3,1,IF(INT(Y231)&gt;='3월 등급 정보'!$H$4,2,IF(INT(Y231)&gt;='3월 등급 정보'!$H$5,3,IF(INT(Y231)&gt;='3월 등급 정보'!$H$6,4,IF(INT(Y231)&gt;='3월 등급 정보'!$H$7,5,IF(INT(Y231)&gt;='3월 등급 정보'!$H$8,6,IF(INT(Y231)&gt;='3월 등급 정보'!$H$9,7,IF(INT(Y231)&gt;='3월 등급 정보'!$H$10,8,IF(INT(Y231)&gt;='3월 등급 정보'!$H$11,9)))))))))</f>
        <v>3</v>
      </c>
      <c r="AC231" s="33">
        <f>E231+I231+M231+Q231+U231</f>
        <v>162</v>
      </c>
      <c r="AD231" s="33">
        <f>RANK(AC231,$AC$3:$AC$273)</f>
        <v>229</v>
      </c>
    </row>
    <row r="232" spans="1:30" ht="17.25" customHeight="1">
      <c r="A232" s="33" t="s">
        <v>26</v>
      </c>
      <c r="B232" s="34">
        <v>3</v>
      </c>
      <c r="C232" s="34">
        <v>21</v>
      </c>
      <c r="D232" s="34" t="s">
        <v>98</v>
      </c>
      <c r="E232" s="34">
        <v>42</v>
      </c>
      <c r="F232" s="33"/>
      <c r="G232" s="33"/>
      <c r="H232" s="33">
        <f>IF(INT(E232)&gt;='3월 등급 정보'!$C$3,1,IF(INT(E232)&gt;='3월 등급 정보'!$C$4,2,IF(INT(E232)&gt;='3월 등급 정보'!$C$5,3,IF(INT(E232)&gt;='3월 등급 정보'!$C$6,4,IF(INT(E232)&gt;='3월 등급 정보'!$C$7,5,IF(INT(E232)&gt;='3월 등급 정보'!$C$8,6,IF(INT(E232)&gt;='3월 등급 정보'!$C$9,7,IF(INT(E232)&gt;='3월 등급 정보'!$C$10,8,IF(INT(E232)&gt;='3월 등급 정보'!$C$11,9)))))))))</f>
        <v>6</v>
      </c>
      <c r="I232" s="34">
        <v>27</v>
      </c>
      <c r="J232" s="33"/>
      <c r="K232" s="33"/>
      <c r="L232" s="33">
        <f>IF(INT(I232)&gt;='3월 등급 정보'!$D$3,1,IF(INT(I232)&gt;='3월 등급 정보'!$D$4,2,IF(INT(I232)&gt;='3월 등급 정보'!$D$5,3,IF(INT(I232)&gt;='3월 등급 정보'!$D$6,4,IF(INT(I232)&gt;='3월 등급 정보'!$D$7,5,IF(INT(I232)&gt;='3월 등급 정보'!$D$8,6,IF(INT(I232)&gt;='3월 등급 정보'!$D$9,7,IF(INT(I232)&gt;='3월 등급 정보'!$D$10,8,IF(INT(I232)&gt;='3월 등급 정보'!$D$11,9)))))))))</f>
        <v>7</v>
      </c>
      <c r="M232" s="34">
        <v>51</v>
      </c>
      <c r="N232" s="33"/>
      <c r="O232" s="33"/>
      <c r="P232" s="33">
        <f>IF(INT(M232)&gt;='3월 등급 정보'!$E$3,1,IF(INT(M232)&gt;='3월 등급 정보'!$E$4,2,IF(INT(M232)&gt;='3월 등급 정보'!$E$5,3,IF(INT(M232)&gt;='3월 등급 정보'!$E$6,4,IF(INT(M232)&gt;='3월 등급 정보'!$E$7,5,IF(INT(M232)&gt;='3월 등급 정보'!$E$8,6,IF(INT(M232)&gt;='3월 등급 정보'!$E$9,7,IF(INT(M232)&gt;='3월 등급 정보'!$E$10,8,IF(INT(M232)&gt;='3월 등급 정보'!$E$11,9)))))))))</f>
        <v>5</v>
      </c>
      <c r="Q232" s="34">
        <v>23</v>
      </c>
      <c r="R232" s="33"/>
      <c r="S232" s="33"/>
      <c r="T232" s="33">
        <f>IF(INT(Q232)&gt;='3월 등급 정보'!$F$3,1,IF(INT(Q232)&gt;='3월 등급 정보'!$F$4,2,IF(INT(Q232)&gt;='3월 등급 정보'!$F$5,3,IF(INT(Q232)&gt;='3월 등급 정보'!$F$6,4,IF(INT(Q232)&gt;='3월 등급 정보'!$F$7,5,IF(INT(Q232)&gt;='3월 등급 정보'!$F$8,6,IF(INT(Q232)&gt;='3월 등급 정보'!$F$9,7,IF(INT(Q232)&gt;='3월 등급 정보'!$F$10,8,IF(INT(Q232)&gt;='3월 등급 정보'!$F$11,9)))))))))</f>
        <v>6</v>
      </c>
      <c r="U232" s="34">
        <v>18</v>
      </c>
      <c r="V232" s="33"/>
      <c r="W232" s="33"/>
      <c r="X232" s="33">
        <f>IF(INT(U232)&gt;='3월 등급 정보'!$G$3,1,IF(INT(U232)&gt;='3월 등급 정보'!$G$4,2,IF(INT(U232)&gt;='3월 등급 정보'!$G$5,3,IF(INT(U232)&gt;='3월 등급 정보'!$G$6,4,IF(INT(U232)&gt;='3월 등급 정보'!$G$7,5,IF(INT(U232)&gt;='3월 등급 정보'!$G$8,6,IF(INT(U232)&gt;='3월 등급 정보'!$G$9,7,IF(INT(U232)&gt;='3월 등급 정보'!$G$10,8,IF(INT(U232)&gt;='3월 등급 정보'!$G$11,9)))))))))</f>
        <v>6</v>
      </c>
      <c r="Y232" s="34">
        <v>16</v>
      </c>
      <c r="Z232" s="33"/>
      <c r="AA232" s="33"/>
      <c r="AB232" s="33">
        <f>IF(INT(Y232)&gt;='3월 등급 정보'!$H$3,1,IF(INT(Y232)&gt;='3월 등급 정보'!$H$4,2,IF(INT(Y232)&gt;='3월 등급 정보'!$H$5,3,IF(INT(Y232)&gt;='3월 등급 정보'!$H$6,4,IF(INT(Y232)&gt;='3월 등급 정보'!$H$7,5,IF(INT(Y232)&gt;='3월 등급 정보'!$H$8,6,IF(INT(Y232)&gt;='3월 등급 정보'!$H$9,7,IF(INT(Y232)&gt;='3월 등급 정보'!$H$10,8,IF(INT(Y232)&gt;='3월 등급 정보'!$H$11,9)))))))))</f>
        <v>6</v>
      </c>
      <c r="AC232" s="33">
        <f>E232+I232+M232+Q232+U232</f>
        <v>161</v>
      </c>
      <c r="AD232" s="33">
        <f>RANK(AC232,$AC$3:$AC$273)</f>
        <v>230</v>
      </c>
    </row>
    <row r="233" spans="1:30" ht="17.25" customHeight="1">
      <c r="A233" s="33" t="s">
        <v>26</v>
      </c>
      <c r="B233" s="34">
        <v>1</v>
      </c>
      <c r="C233" s="34">
        <v>2</v>
      </c>
      <c r="D233" s="34" t="s">
        <v>29</v>
      </c>
      <c r="E233" s="34">
        <v>42</v>
      </c>
      <c r="F233" s="33"/>
      <c r="G233" s="33"/>
      <c r="H233" s="33">
        <f>IF(INT(E233)&gt;='3월 등급 정보'!$C$3,1,IF(INT(E233)&gt;='3월 등급 정보'!$C$4,2,IF(INT(E233)&gt;='3월 등급 정보'!$C$5,3,IF(INT(E233)&gt;='3월 등급 정보'!$C$6,4,IF(INT(E233)&gt;='3월 등급 정보'!$C$7,5,IF(INT(E233)&gt;='3월 등급 정보'!$C$8,6,IF(INT(E233)&gt;='3월 등급 정보'!$C$9,7,IF(INT(E233)&gt;='3월 등급 정보'!$C$10,8,IF(INT(E233)&gt;='3월 등급 정보'!$C$11,9)))))))))</f>
        <v>6</v>
      </c>
      <c r="I233" s="34">
        <v>38</v>
      </c>
      <c r="J233" s="33"/>
      <c r="K233" s="33"/>
      <c r="L233" s="33">
        <f>IF(INT(I233)&gt;='3월 등급 정보'!$D$3,1,IF(INT(I233)&gt;='3월 등급 정보'!$D$4,2,IF(INT(I233)&gt;='3월 등급 정보'!$D$5,3,IF(INT(I233)&gt;='3월 등급 정보'!$D$6,4,IF(INT(I233)&gt;='3월 등급 정보'!$D$7,5,IF(INT(I233)&gt;='3월 등급 정보'!$D$8,6,IF(INT(I233)&gt;='3월 등급 정보'!$D$9,7,IF(INT(I233)&gt;='3월 등급 정보'!$D$10,8,IF(INT(I233)&gt;='3월 등급 정보'!$D$11,9)))))))))</f>
        <v>5</v>
      </c>
      <c r="M233" s="34">
        <v>40</v>
      </c>
      <c r="N233" s="33"/>
      <c r="O233" s="33"/>
      <c r="P233" s="33">
        <f>IF(INT(M233)&gt;='3월 등급 정보'!$E$3,1,IF(INT(M233)&gt;='3월 등급 정보'!$E$4,2,IF(INT(M233)&gt;='3월 등급 정보'!$E$5,3,IF(INT(M233)&gt;='3월 등급 정보'!$E$6,4,IF(INT(M233)&gt;='3월 등급 정보'!$E$7,5,IF(INT(M233)&gt;='3월 등급 정보'!$E$8,6,IF(INT(M233)&gt;='3월 등급 정보'!$E$9,7,IF(INT(M233)&gt;='3월 등급 정보'!$E$10,8,IF(INT(M233)&gt;='3월 등급 정보'!$E$11,9)))))))))</f>
        <v>6</v>
      </c>
      <c r="Q233" s="34">
        <v>24.5</v>
      </c>
      <c r="R233" s="33"/>
      <c r="S233" s="33"/>
      <c r="T233" s="33">
        <f>IF(INT(Q233)&gt;='3월 등급 정보'!$F$3,1,IF(INT(Q233)&gt;='3월 등급 정보'!$F$4,2,IF(INT(Q233)&gt;='3월 등급 정보'!$F$5,3,IF(INT(Q233)&gt;='3월 등급 정보'!$F$6,4,IF(INT(Q233)&gt;='3월 등급 정보'!$F$7,5,IF(INT(Q233)&gt;='3월 등급 정보'!$F$8,6,IF(INT(Q233)&gt;='3월 등급 정보'!$F$9,7,IF(INT(Q233)&gt;='3월 등급 정보'!$F$10,8,IF(INT(Q233)&gt;='3월 등급 정보'!$F$11,9)))))))))</f>
        <v>6</v>
      </c>
      <c r="U233" s="34">
        <v>14</v>
      </c>
      <c r="V233" s="33"/>
      <c r="W233" s="33"/>
      <c r="X233" s="33">
        <f>IF(INT(U233)&gt;='3월 등급 정보'!$G$3,1,IF(INT(U233)&gt;='3월 등급 정보'!$G$4,2,IF(INT(U233)&gt;='3월 등급 정보'!$G$5,3,IF(INT(U233)&gt;='3월 등급 정보'!$G$6,4,IF(INT(U233)&gt;='3월 등급 정보'!$G$7,5,IF(INT(U233)&gt;='3월 등급 정보'!$G$8,6,IF(INT(U233)&gt;='3월 등급 정보'!$G$9,7,IF(INT(U233)&gt;='3월 등급 정보'!$G$10,8,IF(INT(U233)&gt;='3월 등급 정보'!$G$11,9)))))))))</f>
        <v>6</v>
      </c>
      <c r="Y233" s="34">
        <v>20</v>
      </c>
      <c r="Z233" s="33"/>
      <c r="AA233" s="33"/>
      <c r="AB233" s="33">
        <f>IF(INT(Y233)&gt;='3월 등급 정보'!$H$3,1,IF(INT(Y233)&gt;='3월 등급 정보'!$H$4,2,IF(INT(Y233)&gt;='3월 등급 정보'!$H$5,3,IF(INT(Y233)&gt;='3월 등급 정보'!$H$6,4,IF(INT(Y233)&gt;='3월 등급 정보'!$H$7,5,IF(INT(Y233)&gt;='3월 등급 정보'!$H$8,6,IF(INT(Y233)&gt;='3월 등급 정보'!$H$9,7,IF(INT(Y233)&gt;='3월 등급 정보'!$H$10,8,IF(INT(Y233)&gt;='3월 등급 정보'!$H$11,9)))))))))</f>
        <v>5</v>
      </c>
      <c r="AC233" s="33">
        <f>E233+I233+M233+Q233+U233</f>
        <v>158.5</v>
      </c>
      <c r="AD233" s="33">
        <f>RANK(AC233,$AC$3:$AC$273)</f>
        <v>231</v>
      </c>
    </row>
    <row r="234" spans="1:30" ht="17.25" customHeight="1">
      <c r="A234" s="33" t="s">
        <v>26</v>
      </c>
      <c r="B234" s="34">
        <v>2</v>
      </c>
      <c r="C234" s="34">
        <v>16</v>
      </c>
      <c r="D234" s="34" t="s">
        <v>68</v>
      </c>
      <c r="E234" s="34">
        <v>47</v>
      </c>
      <c r="F234" s="33"/>
      <c r="G234" s="33"/>
      <c r="H234" s="33">
        <f>IF(INT(E234)&gt;='3월 등급 정보'!$C$3,1,IF(INT(E234)&gt;='3월 등급 정보'!$C$4,2,IF(INT(E234)&gt;='3월 등급 정보'!$C$5,3,IF(INT(E234)&gt;='3월 등급 정보'!$C$6,4,IF(INT(E234)&gt;='3월 등급 정보'!$C$7,5,IF(INT(E234)&gt;='3월 등급 정보'!$C$8,6,IF(INT(E234)&gt;='3월 등급 정보'!$C$9,7,IF(INT(E234)&gt;='3월 등급 정보'!$C$10,8,IF(INT(E234)&gt;='3월 등급 정보'!$C$11,9)))))))))</f>
        <v>6</v>
      </c>
      <c r="I234" s="34">
        <v>31</v>
      </c>
      <c r="J234" s="33"/>
      <c r="K234" s="33"/>
      <c r="L234" s="33">
        <f>IF(INT(I234)&gt;='3월 등급 정보'!$D$3,1,IF(INT(I234)&gt;='3월 등급 정보'!$D$4,2,IF(INT(I234)&gt;='3월 등급 정보'!$D$5,3,IF(INT(I234)&gt;='3월 등급 정보'!$D$6,4,IF(INT(I234)&gt;='3월 등급 정보'!$D$7,5,IF(INT(I234)&gt;='3월 등급 정보'!$D$8,6,IF(INT(I234)&gt;='3월 등급 정보'!$D$9,7,IF(INT(I234)&gt;='3월 등급 정보'!$D$10,8,IF(INT(I234)&gt;='3월 등급 정보'!$D$11,9)))))))))</f>
        <v>6</v>
      </c>
      <c r="M234" s="34">
        <v>30</v>
      </c>
      <c r="N234" s="33"/>
      <c r="O234" s="33"/>
      <c r="P234" s="33">
        <f>IF(INT(M234)&gt;='3월 등급 정보'!$E$3,1,IF(INT(M234)&gt;='3월 등급 정보'!$E$4,2,IF(INT(M234)&gt;='3월 등급 정보'!$E$5,3,IF(INT(M234)&gt;='3월 등급 정보'!$E$6,4,IF(INT(M234)&gt;='3월 등급 정보'!$E$7,5,IF(INT(M234)&gt;='3월 등급 정보'!$E$8,6,IF(INT(M234)&gt;='3월 등급 정보'!$E$9,7,IF(INT(M234)&gt;='3월 등급 정보'!$E$10,8,IF(INT(M234)&gt;='3월 등급 정보'!$E$11,9)))))))))</f>
        <v>7</v>
      </c>
      <c r="Q234" s="34">
        <v>32.5</v>
      </c>
      <c r="R234" s="33"/>
      <c r="S234" s="33"/>
      <c r="T234" s="33">
        <f>IF(INT(Q234)&gt;='3월 등급 정보'!$F$3,1,IF(INT(Q234)&gt;='3월 등급 정보'!$F$4,2,IF(INT(Q234)&gt;='3월 등급 정보'!$F$5,3,IF(INT(Q234)&gt;='3월 등급 정보'!$F$6,4,IF(INT(Q234)&gt;='3월 등급 정보'!$F$7,5,IF(INT(Q234)&gt;='3월 등급 정보'!$F$8,6,IF(INT(Q234)&gt;='3월 등급 정보'!$F$9,7,IF(INT(Q234)&gt;='3월 등급 정보'!$F$10,8,IF(INT(Q234)&gt;='3월 등급 정보'!$F$11,9)))))))))</f>
        <v>5</v>
      </c>
      <c r="U234" s="34">
        <v>18</v>
      </c>
      <c r="V234" s="33"/>
      <c r="W234" s="33"/>
      <c r="X234" s="33">
        <f>IF(INT(U234)&gt;='3월 등급 정보'!$G$3,1,IF(INT(U234)&gt;='3월 등급 정보'!$G$4,2,IF(INT(U234)&gt;='3월 등급 정보'!$G$5,3,IF(INT(U234)&gt;='3월 등급 정보'!$G$6,4,IF(INT(U234)&gt;='3월 등급 정보'!$G$7,5,IF(INT(U234)&gt;='3월 등급 정보'!$G$8,6,IF(INT(U234)&gt;='3월 등급 정보'!$G$9,7,IF(INT(U234)&gt;='3월 등급 정보'!$G$10,8,IF(INT(U234)&gt;='3월 등급 정보'!$G$11,9)))))))))</f>
        <v>6</v>
      </c>
      <c r="Y234" s="34">
        <v>17</v>
      </c>
      <c r="Z234" s="33"/>
      <c r="AA234" s="33"/>
      <c r="AB234" s="33">
        <f>IF(INT(Y234)&gt;='3월 등급 정보'!$H$3,1,IF(INT(Y234)&gt;='3월 등급 정보'!$H$4,2,IF(INT(Y234)&gt;='3월 등급 정보'!$H$5,3,IF(INT(Y234)&gt;='3월 등급 정보'!$H$6,4,IF(INT(Y234)&gt;='3월 등급 정보'!$H$7,5,IF(INT(Y234)&gt;='3월 등급 정보'!$H$8,6,IF(INT(Y234)&gt;='3월 등급 정보'!$H$9,7,IF(INT(Y234)&gt;='3월 등급 정보'!$H$10,8,IF(INT(Y234)&gt;='3월 등급 정보'!$H$11,9)))))))))</f>
        <v>6</v>
      </c>
      <c r="AC234" s="33">
        <f>E234+I234+M234+Q234+U234</f>
        <v>158.5</v>
      </c>
      <c r="AD234" s="33">
        <f>RANK(AC234,$AC$3:$AC$273)</f>
        <v>231</v>
      </c>
    </row>
    <row r="235" spans="1:30" ht="17.25" customHeight="1">
      <c r="A235" s="33" t="s">
        <v>26</v>
      </c>
      <c r="B235" s="34">
        <v>1</v>
      </c>
      <c r="C235" s="34">
        <v>19</v>
      </c>
      <c r="D235" s="34" t="s">
        <v>46</v>
      </c>
      <c r="E235" s="34">
        <v>32</v>
      </c>
      <c r="F235" s="33"/>
      <c r="G235" s="33"/>
      <c r="H235" s="33">
        <f>IF(INT(E235)&gt;='3월 등급 정보'!$C$3,1,IF(INT(E235)&gt;='3월 등급 정보'!$C$4,2,IF(INT(E235)&gt;='3월 등급 정보'!$C$5,3,IF(INT(E235)&gt;='3월 등급 정보'!$C$6,4,IF(INT(E235)&gt;='3월 등급 정보'!$C$7,5,IF(INT(E235)&gt;='3월 등급 정보'!$C$8,6,IF(INT(E235)&gt;='3월 등급 정보'!$C$9,7,IF(INT(E235)&gt;='3월 등급 정보'!$C$10,8,IF(INT(E235)&gt;='3월 등급 정보'!$C$11,9)))))))))</f>
        <v>7</v>
      </c>
      <c r="I235" s="34">
        <v>32</v>
      </c>
      <c r="J235" s="33"/>
      <c r="K235" s="33"/>
      <c r="L235" s="33">
        <f>IF(INT(I235)&gt;='3월 등급 정보'!$D$3,1,IF(INT(I235)&gt;='3월 등급 정보'!$D$4,2,IF(INT(I235)&gt;='3월 등급 정보'!$D$5,3,IF(INT(I235)&gt;='3월 등급 정보'!$D$6,4,IF(INT(I235)&gt;='3월 등급 정보'!$D$7,5,IF(INT(I235)&gt;='3월 등급 정보'!$D$8,6,IF(INT(I235)&gt;='3월 등급 정보'!$D$9,7,IF(INT(I235)&gt;='3월 등급 정보'!$D$10,8,IF(INT(I235)&gt;='3월 등급 정보'!$D$11,9)))))))))</f>
        <v>6</v>
      </c>
      <c r="M235" s="34">
        <v>47</v>
      </c>
      <c r="N235" s="33"/>
      <c r="O235" s="33"/>
      <c r="P235" s="33">
        <f>IF(INT(M235)&gt;='3월 등급 정보'!$E$3,1,IF(INT(M235)&gt;='3월 등급 정보'!$E$4,2,IF(INT(M235)&gt;='3월 등급 정보'!$E$5,3,IF(INT(M235)&gt;='3월 등급 정보'!$E$6,4,IF(INT(M235)&gt;='3월 등급 정보'!$E$7,5,IF(INT(M235)&gt;='3월 등급 정보'!$E$8,6,IF(INT(M235)&gt;='3월 등급 정보'!$E$9,7,IF(INT(M235)&gt;='3월 등급 정보'!$E$10,8,IF(INT(M235)&gt;='3월 등급 정보'!$E$11,9)))))))))</f>
        <v>6</v>
      </c>
      <c r="Q235" s="34">
        <v>29.5</v>
      </c>
      <c r="R235" s="33"/>
      <c r="S235" s="33"/>
      <c r="T235" s="33">
        <f>IF(INT(Q235)&gt;='3월 등급 정보'!$F$3,1,IF(INT(Q235)&gt;='3월 등급 정보'!$F$4,2,IF(INT(Q235)&gt;='3월 등급 정보'!$F$5,3,IF(INT(Q235)&gt;='3월 등급 정보'!$F$6,4,IF(INT(Q235)&gt;='3월 등급 정보'!$F$7,5,IF(INT(Q235)&gt;='3월 등급 정보'!$F$8,6,IF(INT(Q235)&gt;='3월 등급 정보'!$F$9,7,IF(INT(Q235)&gt;='3월 등급 정보'!$F$10,8,IF(INT(Q235)&gt;='3월 등급 정보'!$F$11,9)))))))))</f>
        <v>5</v>
      </c>
      <c r="U235" s="34">
        <v>14.5</v>
      </c>
      <c r="V235" s="33"/>
      <c r="W235" s="33"/>
      <c r="X235" s="33">
        <f>IF(INT(U235)&gt;='3월 등급 정보'!$G$3,1,IF(INT(U235)&gt;='3월 등급 정보'!$G$4,2,IF(INT(U235)&gt;='3월 등급 정보'!$G$5,3,IF(INT(U235)&gt;='3월 등급 정보'!$G$6,4,IF(INT(U235)&gt;='3월 등급 정보'!$G$7,5,IF(INT(U235)&gt;='3월 등급 정보'!$G$8,6,IF(INT(U235)&gt;='3월 등급 정보'!$G$9,7,IF(INT(U235)&gt;='3월 등급 정보'!$G$10,8,IF(INT(U235)&gt;='3월 등급 정보'!$G$11,9)))))))))</f>
        <v>6</v>
      </c>
      <c r="Y235" s="34">
        <v>22</v>
      </c>
      <c r="Z235" s="33"/>
      <c r="AA235" s="33"/>
      <c r="AB235" s="33">
        <f>IF(INT(Y235)&gt;='3월 등급 정보'!$H$3,1,IF(INT(Y235)&gt;='3월 등급 정보'!$H$4,2,IF(INT(Y235)&gt;='3월 등급 정보'!$H$5,3,IF(INT(Y235)&gt;='3월 등급 정보'!$H$6,4,IF(INT(Y235)&gt;='3월 등급 정보'!$H$7,5,IF(INT(Y235)&gt;='3월 등급 정보'!$H$8,6,IF(INT(Y235)&gt;='3월 등급 정보'!$H$9,7,IF(INT(Y235)&gt;='3월 등급 정보'!$H$10,8,IF(INT(Y235)&gt;='3월 등급 정보'!$H$11,9)))))))))</f>
        <v>5</v>
      </c>
      <c r="AC235" s="33">
        <f>E235+I235+M235+Q235+U235</f>
        <v>155</v>
      </c>
      <c r="AD235" s="33">
        <f>RANK(AC235,$AC$3:$AC$273)</f>
        <v>233</v>
      </c>
    </row>
    <row r="236" spans="1:30" ht="17.25" customHeight="1">
      <c r="A236" s="33" t="s">
        <v>26</v>
      </c>
      <c r="B236" s="34">
        <v>6</v>
      </c>
      <c r="C236" s="34">
        <v>11</v>
      </c>
      <c r="D236" s="34" t="s">
        <v>169</v>
      </c>
      <c r="E236" s="34">
        <v>43</v>
      </c>
      <c r="F236" s="33"/>
      <c r="G236" s="33"/>
      <c r="H236" s="33">
        <f>IF(INT(E236)&gt;='3월 등급 정보'!$C$3,1,IF(INT(E236)&gt;='3월 등급 정보'!$C$4,2,IF(INT(E236)&gt;='3월 등급 정보'!$C$5,3,IF(INT(E236)&gt;='3월 등급 정보'!$C$6,4,IF(INT(E236)&gt;='3월 등급 정보'!$C$7,5,IF(INT(E236)&gt;='3월 등급 정보'!$C$8,6,IF(INT(E236)&gt;='3월 등급 정보'!$C$9,7,IF(INT(E236)&gt;='3월 등급 정보'!$C$10,8,IF(INT(E236)&gt;='3월 등급 정보'!$C$11,9)))))))))</f>
        <v>6</v>
      </c>
      <c r="I236" s="34">
        <v>49</v>
      </c>
      <c r="J236" s="33"/>
      <c r="K236" s="33"/>
      <c r="L236" s="33">
        <f>IF(INT(I236)&gt;='3월 등급 정보'!$D$3,1,IF(INT(I236)&gt;='3월 등급 정보'!$D$4,2,IF(INT(I236)&gt;='3월 등급 정보'!$D$5,3,IF(INT(I236)&gt;='3월 등급 정보'!$D$6,4,IF(INT(I236)&gt;='3월 등급 정보'!$D$7,5,IF(INT(I236)&gt;='3월 등급 정보'!$D$8,6,IF(INT(I236)&gt;='3월 등급 정보'!$D$9,7,IF(INT(I236)&gt;='3월 등급 정보'!$D$10,8,IF(INT(I236)&gt;='3월 등급 정보'!$D$11,9)))))))))</f>
        <v>5</v>
      </c>
      <c r="M236" s="34">
        <v>27</v>
      </c>
      <c r="N236" s="33"/>
      <c r="O236" s="33"/>
      <c r="P236" s="33">
        <f>IF(INT(M236)&gt;='3월 등급 정보'!$E$3,1,IF(INT(M236)&gt;='3월 등급 정보'!$E$4,2,IF(INT(M236)&gt;='3월 등급 정보'!$E$5,3,IF(INT(M236)&gt;='3월 등급 정보'!$E$6,4,IF(INT(M236)&gt;='3월 등급 정보'!$E$7,5,IF(INT(M236)&gt;='3월 등급 정보'!$E$8,6,IF(INT(M236)&gt;='3월 등급 정보'!$E$9,7,IF(INT(M236)&gt;='3월 등급 정보'!$E$10,8,IF(INT(M236)&gt;='3월 등급 정보'!$E$11,9)))))))))</f>
        <v>8</v>
      </c>
      <c r="Q236" s="34">
        <v>27</v>
      </c>
      <c r="R236" s="33"/>
      <c r="S236" s="33"/>
      <c r="T236" s="33">
        <f>IF(INT(Q236)&gt;='3월 등급 정보'!$F$3,1,IF(INT(Q236)&gt;='3월 등급 정보'!$F$4,2,IF(INT(Q236)&gt;='3월 등급 정보'!$F$5,3,IF(INT(Q236)&gt;='3월 등급 정보'!$F$6,4,IF(INT(Q236)&gt;='3월 등급 정보'!$F$7,5,IF(INT(Q236)&gt;='3월 등급 정보'!$F$8,6,IF(INT(Q236)&gt;='3월 등급 정보'!$F$9,7,IF(INT(Q236)&gt;='3월 등급 정보'!$F$10,8,IF(INT(Q236)&gt;='3월 등급 정보'!$F$11,9)))))))))</f>
        <v>5</v>
      </c>
      <c r="U236" s="34">
        <v>9</v>
      </c>
      <c r="V236" s="33"/>
      <c r="W236" s="33"/>
      <c r="X236" s="33">
        <f>IF(INT(U236)&gt;='3월 등급 정보'!$G$3,1,IF(INT(U236)&gt;='3월 등급 정보'!$G$4,2,IF(INT(U236)&gt;='3월 등급 정보'!$G$5,3,IF(INT(U236)&gt;='3월 등급 정보'!$G$6,4,IF(INT(U236)&gt;='3월 등급 정보'!$G$7,5,IF(INT(U236)&gt;='3월 등급 정보'!$G$8,6,IF(INT(U236)&gt;='3월 등급 정보'!$G$9,7,IF(INT(U236)&gt;='3월 등급 정보'!$G$10,8,IF(INT(U236)&gt;='3월 등급 정보'!$G$11,9)))))))))</f>
        <v>8</v>
      </c>
      <c r="Y236" s="34">
        <v>30</v>
      </c>
      <c r="Z236" s="33"/>
      <c r="AA236" s="33"/>
      <c r="AB236" s="33">
        <f>IF(INT(Y236)&gt;='3월 등급 정보'!$H$3,1,IF(INT(Y236)&gt;='3월 등급 정보'!$H$4,2,IF(INT(Y236)&gt;='3월 등급 정보'!$H$5,3,IF(INT(Y236)&gt;='3월 등급 정보'!$H$6,4,IF(INT(Y236)&gt;='3월 등급 정보'!$H$7,5,IF(INT(Y236)&gt;='3월 등급 정보'!$H$8,6,IF(INT(Y236)&gt;='3월 등급 정보'!$H$9,7,IF(INT(Y236)&gt;='3월 등급 정보'!$H$10,8,IF(INT(Y236)&gt;='3월 등급 정보'!$H$11,9)))))))))</f>
        <v>3</v>
      </c>
      <c r="AC236" s="33">
        <f>E236+I236+M236+Q236+U236</f>
        <v>155</v>
      </c>
      <c r="AD236" s="33">
        <f>RANK(AC236,$AC$3:$AC$273)</f>
        <v>233</v>
      </c>
    </row>
    <row r="237" spans="1:30" ht="17.25" customHeight="1">
      <c r="A237" s="33" t="s">
        <v>26</v>
      </c>
      <c r="B237" s="34">
        <v>8</v>
      </c>
      <c r="C237" s="34">
        <v>16</v>
      </c>
      <c r="D237" s="34" t="s">
        <v>176</v>
      </c>
      <c r="E237" s="34">
        <v>51</v>
      </c>
      <c r="F237" s="33"/>
      <c r="G237" s="33"/>
      <c r="H237" s="33">
        <f>IF(INT(E237)&gt;='3월 등급 정보'!$C$3,1,IF(INT(E237)&gt;='3월 등급 정보'!$C$4,2,IF(INT(E237)&gt;='3월 등급 정보'!$C$5,3,IF(INT(E237)&gt;='3월 등급 정보'!$C$6,4,IF(INT(E237)&gt;='3월 등급 정보'!$C$7,5,IF(INT(E237)&gt;='3월 등급 정보'!$C$8,6,IF(INT(E237)&gt;='3월 등급 정보'!$C$9,7,IF(INT(E237)&gt;='3월 등급 정보'!$C$10,8,IF(INT(E237)&gt;='3월 등급 정보'!$C$11,9)))))))))</f>
        <v>5</v>
      </c>
      <c r="I237" s="34">
        <v>25</v>
      </c>
      <c r="J237" s="33"/>
      <c r="K237" s="33"/>
      <c r="L237" s="33">
        <f>IF(INT(I237)&gt;='3월 등급 정보'!$D$3,1,IF(INT(I237)&gt;='3월 등급 정보'!$D$4,2,IF(INT(I237)&gt;='3월 등급 정보'!$D$5,3,IF(INT(I237)&gt;='3월 등급 정보'!$D$6,4,IF(INT(I237)&gt;='3월 등급 정보'!$D$7,5,IF(INT(I237)&gt;='3월 등급 정보'!$D$8,6,IF(INT(I237)&gt;='3월 등급 정보'!$D$9,7,IF(INT(I237)&gt;='3월 등급 정보'!$D$10,8,IF(INT(I237)&gt;='3월 등급 정보'!$D$11,9)))))))))</f>
        <v>7</v>
      </c>
      <c r="M237" s="34">
        <v>46</v>
      </c>
      <c r="N237" s="33"/>
      <c r="O237" s="33"/>
      <c r="P237" s="33">
        <f>IF(INT(M237)&gt;='3월 등급 정보'!$E$3,1,IF(INT(M237)&gt;='3월 등급 정보'!$E$4,2,IF(INT(M237)&gt;='3월 등급 정보'!$E$5,3,IF(INT(M237)&gt;='3월 등급 정보'!$E$6,4,IF(INT(M237)&gt;='3월 등급 정보'!$E$7,5,IF(INT(M237)&gt;='3월 등급 정보'!$E$8,6,IF(INT(M237)&gt;='3월 등급 정보'!$E$9,7,IF(INT(M237)&gt;='3월 등급 정보'!$E$10,8,IF(INT(M237)&gt;='3월 등급 정보'!$E$11,9)))))))))</f>
        <v>6</v>
      </c>
      <c r="Q237" s="34">
        <v>24.5</v>
      </c>
      <c r="R237" s="33"/>
      <c r="S237" s="33"/>
      <c r="T237" s="33">
        <f>IF(INT(Q237)&gt;='3월 등급 정보'!$F$3,1,IF(INT(Q237)&gt;='3월 등급 정보'!$F$4,2,IF(INT(Q237)&gt;='3월 등급 정보'!$F$5,3,IF(INT(Q237)&gt;='3월 등급 정보'!$F$6,4,IF(INT(Q237)&gt;='3월 등급 정보'!$F$7,5,IF(INT(Q237)&gt;='3월 등급 정보'!$F$8,6,IF(INT(Q237)&gt;='3월 등급 정보'!$F$9,7,IF(INT(Q237)&gt;='3월 등급 정보'!$F$10,8,IF(INT(Q237)&gt;='3월 등급 정보'!$F$11,9)))))))))</f>
        <v>6</v>
      </c>
      <c r="U237" s="34">
        <v>8.5</v>
      </c>
      <c r="V237" s="33"/>
      <c r="W237" s="33"/>
      <c r="X237" s="33">
        <f>IF(INT(U237)&gt;='3월 등급 정보'!$G$3,1,IF(INT(U237)&gt;='3월 등급 정보'!$G$4,2,IF(INT(U237)&gt;='3월 등급 정보'!$G$5,3,IF(INT(U237)&gt;='3월 등급 정보'!$G$6,4,IF(INT(U237)&gt;='3월 등급 정보'!$G$7,5,IF(INT(U237)&gt;='3월 등급 정보'!$G$8,6,IF(INT(U237)&gt;='3월 등급 정보'!$G$9,7,IF(INT(U237)&gt;='3월 등급 정보'!$G$10,8,IF(INT(U237)&gt;='3월 등급 정보'!$G$11,9)))))))))</f>
        <v>8</v>
      </c>
      <c r="Y237" s="34">
        <v>26</v>
      </c>
      <c r="Z237" s="33"/>
      <c r="AA237" s="33"/>
      <c r="AB237" s="33">
        <f>IF(INT(Y237)&gt;='3월 등급 정보'!$H$3,1,IF(INT(Y237)&gt;='3월 등급 정보'!$H$4,2,IF(INT(Y237)&gt;='3월 등급 정보'!$H$5,3,IF(INT(Y237)&gt;='3월 등급 정보'!$H$6,4,IF(INT(Y237)&gt;='3월 등급 정보'!$H$7,5,IF(INT(Y237)&gt;='3월 등급 정보'!$H$8,6,IF(INT(Y237)&gt;='3월 등급 정보'!$H$9,7,IF(INT(Y237)&gt;='3월 등급 정보'!$H$10,8,IF(INT(Y237)&gt;='3월 등급 정보'!$H$11,9)))))))))</f>
        <v>4</v>
      </c>
      <c r="AC237" s="33">
        <f>E237+I237+M237+Q237+U237</f>
        <v>155</v>
      </c>
      <c r="AD237" s="33">
        <f>RANK(AC237,$AC$3:$AC$273)</f>
        <v>233</v>
      </c>
    </row>
    <row r="238" spans="1:30" ht="17.25" customHeight="1">
      <c r="A238" s="33" t="s">
        <v>26</v>
      </c>
      <c r="B238" s="34">
        <v>4</v>
      </c>
      <c r="C238" s="34">
        <v>9</v>
      </c>
      <c r="D238" s="34" t="s">
        <v>114</v>
      </c>
      <c r="E238" s="34">
        <v>35</v>
      </c>
      <c r="F238" s="33"/>
      <c r="G238" s="33"/>
      <c r="H238" s="33">
        <f>IF(INT(E238)&gt;='3월 등급 정보'!$C$3,1,IF(INT(E238)&gt;='3월 등급 정보'!$C$4,2,IF(INT(E238)&gt;='3월 등급 정보'!$C$5,3,IF(INT(E238)&gt;='3월 등급 정보'!$C$6,4,IF(INT(E238)&gt;='3월 등급 정보'!$C$7,5,IF(INT(E238)&gt;='3월 등급 정보'!$C$8,6,IF(INT(E238)&gt;='3월 등급 정보'!$C$9,7,IF(INT(E238)&gt;='3월 등급 정보'!$C$10,8,IF(INT(E238)&gt;='3월 등급 정보'!$C$11,9)))))))))</f>
        <v>7</v>
      </c>
      <c r="I238" s="34">
        <v>12</v>
      </c>
      <c r="J238" s="33"/>
      <c r="K238" s="33"/>
      <c r="L238" s="33">
        <f>IF(INT(I238)&gt;='3월 등급 정보'!$D$3,1,IF(INT(I238)&gt;='3월 등급 정보'!$D$4,2,IF(INT(I238)&gt;='3월 등급 정보'!$D$5,3,IF(INT(I238)&gt;='3월 등급 정보'!$D$6,4,IF(INT(I238)&gt;='3월 등급 정보'!$D$7,5,IF(INT(I238)&gt;='3월 등급 정보'!$D$8,6,IF(INT(I238)&gt;='3월 등급 정보'!$D$9,7,IF(INT(I238)&gt;='3월 등급 정보'!$D$10,8,IF(INT(I238)&gt;='3월 등급 정보'!$D$11,9)))))))))</f>
        <v>9</v>
      </c>
      <c r="M238" s="34">
        <v>47</v>
      </c>
      <c r="N238" s="33"/>
      <c r="O238" s="33"/>
      <c r="P238" s="33">
        <f>IF(INT(M238)&gt;='3월 등급 정보'!$E$3,1,IF(INT(M238)&gt;='3월 등급 정보'!$E$4,2,IF(INT(M238)&gt;='3월 등급 정보'!$E$5,3,IF(INT(M238)&gt;='3월 등급 정보'!$E$6,4,IF(INT(M238)&gt;='3월 등급 정보'!$E$7,5,IF(INT(M238)&gt;='3월 등급 정보'!$E$8,6,IF(INT(M238)&gt;='3월 등급 정보'!$E$9,7,IF(INT(M238)&gt;='3월 등급 정보'!$E$10,8,IF(INT(M238)&gt;='3월 등급 정보'!$E$11,9)))))))))</f>
        <v>6</v>
      </c>
      <c r="Q238" s="34">
        <v>32.5</v>
      </c>
      <c r="R238" s="33"/>
      <c r="S238" s="33"/>
      <c r="T238" s="33">
        <f>IF(INT(Q238)&gt;='3월 등급 정보'!$F$3,1,IF(INT(Q238)&gt;='3월 등급 정보'!$F$4,2,IF(INT(Q238)&gt;='3월 등급 정보'!$F$5,3,IF(INT(Q238)&gt;='3월 등급 정보'!$F$6,4,IF(INT(Q238)&gt;='3월 등급 정보'!$F$7,5,IF(INT(Q238)&gt;='3월 등급 정보'!$F$8,6,IF(INT(Q238)&gt;='3월 등급 정보'!$F$9,7,IF(INT(Q238)&gt;='3월 등급 정보'!$F$10,8,IF(INT(Q238)&gt;='3월 등급 정보'!$F$11,9)))))))))</f>
        <v>5</v>
      </c>
      <c r="U238" s="34">
        <v>27.5</v>
      </c>
      <c r="V238" s="33"/>
      <c r="W238" s="33"/>
      <c r="X238" s="33">
        <f>IF(INT(U238)&gt;='3월 등급 정보'!$G$3,1,IF(INT(U238)&gt;='3월 등급 정보'!$G$4,2,IF(INT(U238)&gt;='3월 등급 정보'!$G$5,3,IF(INT(U238)&gt;='3월 등급 정보'!$G$6,4,IF(INT(U238)&gt;='3월 등급 정보'!$G$7,5,IF(INT(U238)&gt;='3월 등급 정보'!$G$8,6,IF(INT(U238)&gt;='3월 등급 정보'!$G$9,7,IF(INT(U238)&gt;='3월 등급 정보'!$G$10,8,IF(INT(U238)&gt;='3월 등급 정보'!$G$11,9)))))))))</f>
        <v>4</v>
      </c>
      <c r="Y238" s="34">
        <v>28</v>
      </c>
      <c r="Z238" s="33"/>
      <c r="AA238" s="33"/>
      <c r="AB238" s="33">
        <f>IF(INT(Y238)&gt;='3월 등급 정보'!$H$3,1,IF(INT(Y238)&gt;='3월 등급 정보'!$H$4,2,IF(INT(Y238)&gt;='3월 등급 정보'!$H$5,3,IF(INT(Y238)&gt;='3월 등급 정보'!$H$6,4,IF(INT(Y238)&gt;='3월 등급 정보'!$H$7,5,IF(INT(Y238)&gt;='3월 등급 정보'!$H$8,6,IF(INT(Y238)&gt;='3월 등급 정보'!$H$9,7,IF(INT(Y238)&gt;='3월 등급 정보'!$H$10,8,IF(INT(Y238)&gt;='3월 등급 정보'!$H$11,9)))))))))</f>
        <v>4</v>
      </c>
      <c r="AC238" s="33">
        <f>E238+I238+M238+Q238+U238</f>
        <v>154</v>
      </c>
      <c r="AD238" s="33">
        <f>RANK(AC238,$AC$3:$AC$273)</f>
        <v>236</v>
      </c>
    </row>
    <row r="239" spans="1:30" ht="17.25" customHeight="1">
      <c r="A239" s="33" t="s">
        <v>26</v>
      </c>
      <c r="B239" s="34">
        <v>7</v>
      </c>
      <c r="C239" s="34">
        <v>11</v>
      </c>
      <c r="D239" s="34" t="s">
        <v>197</v>
      </c>
      <c r="E239" s="34">
        <v>48</v>
      </c>
      <c r="F239" s="33"/>
      <c r="G239" s="33"/>
      <c r="H239" s="33">
        <f>IF(INT(E239)&gt;='3월 등급 정보'!$C$3,1,IF(INT(E239)&gt;='3월 등급 정보'!$C$4,2,IF(INT(E239)&gt;='3월 등급 정보'!$C$5,3,IF(INT(E239)&gt;='3월 등급 정보'!$C$6,4,IF(INT(E239)&gt;='3월 등급 정보'!$C$7,5,IF(INT(E239)&gt;='3월 등급 정보'!$C$8,6,IF(INT(E239)&gt;='3월 등급 정보'!$C$9,7,IF(INT(E239)&gt;='3월 등급 정보'!$C$10,8,IF(INT(E239)&gt;='3월 등급 정보'!$C$11,9)))))))))</f>
        <v>5</v>
      </c>
      <c r="I239" s="34">
        <v>26</v>
      </c>
      <c r="J239" s="33"/>
      <c r="K239" s="33"/>
      <c r="L239" s="33">
        <f>IF(INT(I239)&gt;='3월 등급 정보'!$D$3,1,IF(INT(I239)&gt;='3월 등급 정보'!$D$4,2,IF(INT(I239)&gt;='3월 등급 정보'!$D$5,3,IF(INT(I239)&gt;='3월 등급 정보'!$D$6,4,IF(INT(I239)&gt;='3월 등급 정보'!$D$7,5,IF(INT(I239)&gt;='3월 등급 정보'!$D$8,6,IF(INT(I239)&gt;='3월 등급 정보'!$D$9,7,IF(INT(I239)&gt;='3월 등급 정보'!$D$10,8,IF(INT(I239)&gt;='3월 등급 정보'!$D$11,9)))))))))</f>
        <v>7</v>
      </c>
      <c r="M239" s="34">
        <v>50</v>
      </c>
      <c r="N239" s="33"/>
      <c r="O239" s="33"/>
      <c r="P239" s="33">
        <f>IF(INT(M239)&gt;='3월 등급 정보'!$E$3,1,IF(INT(M239)&gt;='3월 등급 정보'!$E$4,2,IF(INT(M239)&gt;='3월 등급 정보'!$E$5,3,IF(INT(M239)&gt;='3월 등급 정보'!$E$6,4,IF(INT(M239)&gt;='3월 등급 정보'!$E$7,5,IF(INT(M239)&gt;='3월 등급 정보'!$E$8,6,IF(INT(M239)&gt;='3월 등급 정보'!$E$9,7,IF(INT(M239)&gt;='3월 등급 정보'!$E$10,8,IF(INT(M239)&gt;='3월 등급 정보'!$E$11,9)))))))))</f>
        <v>5</v>
      </c>
      <c r="Q239" s="34">
        <v>14.5</v>
      </c>
      <c r="R239" s="33"/>
      <c r="S239" s="33"/>
      <c r="T239" s="33">
        <f>IF(INT(Q239)&gt;='3월 등급 정보'!$F$3,1,IF(INT(Q239)&gt;='3월 등급 정보'!$F$4,2,IF(INT(Q239)&gt;='3월 등급 정보'!$F$5,3,IF(INT(Q239)&gt;='3월 등급 정보'!$F$6,4,IF(INT(Q239)&gt;='3월 등급 정보'!$F$7,5,IF(INT(Q239)&gt;='3월 등급 정보'!$F$8,6,IF(INT(Q239)&gt;='3월 등급 정보'!$F$9,7,IF(INT(Q239)&gt;='3월 등급 정보'!$F$10,8,IF(INT(Q239)&gt;='3월 등급 정보'!$F$11,9)))))))))</f>
        <v>7</v>
      </c>
      <c r="U239" s="34">
        <v>13.5</v>
      </c>
      <c r="V239" s="33"/>
      <c r="W239" s="33"/>
      <c r="X239" s="33">
        <f>IF(INT(U239)&gt;='3월 등급 정보'!$G$3,1,IF(INT(U239)&gt;='3월 등급 정보'!$G$4,2,IF(INT(U239)&gt;='3월 등급 정보'!$G$5,3,IF(INT(U239)&gt;='3월 등급 정보'!$G$6,4,IF(INT(U239)&gt;='3월 등급 정보'!$G$7,5,IF(INT(U239)&gt;='3월 등급 정보'!$G$8,6,IF(INT(U239)&gt;='3월 등급 정보'!$G$9,7,IF(INT(U239)&gt;='3월 등급 정보'!$G$10,8,IF(INT(U239)&gt;='3월 등급 정보'!$G$11,9)))))))))</f>
        <v>7</v>
      </c>
      <c r="Y239" s="34">
        <v>15</v>
      </c>
      <c r="Z239" s="33"/>
      <c r="AA239" s="33"/>
      <c r="AB239" s="33">
        <f>IF(INT(Y239)&gt;='3월 등급 정보'!$H$3,1,IF(INT(Y239)&gt;='3월 등급 정보'!$H$4,2,IF(INT(Y239)&gt;='3월 등급 정보'!$H$5,3,IF(INT(Y239)&gt;='3월 등급 정보'!$H$6,4,IF(INT(Y239)&gt;='3월 등급 정보'!$H$7,5,IF(INT(Y239)&gt;='3월 등급 정보'!$H$8,6,IF(INT(Y239)&gt;='3월 등급 정보'!$H$9,7,IF(INT(Y239)&gt;='3월 등급 정보'!$H$10,8,IF(INT(Y239)&gt;='3월 등급 정보'!$H$11,9)))))))))</f>
        <v>6</v>
      </c>
      <c r="AC239" s="33">
        <f>E239+I239+M239+Q239+U239</f>
        <v>152</v>
      </c>
      <c r="AD239" s="33">
        <f>RANK(AC239,$AC$3:$AC$273)</f>
        <v>237</v>
      </c>
    </row>
    <row r="240" spans="1:30" ht="17.25" customHeight="1">
      <c r="A240" s="33" t="s">
        <v>26</v>
      </c>
      <c r="B240" s="34">
        <v>1</v>
      </c>
      <c r="C240" s="34">
        <v>16</v>
      </c>
      <c r="D240" s="34" t="s">
        <v>43</v>
      </c>
      <c r="E240" s="34">
        <v>39</v>
      </c>
      <c r="F240" s="33"/>
      <c r="G240" s="33"/>
      <c r="H240" s="33">
        <f>IF(INT(E240)&gt;='3월 등급 정보'!$C$3,1,IF(INT(E240)&gt;='3월 등급 정보'!$C$4,2,IF(INT(E240)&gt;='3월 등급 정보'!$C$5,3,IF(INT(E240)&gt;='3월 등급 정보'!$C$6,4,IF(INT(E240)&gt;='3월 등급 정보'!$C$7,5,IF(INT(E240)&gt;='3월 등급 정보'!$C$8,6,IF(INT(E240)&gt;='3월 등급 정보'!$C$9,7,IF(INT(E240)&gt;='3월 등급 정보'!$C$10,8,IF(INT(E240)&gt;='3월 등급 정보'!$C$11,9)))))))))</f>
        <v>6</v>
      </c>
      <c r="I240" s="34">
        <v>31</v>
      </c>
      <c r="J240" s="33"/>
      <c r="K240" s="33"/>
      <c r="L240" s="33">
        <f>IF(INT(I240)&gt;='3월 등급 정보'!$D$3,1,IF(INT(I240)&gt;='3월 등급 정보'!$D$4,2,IF(INT(I240)&gt;='3월 등급 정보'!$D$5,3,IF(INT(I240)&gt;='3월 등급 정보'!$D$6,4,IF(INT(I240)&gt;='3월 등급 정보'!$D$7,5,IF(INT(I240)&gt;='3월 등급 정보'!$D$8,6,IF(INT(I240)&gt;='3월 등급 정보'!$D$9,7,IF(INT(I240)&gt;='3월 등급 정보'!$D$10,8,IF(INT(I240)&gt;='3월 등급 정보'!$D$11,9)))))))))</f>
        <v>6</v>
      </c>
      <c r="M240" s="34">
        <v>47</v>
      </c>
      <c r="N240" s="33"/>
      <c r="O240" s="33"/>
      <c r="P240" s="33">
        <f>IF(INT(M240)&gt;='3월 등급 정보'!$E$3,1,IF(INT(M240)&gt;='3월 등급 정보'!$E$4,2,IF(INT(M240)&gt;='3월 등급 정보'!$E$5,3,IF(INT(M240)&gt;='3월 등급 정보'!$E$6,4,IF(INT(M240)&gt;='3월 등급 정보'!$E$7,5,IF(INT(M240)&gt;='3월 등급 정보'!$E$8,6,IF(INT(M240)&gt;='3월 등급 정보'!$E$9,7,IF(INT(M240)&gt;='3월 등급 정보'!$E$10,8,IF(INT(M240)&gt;='3월 등급 정보'!$E$11,9)))))))))</f>
        <v>6</v>
      </c>
      <c r="Q240" s="34">
        <v>17</v>
      </c>
      <c r="R240" s="33"/>
      <c r="S240" s="33"/>
      <c r="T240" s="33">
        <f>IF(INT(Q240)&gt;='3월 등급 정보'!$F$3,1,IF(INT(Q240)&gt;='3월 등급 정보'!$F$4,2,IF(INT(Q240)&gt;='3월 등급 정보'!$F$5,3,IF(INT(Q240)&gt;='3월 등급 정보'!$F$6,4,IF(INT(Q240)&gt;='3월 등급 정보'!$F$7,5,IF(INT(Q240)&gt;='3월 등급 정보'!$F$8,6,IF(INT(Q240)&gt;='3월 등급 정보'!$F$9,7,IF(INT(Q240)&gt;='3월 등급 정보'!$F$10,8,IF(INT(Q240)&gt;='3월 등급 정보'!$F$11,9)))))))))</f>
        <v>7</v>
      </c>
      <c r="U240" s="34">
        <v>17</v>
      </c>
      <c r="V240" s="33"/>
      <c r="W240" s="33"/>
      <c r="X240" s="33">
        <f>IF(INT(U240)&gt;='3월 등급 정보'!$G$3,1,IF(INT(U240)&gt;='3월 등급 정보'!$G$4,2,IF(INT(U240)&gt;='3월 등급 정보'!$G$5,3,IF(INT(U240)&gt;='3월 등급 정보'!$G$6,4,IF(INT(U240)&gt;='3월 등급 정보'!$G$7,5,IF(INT(U240)&gt;='3월 등급 정보'!$G$8,6,IF(INT(U240)&gt;='3월 등급 정보'!$G$9,7,IF(INT(U240)&gt;='3월 등급 정보'!$G$10,8,IF(INT(U240)&gt;='3월 등급 정보'!$G$11,9)))))))))</f>
        <v>6</v>
      </c>
      <c r="Y240" s="34">
        <v>5</v>
      </c>
      <c r="Z240" s="33"/>
      <c r="AA240" s="33"/>
      <c r="AB240" s="33">
        <f>IF(INT(Y240)&gt;='3월 등급 정보'!$H$3,1,IF(INT(Y240)&gt;='3월 등급 정보'!$H$4,2,IF(INT(Y240)&gt;='3월 등급 정보'!$H$5,3,IF(INT(Y240)&gt;='3월 등급 정보'!$H$6,4,IF(INT(Y240)&gt;='3월 등급 정보'!$H$7,5,IF(INT(Y240)&gt;='3월 등급 정보'!$H$8,6,IF(INT(Y240)&gt;='3월 등급 정보'!$H$9,7,IF(INT(Y240)&gt;='3월 등급 정보'!$H$10,8,IF(INT(Y240)&gt;='3월 등급 정보'!$H$11,9)))))))))</f>
        <v>8</v>
      </c>
      <c r="AC240" s="33">
        <f>E240+I240+M240+Q240+U240</f>
        <v>151</v>
      </c>
      <c r="AD240" s="33">
        <f>RANK(AC240,$AC$3:$AC$273)</f>
        <v>238</v>
      </c>
    </row>
    <row r="241" spans="1:30" ht="17.25" customHeight="1">
      <c r="A241" s="33" t="s">
        <v>26</v>
      </c>
      <c r="B241" s="34">
        <v>4</v>
      </c>
      <c r="C241" s="34">
        <v>12</v>
      </c>
      <c r="D241" s="34" t="s">
        <v>117</v>
      </c>
      <c r="E241" s="34">
        <v>30</v>
      </c>
      <c r="F241" s="33"/>
      <c r="G241" s="33"/>
      <c r="H241" s="33">
        <f>IF(INT(E241)&gt;='3월 등급 정보'!$C$3,1,IF(INT(E241)&gt;='3월 등급 정보'!$C$4,2,IF(INT(E241)&gt;='3월 등급 정보'!$C$5,3,IF(INT(E241)&gt;='3월 등급 정보'!$C$6,4,IF(INT(E241)&gt;='3월 등급 정보'!$C$7,5,IF(INT(E241)&gt;='3월 등급 정보'!$C$8,6,IF(INT(E241)&gt;='3월 등급 정보'!$C$9,7,IF(INT(E241)&gt;='3월 등급 정보'!$C$10,8,IF(INT(E241)&gt;='3월 등급 정보'!$C$11,9)))))))))</f>
        <v>7</v>
      </c>
      <c r="I241" s="34">
        <v>27</v>
      </c>
      <c r="J241" s="33"/>
      <c r="K241" s="33"/>
      <c r="L241" s="33">
        <f>IF(INT(I241)&gt;='3월 등급 정보'!$D$3,1,IF(INT(I241)&gt;='3월 등급 정보'!$D$4,2,IF(INT(I241)&gt;='3월 등급 정보'!$D$5,3,IF(INT(I241)&gt;='3월 등급 정보'!$D$6,4,IF(INT(I241)&gt;='3월 등급 정보'!$D$7,5,IF(INT(I241)&gt;='3월 등급 정보'!$D$8,6,IF(INT(I241)&gt;='3월 등급 정보'!$D$9,7,IF(INT(I241)&gt;='3월 등급 정보'!$D$10,8,IF(INT(I241)&gt;='3월 등급 정보'!$D$11,9)))))))))</f>
        <v>7</v>
      </c>
      <c r="M241" s="34">
        <v>49</v>
      </c>
      <c r="N241" s="33"/>
      <c r="O241" s="33"/>
      <c r="P241" s="33">
        <f>IF(INT(M241)&gt;='3월 등급 정보'!$E$3,1,IF(INT(M241)&gt;='3월 등급 정보'!$E$4,2,IF(INT(M241)&gt;='3월 등급 정보'!$E$5,3,IF(INT(M241)&gt;='3월 등급 정보'!$E$6,4,IF(INT(M241)&gt;='3월 등급 정보'!$E$7,5,IF(INT(M241)&gt;='3월 등급 정보'!$E$8,6,IF(INT(M241)&gt;='3월 등급 정보'!$E$9,7,IF(INT(M241)&gt;='3월 등급 정보'!$E$10,8,IF(INT(M241)&gt;='3월 등급 정보'!$E$11,9)))))))))</f>
        <v>6</v>
      </c>
      <c r="Q241" s="34">
        <v>17</v>
      </c>
      <c r="R241" s="33"/>
      <c r="S241" s="33"/>
      <c r="T241" s="33">
        <f>IF(INT(Q241)&gt;='3월 등급 정보'!$F$3,1,IF(INT(Q241)&gt;='3월 등급 정보'!$F$4,2,IF(INT(Q241)&gt;='3월 등급 정보'!$F$5,3,IF(INT(Q241)&gt;='3월 등급 정보'!$F$6,4,IF(INT(Q241)&gt;='3월 등급 정보'!$F$7,5,IF(INT(Q241)&gt;='3월 등급 정보'!$F$8,6,IF(INT(Q241)&gt;='3월 등급 정보'!$F$9,7,IF(INT(Q241)&gt;='3월 등급 정보'!$F$10,8,IF(INT(Q241)&gt;='3월 등급 정보'!$F$11,9)))))))))</f>
        <v>7</v>
      </c>
      <c r="U241" s="34">
        <v>28</v>
      </c>
      <c r="V241" s="33"/>
      <c r="W241" s="33"/>
      <c r="X241" s="33">
        <f>IF(INT(U241)&gt;='3월 등급 정보'!$G$3,1,IF(INT(U241)&gt;='3월 등급 정보'!$G$4,2,IF(INT(U241)&gt;='3월 등급 정보'!$G$5,3,IF(INT(U241)&gt;='3월 등급 정보'!$G$6,4,IF(INT(U241)&gt;='3월 등급 정보'!$G$7,5,IF(INT(U241)&gt;='3월 등급 정보'!$G$8,6,IF(INT(U241)&gt;='3월 등급 정보'!$G$9,7,IF(INT(U241)&gt;='3월 등급 정보'!$G$10,8,IF(INT(U241)&gt;='3월 등급 정보'!$G$11,9)))))))))</f>
        <v>4</v>
      </c>
      <c r="Y241" s="34">
        <v>9</v>
      </c>
      <c r="Z241" s="33"/>
      <c r="AA241" s="33"/>
      <c r="AB241" s="33">
        <f>IF(INT(Y241)&gt;='3월 등급 정보'!$H$3,1,IF(INT(Y241)&gt;='3월 등급 정보'!$H$4,2,IF(INT(Y241)&gt;='3월 등급 정보'!$H$5,3,IF(INT(Y241)&gt;='3월 등급 정보'!$H$6,4,IF(INT(Y241)&gt;='3월 등급 정보'!$H$7,5,IF(INT(Y241)&gt;='3월 등급 정보'!$H$8,6,IF(INT(Y241)&gt;='3월 등급 정보'!$H$9,7,IF(INT(Y241)&gt;='3월 등급 정보'!$H$10,8,IF(INT(Y241)&gt;='3월 등급 정보'!$H$11,9)))))))))</f>
        <v>8</v>
      </c>
      <c r="AC241" s="33">
        <f>E241+I241+M241+Q241+U241</f>
        <v>151</v>
      </c>
      <c r="AD241" s="33">
        <f>RANK(AC241,$AC$3:$AC$273)</f>
        <v>238</v>
      </c>
    </row>
    <row r="242" spans="1:30" ht="17.25" customHeight="1">
      <c r="A242" s="33" t="s">
        <v>26</v>
      </c>
      <c r="B242" s="34">
        <v>10</v>
      </c>
      <c r="C242" s="34">
        <v>16</v>
      </c>
      <c r="D242" s="34" t="s">
        <v>279</v>
      </c>
      <c r="E242" s="34">
        <v>49</v>
      </c>
      <c r="F242" s="33"/>
      <c r="G242" s="33"/>
      <c r="H242" s="33">
        <f>IF(INT(E242)&gt;='3월 등급 정보'!$C$3,1,IF(INT(E242)&gt;='3월 등급 정보'!$C$4,2,IF(INT(E242)&gt;='3월 등급 정보'!$C$5,3,IF(INT(E242)&gt;='3월 등급 정보'!$C$6,4,IF(INT(E242)&gt;='3월 등급 정보'!$C$7,5,IF(INT(E242)&gt;='3월 등급 정보'!$C$8,6,IF(INT(E242)&gt;='3월 등급 정보'!$C$9,7,IF(INT(E242)&gt;='3월 등급 정보'!$C$10,8,IF(INT(E242)&gt;='3월 등급 정보'!$C$11,9)))))))))</f>
        <v>5</v>
      </c>
      <c r="I242" s="34">
        <v>15</v>
      </c>
      <c r="J242" s="33"/>
      <c r="K242" s="33"/>
      <c r="L242" s="33">
        <f>IF(INT(I242)&gt;='3월 등급 정보'!$D$3,1,IF(INT(I242)&gt;='3월 등급 정보'!$D$4,2,IF(INT(I242)&gt;='3월 등급 정보'!$D$5,3,IF(INT(I242)&gt;='3월 등급 정보'!$D$6,4,IF(INT(I242)&gt;='3월 등급 정보'!$D$7,5,IF(INT(I242)&gt;='3월 등급 정보'!$D$8,6,IF(INT(I242)&gt;='3월 등급 정보'!$D$9,7,IF(INT(I242)&gt;='3월 등급 정보'!$D$10,8,IF(INT(I242)&gt;='3월 등급 정보'!$D$11,9)))))))))</f>
        <v>8</v>
      </c>
      <c r="M242" s="34">
        <v>41</v>
      </c>
      <c r="N242" s="33"/>
      <c r="O242" s="33"/>
      <c r="P242" s="33">
        <f>IF(INT(M242)&gt;='3월 등급 정보'!$E$3,1,IF(INT(M242)&gt;='3월 등급 정보'!$E$4,2,IF(INT(M242)&gt;='3월 등급 정보'!$E$5,3,IF(INT(M242)&gt;='3월 등급 정보'!$E$6,4,IF(INT(M242)&gt;='3월 등급 정보'!$E$7,5,IF(INT(M242)&gt;='3월 등급 정보'!$E$8,6,IF(INT(M242)&gt;='3월 등급 정보'!$E$9,7,IF(INT(M242)&gt;='3월 등급 정보'!$E$10,8,IF(INT(M242)&gt;='3월 등급 정보'!$E$11,9)))))))))</f>
        <v>6</v>
      </c>
      <c r="Q242" s="34">
        <v>30.5</v>
      </c>
      <c r="R242" s="33"/>
      <c r="S242" s="33"/>
      <c r="T242" s="33">
        <f>IF(INT(Q242)&gt;='3월 등급 정보'!$F$3,1,IF(INT(Q242)&gt;='3월 등급 정보'!$F$4,2,IF(INT(Q242)&gt;='3월 등급 정보'!$F$5,3,IF(INT(Q242)&gt;='3월 등급 정보'!$F$6,4,IF(INT(Q242)&gt;='3월 등급 정보'!$F$7,5,IF(INT(Q242)&gt;='3월 등급 정보'!$F$8,6,IF(INT(Q242)&gt;='3월 등급 정보'!$F$9,7,IF(INT(Q242)&gt;='3월 등급 정보'!$F$10,8,IF(INT(Q242)&gt;='3월 등급 정보'!$F$11,9)))))))))</f>
        <v>5</v>
      </c>
      <c r="U242" s="34">
        <v>13</v>
      </c>
      <c r="V242" s="33"/>
      <c r="W242" s="33"/>
      <c r="X242" s="33">
        <f>IF(INT(U242)&gt;='3월 등급 정보'!$G$3,1,IF(INT(U242)&gt;='3월 등급 정보'!$G$4,2,IF(INT(U242)&gt;='3월 등급 정보'!$G$5,3,IF(INT(U242)&gt;='3월 등급 정보'!$G$6,4,IF(INT(U242)&gt;='3월 등급 정보'!$G$7,5,IF(INT(U242)&gt;='3월 등급 정보'!$G$8,6,IF(INT(U242)&gt;='3월 등급 정보'!$G$9,7,IF(INT(U242)&gt;='3월 등급 정보'!$G$10,8,IF(INT(U242)&gt;='3월 등급 정보'!$G$11,9)))))))))</f>
        <v>7</v>
      </c>
      <c r="Y242" s="34">
        <v>15</v>
      </c>
      <c r="Z242" s="33"/>
      <c r="AA242" s="33"/>
      <c r="AB242" s="33">
        <f>IF(INT(Y242)&gt;='3월 등급 정보'!$H$3,1,IF(INT(Y242)&gt;='3월 등급 정보'!$H$4,2,IF(INT(Y242)&gt;='3월 등급 정보'!$H$5,3,IF(INT(Y242)&gt;='3월 등급 정보'!$H$6,4,IF(INT(Y242)&gt;='3월 등급 정보'!$H$7,5,IF(INT(Y242)&gt;='3월 등급 정보'!$H$8,6,IF(INT(Y242)&gt;='3월 등급 정보'!$H$9,7,IF(INT(Y242)&gt;='3월 등급 정보'!$H$10,8,IF(INT(Y242)&gt;='3월 등급 정보'!$H$11,9)))))))))</f>
        <v>6</v>
      </c>
      <c r="AC242" s="33">
        <f>E242+I242+M242+Q242+U242</f>
        <v>148.5</v>
      </c>
      <c r="AD242" s="33">
        <f>RANK(AC242,$AC$3:$AC$273)</f>
        <v>240</v>
      </c>
    </row>
    <row r="243" spans="1:30" ht="17.25" customHeight="1">
      <c r="A243" s="33" t="s">
        <v>26</v>
      </c>
      <c r="B243" s="34">
        <v>3</v>
      </c>
      <c r="C243" s="34">
        <v>8</v>
      </c>
      <c r="D243" s="34" t="s">
        <v>86</v>
      </c>
      <c r="E243" s="34">
        <v>48</v>
      </c>
      <c r="F243" s="33"/>
      <c r="G243" s="33"/>
      <c r="H243" s="33">
        <f>IF(INT(E243)&gt;='3월 등급 정보'!$C$3,1,IF(INT(E243)&gt;='3월 등급 정보'!$C$4,2,IF(INT(E243)&gt;='3월 등급 정보'!$C$5,3,IF(INT(E243)&gt;='3월 등급 정보'!$C$6,4,IF(INT(E243)&gt;='3월 등급 정보'!$C$7,5,IF(INT(E243)&gt;='3월 등급 정보'!$C$8,6,IF(INT(E243)&gt;='3월 등급 정보'!$C$9,7,IF(INT(E243)&gt;='3월 등급 정보'!$C$10,8,IF(INT(E243)&gt;='3월 등급 정보'!$C$11,9)))))))))</f>
        <v>5</v>
      </c>
      <c r="I243" s="34">
        <v>31</v>
      </c>
      <c r="J243" s="33"/>
      <c r="K243" s="33"/>
      <c r="L243" s="33">
        <f>IF(INT(I243)&gt;='3월 등급 정보'!$D$3,1,IF(INT(I243)&gt;='3월 등급 정보'!$D$4,2,IF(INT(I243)&gt;='3월 등급 정보'!$D$5,3,IF(INT(I243)&gt;='3월 등급 정보'!$D$6,4,IF(INT(I243)&gt;='3월 등급 정보'!$D$7,5,IF(INT(I243)&gt;='3월 등급 정보'!$D$8,6,IF(INT(I243)&gt;='3월 등급 정보'!$D$9,7,IF(INT(I243)&gt;='3월 등급 정보'!$D$10,8,IF(INT(I243)&gt;='3월 등급 정보'!$D$11,9)))))))))</f>
        <v>6</v>
      </c>
      <c r="M243" s="34">
        <v>41</v>
      </c>
      <c r="N243" s="33"/>
      <c r="O243" s="33"/>
      <c r="P243" s="33">
        <f>IF(INT(M243)&gt;='3월 등급 정보'!$E$3,1,IF(INT(M243)&gt;='3월 등급 정보'!$E$4,2,IF(INT(M243)&gt;='3월 등급 정보'!$E$5,3,IF(INT(M243)&gt;='3월 등급 정보'!$E$6,4,IF(INT(M243)&gt;='3월 등급 정보'!$E$7,5,IF(INT(M243)&gt;='3월 등급 정보'!$E$8,6,IF(INT(M243)&gt;='3월 등급 정보'!$E$9,7,IF(INT(M243)&gt;='3월 등급 정보'!$E$10,8,IF(INT(M243)&gt;='3월 등급 정보'!$E$11,9)))))))))</f>
        <v>6</v>
      </c>
      <c r="Q243" s="34">
        <v>16</v>
      </c>
      <c r="R243" s="33"/>
      <c r="S243" s="33"/>
      <c r="T243" s="33">
        <f>IF(INT(Q243)&gt;='3월 등급 정보'!$F$3,1,IF(INT(Q243)&gt;='3월 등급 정보'!$F$4,2,IF(INT(Q243)&gt;='3월 등급 정보'!$F$5,3,IF(INT(Q243)&gt;='3월 등급 정보'!$F$6,4,IF(INT(Q243)&gt;='3월 등급 정보'!$F$7,5,IF(INT(Q243)&gt;='3월 등급 정보'!$F$8,6,IF(INT(Q243)&gt;='3월 등급 정보'!$F$9,7,IF(INT(Q243)&gt;='3월 등급 정보'!$F$10,8,IF(INT(Q243)&gt;='3월 등급 정보'!$F$11,9)))))))))</f>
        <v>7</v>
      </c>
      <c r="U243" s="34">
        <v>12</v>
      </c>
      <c r="V243" s="33"/>
      <c r="W243" s="33"/>
      <c r="X243" s="33">
        <f>IF(INT(U243)&gt;='3월 등급 정보'!$G$3,1,IF(INT(U243)&gt;='3월 등급 정보'!$G$4,2,IF(INT(U243)&gt;='3월 등급 정보'!$G$5,3,IF(INT(U243)&gt;='3월 등급 정보'!$G$6,4,IF(INT(U243)&gt;='3월 등급 정보'!$G$7,5,IF(INT(U243)&gt;='3월 등급 정보'!$G$8,6,IF(INT(U243)&gt;='3월 등급 정보'!$G$9,7,IF(INT(U243)&gt;='3월 등급 정보'!$G$10,8,IF(INT(U243)&gt;='3월 등급 정보'!$G$11,9)))))))))</f>
        <v>7</v>
      </c>
      <c r="Y243" s="34">
        <v>28</v>
      </c>
      <c r="Z243" s="33"/>
      <c r="AA243" s="33"/>
      <c r="AB243" s="33">
        <f>IF(INT(Y243)&gt;='3월 등급 정보'!$H$3,1,IF(INT(Y243)&gt;='3월 등급 정보'!$H$4,2,IF(INT(Y243)&gt;='3월 등급 정보'!$H$5,3,IF(INT(Y243)&gt;='3월 등급 정보'!$H$6,4,IF(INT(Y243)&gt;='3월 등급 정보'!$H$7,5,IF(INT(Y243)&gt;='3월 등급 정보'!$H$8,6,IF(INT(Y243)&gt;='3월 등급 정보'!$H$9,7,IF(INT(Y243)&gt;='3월 등급 정보'!$H$10,8,IF(INT(Y243)&gt;='3월 등급 정보'!$H$11,9)))))))))</f>
        <v>4</v>
      </c>
      <c r="AC243" s="33">
        <f>E243+I243+M243+Q243+U243</f>
        <v>148</v>
      </c>
      <c r="AD243" s="33">
        <f>RANK(AC243,$AC$3:$AC$273)</f>
        <v>241</v>
      </c>
    </row>
    <row r="244" spans="1:30" ht="17.25" customHeight="1">
      <c r="A244" s="33" t="s">
        <v>26</v>
      </c>
      <c r="B244" s="34">
        <v>10</v>
      </c>
      <c r="C244" s="34">
        <v>27</v>
      </c>
      <c r="D244" s="34" t="s">
        <v>289</v>
      </c>
      <c r="E244" s="34">
        <v>47</v>
      </c>
      <c r="F244" s="33"/>
      <c r="G244" s="33"/>
      <c r="H244" s="33">
        <f>IF(INT(E244)&gt;='3월 등급 정보'!$C$3,1,IF(INT(E244)&gt;='3월 등급 정보'!$C$4,2,IF(INT(E244)&gt;='3월 등급 정보'!$C$5,3,IF(INT(E244)&gt;='3월 등급 정보'!$C$6,4,IF(INT(E244)&gt;='3월 등급 정보'!$C$7,5,IF(INT(E244)&gt;='3월 등급 정보'!$C$8,6,IF(INT(E244)&gt;='3월 등급 정보'!$C$9,7,IF(INT(E244)&gt;='3월 등급 정보'!$C$10,8,IF(INT(E244)&gt;='3월 등급 정보'!$C$11,9)))))))))</f>
        <v>6</v>
      </c>
      <c r="I244" s="34">
        <v>32</v>
      </c>
      <c r="J244" s="33"/>
      <c r="K244" s="33"/>
      <c r="L244" s="33">
        <f>IF(INT(I244)&gt;='3월 등급 정보'!$D$3,1,IF(INT(I244)&gt;='3월 등급 정보'!$D$4,2,IF(INT(I244)&gt;='3월 등급 정보'!$D$5,3,IF(INT(I244)&gt;='3월 등급 정보'!$D$6,4,IF(INT(I244)&gt;='3월 등급 정보'!$D$7,5,IF(INT(I244)&gt;='3월 등급 정보'!$D$8,6,IF(INT(I244)&gt;='3월 등급 정보'!$D$9,7,IF(INT(I244)&gt;='3월 등급 정보'!$D$10,8,IF(INT(I244)&gt;='3월 등급 정보'!$D$11,9)))))))))</f>
        <v>6</v>
      </c>
      <c r="M244" s="34">
        <v>43</v>
      </c>
      <c r="N244" s="33"/>
      <c r="O244" s="33"/>
      <c r="P244" s="33">
        <f>IF(INT(M244)&gt;='3월 등급 정보'!$E$3,1,IF(INT(M244)&gt;='3월 등급 정보'!$E$4,2,IF(INT(M244)&gt;='3월 등급 정보'!$E$5,3,IF(INT(M244)&gt;='3월 등급 정보'!$E$6,4,IF(INT(M244)&gt;='3월 등급 정보'!$E$7,5,IF(INT(M244)&gt;='3월 등급 정보'!$E$8,6,IF(INT(M244)&gt;='3월 등급 정보'!$E$9,7,IF(INT(M244)&gt;='3월 등급 정보'!$E$10,8,IF(INT(M244)&gt;='3월 등급 정보'!$E$11,9)))))))))</f>
        <v>6</v>
      </c>
      <c r="Q244" s="34">
        <v>9</v>
      </c>
      <c r="R244" s="33"/>
      <c r="S244" s="33"/>
      <c r="T244" s="33">
        <f>IF(INT(Q244)&gt;='3월 등급 정보'!$F$3,1,IF(INT(Q244)&gt;='3월 등급 정보'!$F$4,2,IF(INT(Q244)&gt;='3월 등급 정보'!$F$5,3,IF(INT(Q244)&gt;='3월 등급 정보'!$F$6,4,IF(INT(Q244)&gt;='3월 등급 정보'!$F$7,5,IF(INT(Q244)&gt;='3월 등급 정보'!$F$8,6,IF(INT(Q244)&gt;='3월 등급 정보'!$F$9,7,IF(INT(Q244)&gt;='3월 등급 정보'!$F$10,8,IF(INT(Q244)&gt;='3월 등급 정보'!$F$11,9)))))))))</f>
        <v>8</v>
      </c>
      <c r="U244" s="34">
        <v>16.5</v>
      </c>
      <c r="V244" s="33"/>
      <c r="W244" s="33"/>
      <c r="X244" s="33">
        <f>IF(INT(U244)&gt;='3월 등급 정보'!$G$3,1,IF(INT(U244)&gt;='3월 등급 정보'!$G$4,2,IF(INT(U244)&gt;='3월 등급 정보'!$G$5,3,IF(INT(U244)&gt;='3월 등급 정보'!$G$6,4,IF(INT(U244)&gt;='3월 등급 정보'!$G$7,5,IF(INT(U244)&gt;='3월 등급 정보'!$G$8,6,IF(INT(U244)&gt;='3월 등급 정보'!$G$9,7,IF(INT(U244)&gt;='3월 등급 정보'!$G$10,8,IF(INT(U244)&gt;='3월 등급 정보'!$G$11,9)))))))))</f>
        <v>6</v>
      </c>
      <c r="Y244" s="34">
        <v>16</v>
      </c>
      <c r="Z244" s="33"/>
      <c r="AA244" s="33"/>
      <c r="AB244" s="33">
        <f>IF(INT(Y244)&gt;='3월 등급 정보'!$H$3,1,IF(INT(Y244)&gt;='3월 등급 정보'!$H$4,2,IF(INT(Y244)&gt;='3월 등급 정보'!$H$5,3,IF(INT(Y244)&gt;='3월 등급 정보'!$H$6,4,IF(INT(Y244)&gt;='3월 등급 정보'!$H$7,5,IF(INT(Y244)&gt;='3월 등급 정보'!$H$8,6,IF(INT(Y244)&gt;='3월 등급 정보'!$H$9,7,IF(INT(Y244)&gt;='3월 등급 정보'!$H$10,8,IF(INT(Y244)&gt;='3월 등급 정보'!$H$11,9)))))))))</f>
        <v>6</v>
      </c>
      <c r="AC244" s="33">
        <f>E244+I244+M244+Q244+U244</f>
        <v>147.5</v>
      </c>
      <c r="AD244" s="33">
        <f>RANK(AC244,$AC$3:$AC$273)</f>
        <v>242</v>
      </c>
    </row>
    <row r="245" spans="1:30" ht="17.25" customHeight="1">
      <c r="A245" s="33" t="s">
        <v>26</v>
      </c>
      <c r="B245" s="34">
        <v>3</v>
      </c>
      <c r="C245" s="34">
        <v>22</v>
      </c>
      <c r="D245" s="34" t="s">
        <v>99</v>
      </c>
      <c r="E245" s="34">
        <v>43</v>
      </c>
      <c r="F245" s="33"/>
      <c r="G245" s="33"/>
      <c r="H245" s="33">
        <f>IF(INT(E245)&gt;='3월 등급 정보'!$C$3,1,IF(INT(E245)&gt;='3월 등급 정보'!$C$4,2,IF(INT(E245)&gt;='3월 등급 정보'!$C$5,3,IF(INT(E245)&gt;='3월 등급 정보'!$C$6,4,IF(INT(E245)&gt;='3월 등급 정보'!$C$7,5,IF(INT(E245)&gt;='3월 등급 정보'!$C$8,6,IF(INT(E245)&gt;='3월 등급 정보'!$C$9,7,IF(INT(E245)&gt;='3월 등급 정보'!$C$10,8,IF(INT(E245)&gt;='3월 등급 정보'!$C$11,9)))))))))</f>
        <v>6</v>
      </c>
      <c r="I245" s="34">
        <v>26</v>
      </c>
      <c r="J245" s="33"/>
      <c r="K245" s="33"/>
      <c r="L245" s="33">
        <f>IF(INT(I245)&gt;='3월 등급 정보'!$D$3,1,IF(INT(I245)&gt;='3월 등급 정보'!$D$4,2,IF(INT(I245)&gt;='3월 등급 정보'!$D$5,3,IF(INT(I245)&gt;='3월 등급 정보'!$D$6,4,IF(INT(I245)&gt;='3월 등급 정보'!$D$7,5,IF(INT(I245)&gt;='3월 등급 정보'!$D$8,6,IF(INT(I245)&gt;='3월 등급 정보'!$D$9,7,IF(INT(I245)&gt;='3월 등급 정보'!$D$10,8,IF(INT(I245)&gt;='3월 등급 정보'!$D$11,9)))))))))</f>
        <v>7</v>
      </c>
      <c r="M245" s="34">
        <v>48</v>
      </c>
      <c r="N245" s="33"/>
      <c r="O245" s="33"/>
      <c r="P245" s="33">
        <f>IF(INT(M245)&gt;='3월 등급 정보'!$E$3,1,IF(INT(M245)&gt;='3월 등급 정보'!$E$4,2,IF(INT(M245)&gt;='3월 등급 정보'!$E$5,3,IF(INT(M245)&gt;='3월 등급 정보'!$E$6,4,IF(INT(M245)&gt;='3월 등급 정보'!$E$7,5,IF(INT(M245)&gt;='3월 등급 정보'!$E$8,6,IF(INT(M245)&gt;='3월 등급 정보'!$E$9,7,IF(INT(M245)&gt;='3월 등급 정보'!$E$10,8,IF(INT(M245)&gt;='3월 등급 정보'!$E$11,9)))))))))</f>
        <v>6</v>
      </c>
      <c r="Q245" s="34">
        <v>16.5</v>
      </c>
      <c r="R245" s="33"/>
      <c r="S245" s="33"/>
      <c r="T245" s="33">
        <f>IF(INT(Q245)&gt;='3월 등급 정보'!$F$3,1,IF(INT(Q245)&gt;='3월 등급 정보'!$F$4,2,IF(INT(Q245)&gt;='3월 등급 정보'!$F$5,3,IF(INT(Q245)&gt;='3월 등급 정보'!$F$6,4,IF(INT(Q245)&gt;='3월 등급 정보'!$F$7,5,IF(INT(Q245)&gt;='3월 등급 정보'!$F$8,6,IF(INT(Q245)&gt;='3월 등급 정보'!$F$9,7,IF(INT(Q245)&gt;='3월 등급 정보'!$F$10,8,IF(INT(Q245)&gt;='3월 등급 정보'!$F$11,9)))))))))</f>
        <v>7</v>
      </c>
      <c r="U245" s="34">
        <v>12</v>
      </c>
      <c r="V245" s="33"/>
      <c r="W245" s="33"/>
      <c r="X245" s="33">
        <f>IF(INT(U245)&gt;='3월 등급 정보'!$G$3,1,IF(INT(U245)&gt;='3월 등급 정보'!$G$4,2,IF(INT(U245)&gt;='3월 등급 정보'!$G$5,3,IF(INT(U245)&gt;='3월 등급 정보'!$G$6,4,IF(INT(U245)&gt;='3월 등급 정보'!$G$7,5,IF(INT(U245)&gt;='3월 등급 정보'!$G$8,6,IF(INT(U245)&gt;='3월 등급 정보'!$G$9,7,IF(INT(U245)&gt;='3월 등급 정보'!$G$10,8,IF(INT(U245)&gt;='3월 등급 정보'!$G$11,9)))))))))</f>
        <v>7</v>
      </c>
      <c r="Y245" s="34">
        <v>28</v>
      </c>
      <c r="Z245" s="33"/>
      <c r="AA245" s="33"/>
      <c r="AB245" s="33">
        <f>IF(INT(Y245)&gt;='3월 등급 정보'!$H$3,1,IF(INT(Y245)&gt;='3월 등급 정보'!$H$4,2,IF(INT(Y245)&gt;='3월 등급 정보'!$H$5,3,IF(INT(Y245)&gt;='3월 등급 정보'!$H$6,4,IF(INT(Y245)&gt;='3월 등급 정보'!$H$7,5,IF(INT(Y245)&gt;='3월 등급 정보'!$H$8,6,IF(INT(Y245)&gt;='3월 등급 정보'!$H$9,7,IF(INT(Y245)&gt;='3월 등급 정보'!$H$10,8,IF(INT(Y245)&gt;='3월 등급 정보'!$H$11,9)))))))))</f>
        <v>4</v>
      </c>
      <c r="AC245" s="33">
        <f>E245+I245+M245+Q245+U245</f>
        <v>145.5</v>
      </c>
      <c r="AD245" s="33">
        <f>RANK(AC245,$AC$3:$AC$273)</f>
        <v>243</v>
      </c>
    </row>
    <row r="246" spans="1:30" ht="17.25" customHeight="1">
      <c r="A246" s="33" t="s">
        <v>26</v>
      </c>
      <c r="B246" s="34">
        <v>10</v>
      </c>
      <c r="C246" s="34">
        <v>17</v>
      </c>
      <c r="D246" s="34" t="s">
        <v>280</v>
      </c>
      <c r="E246" s="34">
        <v>51</v>
      </c>
      <c r="F246" s="33"/>
      <c r="G246" s="33"/>
      <c r="H246" s="33">
        <f>IF(INT(E246)&gt;='3월 등급 정보'!$C$3,1,IF(INT(E246)&gt;='3월 등급 정보'!$C$4,2,IF(INT(E246)&gt;='3월 등급 정보'!$C$5,3,IF(INT(E246)&gt;='3월 등급 정보'!$C$6,4,IF(INT(E246)&gt;='3월 등급 정보'!$C$7,5,IF(INT(E246)&gt;='3월 등급 정보'!$C$8,6,IF(INT(E246)&gt;='3월 등급 정보'!$C$9,7,IF(INT(E246)&gt;='3월 등급 정보'!$C$10,8,IF(INT(E246)&gt;='3월 등급 정보'!$C$11,9)))))))))</f>
        <v>5</v>
      </c>
      <c r="I246" s="34">
        <v>12</v>
      </c>
      <c r="J246" s="33"/>
      <c r="K246" s="33"/>
      <c r="L246" s="33">
        <f>IF(INT(I246)&gt;='3월 등급 정보'!$D$3,1,IF(INT(I246)&gt;='3월 등급 정보'!$D$4,2,IF(INT(I246)&gt;='3월 등급 정보'!$D$5,3,IF(INT(I246)&gt;='3월 등급 정보'!$D$6,4,IF(INT(I246)&gt;='3월 등급 정보'!$D$7,5,IF(INT(I246)&gt;='3월 등급 정보'!$D$8,6,IF(INT(I246)&gt;='3월 등급 정보'!$D$9,7,IF(INT(I246)&gt;='3월 등급 정보'!$D$10,8,IF(INT(I246)&gt;='3월 등급 정보'!$D$11,9)))))))))</f>
        <v>9</v>
      </c>
      <c r="M246" s="34">
        <v>47</v>
      </c>
      <c r="N246" s="33"/>
      <c r="O246" s="33"/>
      <c r="P246" s="33">
        <f>IF(INT(M246)&gt;='3월 등급 정보'!$E$3,1,IF(INT(M246)&gt;='3월 등급 정보'!$E$4,2,IF(INT(M246)&gt;='3월 등급 정보'!$E$5,3,IF(INT(M246)&gt;='3월 등급 정보'!$E$6,4,IF(INT(M246)&gt;='3월 등급 정보'!$E$7,5,IF(INT(M246)&gt;='3월 등급 정보'!$E$8,6,IF(INT(M246)&gt;='3월 등급 정보'!$E$9,7,IF(INT(M246)&gt;='3월 등급 정보'!$E$10,8,IF(INT(M246)&gt;='3월 등급 정보'!$E$11,9)))))))))</f>
        <v>6</v>
      </c>
      <c r="Q246" s="34">
        <v>25.5</v>
      </c>
      <c r="R246" s="33"/>
      <c r="S246" s="33"/>
      <c r="T246" s="33">
        <f>IF(INT(Q246)&gt;='3월 등급 정보'!$F$3,1,IF(INT(Q246)&gt;='3월 등급 정보'!$F$4,2,IF(INT(Q246)&gt;='3월 등급 정보'!$F$5,3,IF(INT(Q246)&gt;='3월 등급 정보'!$F$6,4,IF(INT(Q246)&gt;='3월 등급 정보'!$F$7,5,IF(INT(Q246)&gt;='3월 등급 정보'!$F$8,6,IF(INT(Q246)&gt;='3월 등급 정보'!$F$9,7,IF(INT(Q246)&gt;='3월 등급 정보'!$F$10,8,IF(INT(Q246)&gt;='3월 등급 정보'!$F$11,9)))))))))</f>
        <v>6</v>
      </c>
      <c r="U246" s="34">
        <v>10</v>
      </c>
      <c r="V246" s="33"/>
      <c r="W246" s="33"/>
      <c r="X246" s="33">
        <f>IF(INT(U246)&gt;='3월 등급 정보'!$G$3,1,IF(INT(U246)&gt;='3월 등급 정보'!$G$4,2,IF(INT(U246)&gt;='3월 등급 정보'!$G$5,3,IF(INT(U246)&gt;='3월 등급 정보'!$G$6,4,IF(INT(U246)&gt;='3월 등급 정보'!$G$7,5,IF(INT(U246)&gt;='3월 등급 정보'!$G$8,6,IF(INT(U246)&gt;='3월 등급 정보'!$G$9,7,IF(INT(U246)&gt;='3월 등급 정보'!$G$10,8,IF(INT(U246)&gt;='3월 등급 정보'!$G$11,9)))))))))</f>
        <v>8</v>
      </c>
      <c r="Y246" s="34">
        <v>20</v>
      </c>
      <c r="Z246" s="33"/>
      <c r="AA246" s="33"/>
      <c r="AB246" s="33">
        <f>IF(INT(Y246)&gt;='3월 등급 정보'!$H$3,1,IF(INT(Y246)&gt;='3월 등급 정보'!$H$4,2,IF(INT(Y246)&gt;='3월 등급 정보'!$H$5,3,IF(INT(Y246)&gt;='3월 등급 정보'!$H$6,4,IF(INT(Y246)&gt;='3월 등급 정보'!$H$7,5,IF(INT(Y246)&gt;='3월 등급 정보'!$H$8,6,IF(INT(Y246)&gt;='3월 등급 정보'!$H$9,7,IF(INT(Y246)&gt;='3월 등급 정보'!$H$10,8,IF(INT(Y246)&gt;='3월 등급 정보'!$H$11,9)))))))))</f>
        <v>5</v>
      </c>
      <c r="AC246" s="33">
        <f>E246+I246+M246+Q246+U246</f>
        <v>145.5</v>
      </c>
      <c r="AD246" s="33">
        <f>RANK(AC246,$AC$3:$AC$273)</f>
        <v>243</v>
      </c>
    </row>
    <row r="247" spans="1:30" ht="17.25" customHeight="1">
      <c r="A247" s="33" t="s">
        <v>26</v>
      </c>
      <c r="B247" s="34">
        <v>8</v>
      </c>
      <c r="C247" s="34">
        <v>2</v>
      </c>
      <c r="D247" s="34" t="s">
        <v>216</v>
      </c>
      <c r="E247" s="34">
        <v>47</v>
      </c>
      <c r="F247" s="33"/>
      <c r="G247" s="33"/>
      <c r="H247" s="33">
        <f>IF(INT(E247)&gt;='3월 등급 정보'!$C$3,1,IF(INT(E247)&gt;='3월 등급 정보'!$C$4,2,IF(INT(E247)&gt;='3월 등급 정보'!$C$5,3,IF(INT(E247)&gt;='3월 등급 정보'!$C$6,4,IF(INT(E247)&gt;='3월 등급 정보'!$C$7,5,IF(INT(E247)&gt;='3월 등급 정보'!$C$8,6,IF(INT(E247)&gt;='3월 등급 정보'!$C$9,7,IF(INT(E247)&gt;='3월 등급 정보'!$C$10,8,IF(INT(E247)&gt;='3월 등급 정보'!$C$11,9)))))))))</f>
        <v>6</v>
      </c>
      <c r="I247" s="34">
        <v>20</v>
      </c>
      <c r="J247" s="33"/>
      <c r="K247" s="33"/>
      <c r="L247" s="33">
        <f>IF(INT(I247)&gt;='3월 등급 정보'!$D$3,1,IF(INT(I247)&gt;='3월 등급 정보'!$D$4,2,IF(INT(I247)&gt;='3월 등급 정보'!$D$5,3,IF(INT(I247)&gt;='3월 등급 정보'!$D$6,4,IF(INT(I247)&gt;='3월 등급 정보'!$D$7,5,IF(INT(I247)&gt;='3월 등급 정보'!$D$8,6,IF(INT(I247)&gt;='3월 등급 정보'!$D$9,7,IF(INT(I247)&gt;='3월 등급 정보'!$D$10,8,IF(INT(I247)&gt;='3월 등급 정보'!$D$11,9)))))))))</f>
        <v>7</v>
      </c>
      <c r="M247" s="34">
        <v>47</v>
      </c>
      <c r="N247" s="33"/>
      <c r="O247" s="33"/>
      <c r="P247" s="33">
        <f>IF(INT(M247)&gt;='3월 등급 정보'!$E$3,1,IF(INT(M247)&gt;='3월 등급 정보'!$E$4,2,IF(INT(M247)&gt;='3월 등급 정보'!$E$5,3,IF(INT(M247)&gt;='3월 등급 정보'!$E$6,4,IF(INT(M247)&gt;='3월 등급 정보'!$E$7,5,IF(INT(M247)&gt;='3월 등급 정보'!$E$8,6,IF(INT(M247)&gt;='3월 등급 정보'!$E$9,7,IF(INT(M247)&gt;='3월 등급 정보'!$E$10,8,IF(INT(M247)&gt;='3월 등급 정보'!$E$11,9)))))))))</f>
        <v>6</v>
      </c>
      <c r="Q247" s="34">
        <v>25</v>
      </c>
      <c r="R247" s="33"/>
      <c r="S247" s="33"/>
      <c r="T247" s="33">
        <f>IF(INT(Q247)&gt;='3월 등급 정보'!$F$3,1,IF(INT(Q247)&gt;='3월 등급 정보'!$F$4,2,IF(INT(Q247)&gt;='3월 등급 정보'!$F$5,3,IF(INT(Q247)&gt;='3월 등급 정보'!$F$6,4,IF(INT(Q247)&gt;='3월 등급 정보'!$F$7,5,IF(INT(Q247)&gt;='3월 등급 정보'!$F$8,6,IF(INT(Q247)&gt;='3월 등급 정보'!$F$9,7,IF(INT(Q247)&gt;='3월 등급 정보'!$F$10,8,IF(INT(Q247)&gt;='3월 등급 정보'!$F$11,9)))))))))</f>
        <v>6</v>
      </c>
      <c r="U247" s="34">
        <v>6</v>
      </c>
      <c r="V247" s="33"/>
      <c r="W247" s="33"/>
      <c r="X247" s="33">
        <f>IF(INT(U247)&gt;='3월 등급 정보'!$G$3,1,IF(INT(U247)&gt;='3월 등급 정보'!$G$4,2,IF(INT(U247)&gt;='3월 등급 정보'!$G$5,3,IF(INT(U247)&gt;='3월 등급 정보'!$G$6,4,IF(INT(U247)&gt;='3월 등급 정보'!$G$7,5,IF(INT(U247)&gt;='3월 등급 정보'!$G$8,6,IF(INT(U247)&gt;='3월 등급 정보'!$G$9,7,IF(INT(U247)&gt;='3월 등급 정보'!$G$10,8,IF(INT(U247)&gt;='3월 등급 정보'!$G$11,9)))))))))</f>
        <v>9</v>
      </c>
      <c r="Y247" s="34">
        <v>19</v>
      </c>
      <c r="Z247" s="33"/>
      <c r="AA247" s="33"/>
      <c r="AB247" s="33">
        <f>IF(INT(Y247)&gt;='3월 등급 정보'!$H$3,1,IF(INT(Y247)&gt;='3월 등급 정보'!$H$4,2,IF(INT(Y247)&gt;='3월 등급 정보'!$H$5,3,IF(INT(Y247)&gt;='3월 등급 정보'!$H$6,4,IF(INT(Y247)&gt;='3월 등급 정보'!$H$7,5,IF(INT(Y247)&gt;='3월 등급 정보'!$H$8,6,IF(INT(Y247)&gt;='3월 등급 정보'!$H$9,7,IF(INT(Y247)&gt;='3월 등급 정보'!$H$10,8,IF(INT(Y247)&gt;='3월 등급 정보'!$H$11,9)))))))))</f>
        <v>6</v>
      </c>
      <c r="AC247" s="33">
        <f>E247+I247+M247+Q247+U247</f>
        <v>145</v>
      </c>
      <c r="AD247" s="33">
        <f>RANK(AC247,$AC$3:$AC$273)</f>
        <v>245</v>
      </c>
    </row>
    <row r="248" spans="1:30" ht="17.25" customHeight="1">
      <c r="A248" s="33" t="s">
        <v>26</v>
      </c>
      <c r="B248" s="34">
        <v>9</v>
      </c>
      <c r="C248" s="34">
        <v>17</v>
      </c>
      <c r="D248" s="34" t="s">
        <v>254</v>
      </c>
      <c r="E248" s="34">
        <v>34</v>
      </c>
      <c r="F248" s="33"/>
      <c r="G248" s="33"/>
      <c r="H248" s="33">
        <f>IF(INT(E248)&gt;='3월 등급 정보'!$C$3,1,IF(INT(E248)&gt;='3월 등급 정보'!$C$4,2,IF(INT(E248)&gt;='3월 등급 정보'!$C$5,3,IF(INT(E248)&gt;='3월 등급 정보'!$C$6,4,IF(INT(E248)&gt;='3월 등급 정보'!$C$7,5,IF(INT(E248)&gt;='3월 등급 정보'!$C$8,6,IF(INT(E248)&gt;='3월 등급 정보'!$C$9,7,IF(INT(E248)&gt;='3월 등급 정보'!$C$10,8,IF(INT(E248)&gt;='3월 등급 정보'!$C$11,9)))))))))</f>
        <v>7</v>
      </c>
      <c r="I248" s="34">
        <v>37</v>
      </c>
      <c r="J248" s="33"/>
      <c r="K248" s="33"/>
      <c r="L248" s="33">
        <f>IF(INT(I248)&gt;='3월 등급 정보'!$D$3,1,IF(INT(I248)&gt;='3월 등급 정보'!$D$4,2,IF(INT(I248)&gt;='3월 등급 정보'!$D$5,3,IF(INT(I248)&gt;='3월 등급 정보'!$D$6,4,IF(INT(I248)&gt;='3월 등급 정보'!$D$7,5,IF(INT(I248)&gt;='3월 등급 정보'!$D$8,6,IF(INT(I248)&gt;='3월 등급 정보'!$D$9,7,IF(INT(I248)&gt;='3월 등급 정보'!$D$10,8,IF(INT(I248)&gt;='3월 등급 정보'!$D$11,9)))))))))</f>
        <v>6</v>
      </c>
      <c r="M248" s="34">
        <v>42</v>
      </c>
      <c r="N248" s="33"/>
      <c r="O248" s="33"/>
      <c r="P248" s="33">
        <f>IF(INT(M248)&gt;='3월 등급 정보'!$E$3,1,IF(INT(M248)&gt;='3월 등급 정보'!$E$4,2,IF(INT(M248)&gt;='3월 등급 정보'!$E$5,3,IF(INT(M248)&gt;='3월 등급 정보'!$E$6,4,IF(INT(M248)&gt;='3월 등급 정보'!$E$7,5,IF(INT(M248)&gt;='3월 등급 정보'!$E$8,6,IF(INT(M248)&gt;='3월 등급 정보'!$E$9,7,IF(INT(M248)&gt;='3월 등급 정보'!$E$10,8,IF(INT(M248)&gt;='3월 등급 정보'!$E$11,9)))))))))</f>
        <v>6</v>
      </c>
      <c r="Q248" s="34">
        <v>20.5</v>
      </c>
      <c r="R248" s="33"/>
      <c r="S248" s="33"/>
      <c r="T248" s="33">
        <f>IF(INT(Q248)&gt;='3월 등급 정보'!$F$3,1,IF(INT(Q248)&gt;='3월 등급 정보'!$F$4,2,IF(INT(Q248)&gt;='3월 등급 정보'!$F$5,3,IF(INT(Q248)&gt;='3월 등급 정보'!$F$6,4,IF(INT(Q248)&gt;='3월 등급 정보'!$F$7,5,IF(INT(Q248)&gt;='3월 등급 정보'!$F$8,6,IF(INT(Q248)&gt;='3월 등급 정보'!$F$9,7,IF(INT(Q248)&gt;='3월 등급 정보'!$F$10,8,IF(INT(Q248)&gt;='3월 등급 정보'!$F$11,9)))))))))</f>
        <v>6</v>
      </c>
      <c r="U248" s="34">
        <v>10.5</v>
      </c>
      <c r="V248" s="33"/>
      <c r="W248" s="33"/>
      <c r="X248" s="33">
        <f>IF(INT(U248)&gt;='3월 등급 정보'!$G$3,1,IF(INT(U248)&gt;='3월 등급 정보'!$G$4,2,IF(INT(U248)&gt;='3월 등급 정보'!$G$5,3,IF(INT(U248)&gt;='3월 등급 정보'!$G$6,4,IF(INT(U248)&gt;='3월 등급 정보'!$G$7,5,IF(INT(U248)&gt;='3월 등급 정보'!$G$8,6,IF(INT(U248)&gt;='3월 등급 정보'!$G$9,7,IF(INT(U248)&gt;='3월 등급 정보'!$G$10,8,IF(INT(U248)&gt;='3월 등급 정보'!$G$11,9)))))))))</f>
        <v>8</v>
      </c>
      <c r="Y248" s="34">
        <v>18</v>
      </c>
      <c r="Z248" s="33"/>
      <c r="AA248" s="33"/>
      <c r="AB248" s="33">
        <f>IF(INT(Y248)&gt;='3월 등급 정보'!$H$3,1,IF(INT(Y248)&gt;='3월 등급 정보'!$H$4,2,IF(INT(Y248)&gt;='3월 등급 정보'!$H$5,3,IF(INT(Y248)&gt;='3월 등급 정보'!$H$6,4,IF(INT(Y248)&gt;='3월 등급 정보'!$H$7,5,IF(INT(Y248)&gt;='3월 등급 정보'!$H$8,6,IF(INT(Y248)&gt;='3월 등급 정보'!$H$9,7,IF(INT(Y248)&gt;='3월 등급 정보'!$H$10,8,IF(INT(Y248)&gt;='3월 등급 정보'!$H$11,9)))))))))</f>
        <v>6</v>
      </c>
      <c r="AC248" s="33">
        <f>E248+I248+M248+Q248+U248</f>
        <v>144</v>
      </c>
      <c r="AD248" s="33">
        <f>RANK(AC248,$AC$3:$AC$273)</f>
        <v>246</v>
      </c>
    </row>
    <row r="249" spans="1:30" ht="17.25" customHeight="1">
      <c r="A249" s="33" t="s">
        <v>26</v>
      </c>
      <c r="B249" s="34">
        <v>7</v>
      </c>
      <c r="C249" s="34">
        <v>15</v>
      </c>
      <c r="D249" s="34" t="s">
        <v>201</v>
      </c>
      <c r="E249" s="34">
        <v>39</v>
      </c>
      <c r="F249" s="33"/>
      <c r="G249" s="33"/>
      <c r="H249" s="33">
        <f>IF(INT(E249)&gt;='3월 등급 정보'!$C$3,1,IF(INT(E249)&gt;='3월 등급 정보'!$C$4,2,IF(INT(E249)&gt;='3월 등급 정보'!$C$5,3,IF(INT(E249)&gt;='3월 등급 정보'!$C$6,4,IF(INT(E249)&gt;='3월 등급 정보'!$C$7,5,IF(INT(E249)&gt;='3월 등급 정보'!$C$8,6,IF(INT(E249)&gt;='3월 등급 정보'!$C$9,7,IF(INT(E249)&gt;='3월 등급 정보'!$C$10,8,IF(INT(E249)&gt;='3월 등급 정보'!$C$11,9)))))))))</f>
        <v>6</v>
      </c>
      <c r="I249" s="34">
        <v>18</v>
      </c>
      <c r="J249" s="33"/>
      <c r="K249" s="33"/>
      <c r="L249" s="33">
        <f>IF(INT(I249)&gt;='3월 등급 정보'!$D$3,1,IF(INT(I249)&gt;='3월 등급 정보'!$D$4,2,IF(INT(I249)&gt;='3월 등급 정보'!$D$5,3,IF(INT(I249)&gt;='3월 등급 정보'!$D$6,4,IF(INT(I249)&gt;='3월 등급 정보'!$D$7,5,IF(INT(I249)&gt;='3월 등급 정보'!$D$8,6,IF(INT(I249)&gt;='3월 등급 정보'!$D$9,7,IF(INT(I249)&gt;='3월 등급 정보'!$D$10,8,IF(INT(I249)&gt;='3월 등급 정보'!$D$11,9)))))))))</f>
        <v>8</v>
      </c>
      <c r="M249" s="34">
        <v>42</v>
      </c>
      <c r="N249" s="33"/>
      <c r="O249" s="33"/>
      <c r="P249" s="33">
        <f>IF(INT(M249)&gt;='3월 등급 정보'!$E$3,1,IF(INT(M249)&gt;='3월 등급 정보'!$E$4,2,IF(INT(M249)&gt;='3월 등급 정보'!$E$5,3,IF(INT(M249)&gt;='3월 등급 정보'!$E$6,4,IF(INT(M249)&gt;='3월 등급 정보'!$E$7,5,IF(INT(M249)&gt;='3월 등급 정보'!$E$8,6,IF(INT(M249)&gt;='3월 등급 정보'!$E$9,7,IF(INT(M249)&gt;='3월 등급 정보'!$E$10,8,IF(INT(M249)&gt;='3월 등급 정보'!$E$11,9)))))))))</f>
        <v>6</v>
      </c>
      <c r="Q249" s="34">
        <v>22</v>
      </c>
      <c r="R249" s="33"/>
      <c r="S249" s="33"/>
      <c r="T249" s="33">
        <f>IF(INT(Q249)&gt;='3월 등급 정보'!$F$3,1,IF(INT(Q249)&gt;='3월 등급 정보'!$F$4,2,IF(INT(Q249)&gt;='3월 등급 정보'!$F$5,3,IF(INT(Q249)&gt;='3월 등급 정보'!$F$6,4,IF(INT(Q249)&gt;='3월 등급 정보'!$F$7,5,IF(INT(Q249)&gt;='3월 등급 정보'!$F$8,6,IF(INT(Q249)&gt;='3월 등급 정보'!$F$9,7,IF(INT(Q249)&gt;='3월 등급 정보'!$F$10,8,IF(INT(Q249)&gt;='3월 등급 정보'!$F$11,9)))))))))</f>
        <v>6</v>
      </c>
      <c r="U249" s="34">
        <v>22</v>
      </c>
      <c r="V249" s="33"/>
      <c r="W249" s="33"/>
      <c r="X249" s="33">
        <f>IF(INT(U249)&gt;='3월 등급 정보'!$G$3,1,IF(INT(U249)&gt;='3월 등급 정보'!$G$4,2,IF(INT(U249)&gt;='3월 등급 정보'!$G$5,3,IF(INT(U249)&gt;='3월 등급 정보'!$G$6,4,IF(INT(U249)&gt;='3월 등급 정보'!$G$7,5,IF(INT(U249)&gt;='3월 등급 정보'!$G$8,6,IF(INT(U249)&gt;='3월 등급 정보'!$G$9,7,IF(INT(U249)&gt;='3월 등급 정보'!$G$10,8,IF(INT(U249)&gt;='3월 등급 정보'!$G$11,9)))))))))</f>
        <v>5</v>
      </c>
      <c r="Y249" s="34">
        <v>5</v>
      </c>
      <c r="Z249" s="33"/>
      <c r="AA249" s="33"/>
      <c r="AB249" s="33">
        <f>IF(INT(Y249)&gt;='3월 등급 정보'!$H$3,1,IF(INT(Y249)&gt;='3월 등급 정보'!$H$4,2,IF(INT(Y249)&gt;='3월 등급 정보'!$H$5,3,IF(INT(Y249)&gt;='3월 등급 정보'!$H$6,4,IF(INT(Y249)&gt;='3월 등급 정보'!$H$7,5,IF(INT(Y249)&gt;='3월 등급 정보'!$H$8,6,IF(INT(Y249)&gt;='3월 등급 정보'!$H$9,7,IF(INT(Y249)&gt;='3월 등급 정보'!$H$10,8,IF(INT(Y249)&gt;='3월 등급 정보'!$H$11,9)))))))))</f>
        <v>8</v>
      </c>
      <c r="AC249" s="33">
        <f>E249+I249+M249+Q249+U249</f>
        <v>143</v>
      </c>
      <c r="AD249" s="33">
        <f>RANK(AC249,$AC$3:$AC$273)</f>
        <v>247</v>
      </c>
    </row>
    <row r="250" spans="1:30" ht="17.25" customHeight="1">
      <c r="A250" s="33" t="s">
        <v>26</v>
      </c>
      <c r="B250" s="34">
        <v>5</v>
      </c>
      <c r="C250" s="34">
        <v>29</v>
      </c>
      <c r="D250" s="34" t="s">
        <v>159</v>
      </c>
      <c r="E250" s="34">
        <v>39</v>
      </c>
      <c r="F250" s="33"/>
      <c r="G250" s="33"/>
      <c r="H250" s="33">
        <f>IF(INT(E250)&gt;='3월 등급 정보'!$C$3,1,IF(INT(E250)&gt;='3월 등급 정보'!$C$4,2,IF(INT(E250)&gt;='3월 등급 정보'!$C$5,3,IF(INT(E250)&gt;='3월 등급 정보'!$C$6,4,IF(INT(E250)&gt;='3월 등급 정보'!$C$7,5,IF(INT(E250)&gt;='3월 등급 정보'!$C$8,6,IF(INT(E250)&gt;='3월 등급 정보'!$C$9,7,IF(INT(E250)&gt;='3월 등급 정보'!$C$10,8,IF(INT(E250)&gt;='3월 등급 정보'!$C$11,9)))))))))</f>
        <v>6</v>
      </c>
      <c r="I250" s="34">
        <v>21</v>
      </c>
      <c r="J250" s="33"/>
      <c r="K250" s="33"/>
      <c r="L250" s="33">
        <f>IF(INT(I250)&gt;='3월 등급 정보'!$D$3,1,IF(INT(I250)&gt;='3월 등급 정보'!$D$4,2,IF(INT(I250)&gt;='3월 등급 정보'!$D$5,3,IF(INT(I250)&gt;='3월 등급 정보'!$D$6,4,IF(INT(I250)&gt;='3월 등급 정보'!$D$7,5,IF(INT(I250)&gt;='3월 등급 정보'!$D$8,6,IF(INT(I250)&gt;='3월 등급 정보'!$D$9,7,IF(INT(I250)&gt;='3월 등급 정보'!$D$10,8,IF(INT(I250)&gt;='3월 등급 정보'!$D$11,9)))))))))</f>
        <v>7</v>
      </c>
      <c r="M250" s="34">
        <v>42</v>
      </c>
      <c r="N250" s="33"/>
      <c r="O250" s="33"/>
      <c r="P250" s="33">
        <f>IF(INT(M250)&gt;='3월 등급 정보'!$E$3,1,IF(INT(M250)&gt;='3월 등급 정보'!$E$4,2,IF(INT(M250)&gt;='3월 등급 정보'!$E$5,3,IF(INT(M250)&gt;='3월 등급 정보'!$E$6,4,IF(INT(M250)&gt;='3월 등급 정보'!$E$7,5,IF(INT(M250)&gt;='3월 등급 정보'!$E$8,6,IF(INT(M250)&gt;='3월 등급 정보'!$E$9,7,IF(INT(M250)&gt;='3월 등급 정보'!$E$10,8,IF(INT(M250)&gt;='3월 등급 정보'!$E$11,9)))))))))</f>
        <v>6</v>
      </c>
      <c r="Q250" s="34">
        <v>23.5</v>
      </c>
      <c r="R250" s="33"/>
      <c r="S250" s="33"/>
      <c r="T250" s="33">
        <f>IF(INT(Q250)&gt;='3월 등급 정보'!$F$3,1,IF(INT(Q250)&gt;='3월 등급 정보'!$F$4,2,IF(INT(Q250)&gt;='3월 등급 정보'!$F$5,3,IF(INT(Q250)&gt;='3월 등급 정보'!$F$6,4,IF(INT(Q250)&gt;='3월 등급 정보'!$F$7,5,IF(INT(Q250)&gt;='3월 등급 정보'!$F$8,6,IF(INT(Q250)&gt;='3월 등급 정보'!$F$9,7,IF(INT(Q250)&gt;='3월 등급 정보'!$F$10,8,IF(INT(Q250)&gt;='3월 등급 정보'!$F$11,9)))))))))</f>
        <v>6</v>
      </c>
      <c r="U250" s="34">
        <v>14.5</v>
      </c>
      <c r="V250" s="33"/>
      <c r="W250" s="33"/>
      <c r="X250" s="33">
        <f>IF(INT(U250)&gt;='3월 등급 정보'!$G$3,1,IF(INT(U250)&gt;='3월 등급 정보'!$G$4,2,IF(INT(U250)&gt;='3월 등급 정보'!$G$5,3,IF(INT(U250)&gt;='3월 등급 정보'!$G$6,4,IF(INT(U250)&gt;='3월 등급 정보'!$G$7,5,IF(INT(U250)&gt;='3월 등급 정보'!$G$8,6,IF(INT(U250)&gt;='3월 등급 정보'!$G$9,7,IF(INT(U250)&gt;='3월 등급 정보'!$G$10,8,IF(INT(U250)&gt;='3월 등급 정보'!$G$11,9)))))))))</f>
        <v>6</v>
      </c>
      <c r="Y250" s="34">
        <v>24</v>
      </c>
      <c r="Z250" s="33"/>
      <c r="AA250" s="33"/>
      <c r="AB250" s="33">
        <f>IF(INT(Y250)&gt;='3월 등급 정보'!$H$3,1,IF(INT(Y250)&gt;='3월 등급 정보'!$H$4,2,IF(INT(Y250)&gt;='3월 등급 정보'!$H$5,3,IF(INT(Y250)&gt;='3월 등급 정보'!$H$6,4,IF(INT(Y250)&gt;='3월 등급 정보'!$H$7,5,IF(INT(Y250)&gt;='3월 등급 정보'!$H$8,6,IF(INT(Y250)&gt;='3월 등급 정보'!$H$9,7,IF(INT(Y250)&gt;='3월 등급 정보'!$H$10,8,IF(INT(Y250)&gt;='3월 등급 정보'!$H$11,9)))))))))</f>
        <v>5</v>
      </c>
      <c r="AC250" s="33">
        <f>E250+I250+M250+Q250+U250</f>
        <v>140</v>
      </c>
      <c r="AD250" s="33">
        <f>RANK(AC250,$AC$3:$AC$273)</f>
        <v>248</v>
      </c>
    </row>
    <row r="251" spans="1:30" ht="17.25" customHeight="1">
      <c r="A251" s="33" t="s">
        <v>26</v>
      </c>
      <c r="B251" s="34">
        <v>8</v>
      </c>
      <c r="C251" s="34">
        <v>5</v>
      </c>
      <c r="D251" s="34" t="s">
        <v>217</v>
      </c>
      <c r="E251" s="34">
        <v>34</v>
      </c>
      <c r="F251" s="33"/>
      <c r="G251" s="33"/>
      <c r="H251" s="33">
        <f>IF(INT(E251)&gt;='3월 등급 정보'!$C$3,1,IF(INT(E251)&gt;='3월 등급 정보'!$C$4,2,IF(INT(E251)&gt;='3월 등급 정보'!$C$5,3,IF(INT(E251)&gt;='3월 등급 정보'!$C$6,4,IF(INT(E251)&gt;='3월 등급 정보'!$C$7,5,IF(INT(E251)&gt;='3월 등급 정보'!$C$8,6,IF(INT(E251)&gt;='3월 등급 정보'!$C$9,7,IF(INT(E251)&gt;='3월 등급 정보'!$C$10,8,IF(INT(E251)&gt;='3월 등급 정보'!$C$11,9)))))))))</f>
        <v>7</v>
      </c>
      <c r="I251" s="34">
        <v>33</v>
      </c>
      <c r="J251" s="33"/>
      <c r="K251" s="33"/>
      <c r="L251" s="33">
        <f>IF(INT(I251)&gt;='3월 등급 정보'!$D$3,1,IF(INT(I251)&gt;='3월 등급 정보'!$D$4,2,IF(INT(I251)&gt;='3월 등급 정보'!$D$5,3,IF(INT(I251)&gt;='3월 등급 정보'!$D$6,4,IF(INT(I251)&gt;='3월 등급 정보'!$D$7,5,IF(INT(I251)&gt;='3월 등급 정보'!$D$8,6,IF(INT(I251)&gt;='3월 등급 정보'!$D$9,7,IF(INT(I251)&gt;='3월 등급 정보'!$D$10,8,IF(INT(I251)&gt;='3월 등급 정보'!$D$11,9)))))))))</f>
        <v>6</v>
      </c>
      <c r="M251" s="34">
        <v>31</v>
      </c>
      <c r="N251" s="33"/>
      <c r="O251" s="33"/>
      <c r="P251" s="33">
        <f>IF(INT(M251)&gt;='3월 등급 정보'!$E$3,1,IF(INT(M251)&gt;='3월 등급 정보'!$E$4,2,IF(INT(M251)&gt;='3월 등급 정보'!$E$5,3,IF(INT(M251)&gt;='3월 등급 정보'!$E$6,4,IF(INT(M251)&gt;='3월 등급 정보'!$E$7,5,IF(INT(M251)&gt;='3월 등급 정보'!$E$8,6,IF(INT(M251)&gt;='3월 등급 정보'!$E$9,7,IF(INT(M251)&gt;='3월 등급 정보'!$E$10,8,IF(INT(M251)&gt;='3월 등급 정보'!$E$11,9)))))))))</f>
        <v>7</v>
      </c>
      <c r="Q251" s="34">
        <v>21.5</v>
      </c>
      <c r="R251" s="33"/>
      <c r="S251" s="33"/>
      <c r="T251" s="33">
        <f>IF(INT(Q251)&gt;='3월 등급 정보'!$F$3,1,IF(INT(Q251)&gt;='3월 등급 정보'!$F$4,2,IF(INT(Q251)&gt;='3월 등급 정보'!$F$5,3,IF(INT(Q251)&gt;='3월 등급 정보'!$F$6,4,IF(INT(Q251)&gt;='3월 등급 정보'!$F$7,5,IF(INT(Q251)&gt;='3월 등급 정보'!$F$8,6,IF(INT(Q251)&gt;='3월 등급 정보'!$F$9,7,IF(INT(Q251)&gt;='3월 등급 정보'!$F$10,8,IF(INT(Q251)&gt;='3월 등급 정보'!$F$11,9)))))))))</f>
        <v>6</v>
      </c>
      <c r="U251" s="34">
        <v>20</v>
      </c>
      <c r="V251" s="33"/>
      <c r="W251" s="33"/>
      <c r="X251" s="33">
        <f>IF(INT(U251)&gt;='3월 등급 정보'!$G$3,1,IF(INT(U251)&gt;='3월 등급 정보'!$G$4,2,IF(INT(U251)&gt;='3월 등급 정보'!$G$5,3,IF(INT(U251)&gt;='3월 등급 정보'!$G$6,4,IF(INT(U251)&gt;='3월 등급 정보'!$G$7,5,IF(INT(U251)&gt;='3월 등급 정보'!$G$8,6,IF(INT(U251)&gt;='3월 등급 정보'!$G$9,7,IF(INT(U251)&gt;='3월 등급 정보'!$G$10,8,IF(INT(U251)&gt;='3월 등급 정보'!$G$11,9)))))))))</f>
        <v>5</v>
      </c>
      <c r="Y251" s="34">
        <v>18</v>
      </c>
      <c r="Z251" s="33"/>
      <c r="AA251" s="33"/>
      <c r="AB251" s="33">
        <f>IF(INT(Y251)&gt;='3월 등급 정보'!$H$3,1,IF(INT(Y251)&gt;='3월 등급 정보'!$H$4,2,IF(INT(Y251)&gt;='3월 등급 정보'!$H$5,3,IF(INT(Y251)&gt;='3월 등급 정보'!$H$6,4,IF(INT(Y251)&gt;='3월 등급 정보'!$H$7,5,IF(INT(Y251)&gt;='3월 등급 정보'!$H$8,6,IF(INT(Y251)&gt;='3월 등급 정보'!$H$9,7,IF(INT(Y251)&gt;='3월 등급 정보'!$H$10,8,IF(INT(Y251)&gt;='3월 등급 정보'!$H$11,9)))))))))</f>
        <v>6</v>
      </c>
      <c r="AC251" s="33">
        <f>E251+I251+M251+Q251+U251</f>
        <v>139.5</v>
      </c>
      <c r="AD251" s="33">
        <f>RANK(AC251,$AC$3:$AC$273)</f>
        <v>249</v>
      </c>
    </row>
    <row r="252" spans="1:30" ht="17.25" customHeight="1">
      <c r="A252" s="33" t="s">
        <v>26</v>
      </c>
      <c r="B252" s="34">
        <v>9</v>
      </c>
      <c r="C252" s="34">
        <v>13</v>
      </c>
      <c r="D252" s="34" t="s">
        <v>250</v>
      </c>
      <c r="E252" s="34">
        <v>33</v>
      </c>
      <c r="F252" s="33"/>
      <c r="G252" s="33"/>
      <c r="H252" s="33">
        <f>IF(INT(E252)&gt;='3월 등급 정보'!$C$3,1,IF(INT(E252)&gt;='3월 등급 정보'!$C$4,2,IF(INT(E252)&gt;='3월 등급 정보'!$C$5,3,IF(INT(E252)&gt;='3월 등급 정보'!$C$6,4,IF(INT(E252)&gt;='3월 등급 정보'!$C$7,5,IF(INT(E252)&gt;='3월 등급 정보'!$C$8,6,IF(INT(E252)&gt;='3월 등급 정보'!$C$9,7,IF(INT(E252)&gt;='3월 등급 정보'!$C$10,8,IF(INT(E252)&gt;='3월 등급 정보'!$C$11,9)))))))))</f>
        <v>7</v>
      </c>
      <c r="I252" s="34">
        <v>23</v>
      </c>
      <c r="J252" s="33"/>
      <c r="K252" s="33"/>
      <c r="L252" s="33">
        <f>IF(INT(I252)&gt;='3월 등급 정보'!$D$3,1,IF(INT(I252)&gt;='3월 등급 정보'!$D$4,2,IF(INT(I252)&gt;='3월 등급 정보'!$D$5,3,IF(INT(I252)&gt;='3월 등급 정보'!$D$6,4,IF(INT(I252)&gt;='3월 등급 정보'!$D$7,5,IF(INT(I252)&gt;='3월 등급 정보'!$D$8,6,IF(INT(I252)&gt;='3월 등급 정보'!$D$9,7,IF(INT(I252)&gt;='3월 등급 정보'!$D$10,8,IF(INT(I252)&gt;='3월 등급 정보'!$D$11,9)))))))))</f>
        <v>7</v>
      </c>
      <c r="M252" s="34">
        <v>39</v>
      </c>
      <c r="N252" s="33"/>
      <c r="O252" s="33"/>
      <c r="P252" s="33">
        <f>IF(INT(M252)&gt;='3월 등급 정보'!$E$3,1,IF(INT(M252)&gt;='3월 등급 정보'!$E$4,2,IF(INT(M252)&gt;='3월 등급 정보'!$E$5,3,IF(INT(M252)&gt;='3월 등급 정보'!$E$6,4,IF(INT(M252)&gt;='3월 등급 정보'!$E$7,5,IF(INT(M252)&gt;='3월 등급 정보'!$E$8,6,IF(INT(M252)&gt;='3월 등급 정보'!$E$9,7,IF(INT(M252)&gt;='3월 등급 정보'!$E$10,8,IF(INT(M252)&gt;='3월 등급 정보'!$E$11,9)))))))))</f>
        <v>7</v>
      </c>
      <c r="Q252" s="34">
        <v>25</v>
      </c>
      <c r="R252" s="33"/>
      <c r="S252" s="33"/>
      <c r="T252" s="33">
        <f>IF(INT(Q252)&gt;='3월 등급 정보'!$F$3,1,IF(INT(Q252)&gt;='3월 등급 정보'!$F$4,2,IF(INT(Q252)&gt;='3월 등급 정보'!$F$5,3,IF(INT(Q252)&gt;='3월 등급 정보'!$F$6,4,IF(INT(Q252)&gt;='3월 등급 정보'!$F$7,5,IF(INT(Q252)&gt;='3월 등급 정보'!$F$8,6,IF(INT(Q252)&gt;='3월 등급 정보'!$F$9,7,IF(INT(Q252)&gt;='3월 등급 정보'!$F$10,8,IF(INT(Q252)&gt;='3월 등급 정보'!$F$11,9)))))))))</f>
        <v>6</v>
      </c>
      <c r="U252" s="34">
        <v>19</v>
      </c>
      <c r="V252" s="33"/>
      <c r="W252" s="33"/>
      <c r="X252" s="33">
        <f>IF(INT(U252)&gt;='3월 등급 정보'!$G$3,1,IF(INT(U252)&gt;='3월 등급 정보'!$G$4,2,IF(INT(U252)&gt;='3월 등급 정보'!$G$5,3,IF(INT(U252)&gt;='3월 등급 정보'!$G$6,4,IF(INT(U252)&gt;='3월 등급 정보'!$G$7,5,IF(INT(U252)&gt;='3월 등급 정보'!$G$8,6,IF(INT(U252)&gt;='3월 등급 정보'!$G$9,7,IF(INT(U252)&gt;='3월 등급 정보'!$G$10,8,IF(INT(U252)&gt;='3월 등급 정보'!$G$11,9)))))))))</f>
        <v>5</v>
      </c>
      <c r="Y252" s="34">
        <v>8</v>
      </c>
      <c r="Z252" s="33"/>
      <c r="AA252" s="33"/>
      <c r="AB252" s="33">
        <f>IF(INT(Y252)&gt;='3월 등급 정보'!$H$3,1,IF(INT(Y252)&gt;='3월 등급 정보'!$H$4,2,IF(INT(Y252)&gt;='3월 등급 정보'!$H$5,3,IF(INT(Y252)&gt;='3월 등급 정보'!$H$6,4,IF(INT(Y252)&gt;='3월 등급 정보'!$H$7,5,IF(INT(Y252)&gt;='3월 등급 정보'!$H$8,6,IF(INT(Y252)&gt;='3월 등급 정보'!$H$9,7,IF(INT(Y252)&gt;='3월 등급 정보'!$H$10,8,IF(INT(Y252)&gt;='3월 등급 정보'!$H$11,9)))))))))</f>
        <v>8</v>
      </c>
      <c r="AC252" s="33">
        <f>E252+I252+M252+Q252+U252</f>
        <v>139</v>
      </c>
      <c r="AD252" s="33">
        <f>RANK(AC252,$AC$3:$AC$273)</f>
        <v>250</v>
      </c>
    </row>
    <row r="253" spans="1:30" ht="17.25" customHeight="1">
      <c r="A253" s="33" t="s">
        <v>26</v>
      </c>
      <c r="B253" s="34">
        <v>8</v>
      </c>
      <c r="C253" s="34">
        <v>20</v>
      </c>
      <c r="D253" s="34" t="s">
        <v>231</v>
      </c>
      <c r="E253" s="34">
        <v>33</v>
      </c>
      <c r="F253" s="33"/>
      <c r="G253" s="33"/>
      <c r="H253" s="33">
        <f>IF(INT(E253)&gt;='3월 등급 정보'!$C$3,1,IF(INT(E253)&gt;='3월 등급 정보'!$C$4,2,IF(INT(E253)&gt;='3월 등급 정보'!$C$5,3,IF(INT(E253)&gt;='3월 등급 정보'!$C$6,4,IF(INT(E253)&gt;='3월 등급 정보'!$C$7,5,IF(INT(E253)&gt;='3월 등급 정보'!$C$8,6,IF(INT(E253)&gt;='3월 등급 정보'!$C$9,7,IF(INT(E253)&gt;='3월 등급 정보'!$C$10,8,IF(INT(E253)&gt;='3월 등급 정보'!$C$11,9)))))))))</f>
        <v>7</v>
      </c>
      <c r="I253" s="34">
        <v>43</v>
      </c>
      <c r="J253" s="33"/>
      <c r="K253" s="33"/>
      <c r="L253" s="33">
        <f>IF(INT(I253)&gt;='3월 등급 정보'!$D$3,1,IF(INT(I253)&gt;='3월 등급 정보'!$D$4,2,IF(INT(I253)&gt;='3월 등급 정보'!$D$5,3,IF(INT(I253)&gt;='3월 등급 정보'!$D$6,4,IF(INT(I253)&gt;='3월 등급 정보'!$D$7,5,IF(INT(I253)&gt;='3월 등급 정보'!$D$8,6,IF(INT(I253)&gt;='3월 등급 정보'!$D$9,7,IF(INT(I253)&gt;='3월 등급 정보'!$D$10,8,IF(INT(I253)&gt;='3월 등급 정보'!$D$11,9)))))))))</f>
        <v>5</v>
      </c>
      <c r="M253" s="34">
        <v>26</v>
      </c>
      <c r="N253" s="33"/>
      <c r="O253" s="33"/>
      <c r="P253" s="33">
        <f>IF(INT(M253)&gt;='3월 등급 정보'!$E$3,1,IF(INT(M253)&gt;='3월 등급 정보'!$E$4,2,IF(INT(M253)&gt;='3월 등급 정보'!$E$5,3,IF(INT(M253)&gt;='3월 등급 정보'!$E$6,4,IF(INT(M253)&gt;='3월 등급 정보'!$E$7,5,IF(INT(M253)&gt;='3월 등급 정보'!$E$8,6,IF(INT(M253)&gt;='3월 등급 정보'!$E$9,7,IF(INT(M253)&gt;='3월 등급 정보'!$E$10,8,IF(INT(M253)&gt;='3월 등급 정보'!$E$11,9)))))))))</f>
        <v>8</v>
      </c>
      <c r="Q253" s="34">
        <v>20.5</v>
      </c>
      <c r="R253" s="33"/>
      <c r="S253" s="33"/>
      <c r="T253" s="33">
        <f>IF(INT(Q253)&gt;='3월 등급 정보'!$F$3,1,IF(INT(Q253)&gt;='3월 등급 정보'!$F$4,2,IF(INT(Q253)&gt;='3월 등급 정보'!$F$5,3,IF(INT(Q253)&gt;='3월 등급 정보'!$F$6,4,IF(INT(Q253)&gt;='3월 등급 정보'!$F$7,5,IF(INT(Q253)&gt;='3월 등급 정보'!$F$8,6,IF(INT(Q253)&gt;='3월 등급 정보'!$F$9,7,IF(INT(Q253)&gt;='3월 등급 정보'!$F$10,8,IF(INT(Q253)&gt;='3월 등급 정보'!$F$11,9)))))))))</f>
        <v>6</v>
      </c>
      <c r="U253" s="34">
        <v>16</v>
      </c>
      <c r="V253" s="33"/>
      <c r="W253" s="33"/>
      <c r="X253" s="33">
        <f>IF(INT(U253)&gt;='3월 등급 정보'!$G$3,1,IF(INT(U253)&gt;='3월 등급 정보'!$G$4,2,IF(INT(U253)&gt;='3월 등급 정보'!$G$5,3,IF(INT(U253)&gt;='3월 등급 정보'!$G$6,4,IF(INT(U253)&gt;='3월 등급 정보'!$G$7,5,IF(INT(U253)&gt;='3월 등급 정보'!$G$8,6,IF(INT(U253)&gt;='3월 등급 정보'!$G$9,7,IF(INT(U253)&gt;='3월 등급 정보'!$G$10,8,IF(INT(U253)&gt;='3월 등급 정보'!$G$11,9)))))))))</f>
        <v>6</v>
      </c>
      <c r="Y253" s="34">
        <v>12</v>
      </c>
      <c r="Z253" s="33"/>
      <c r="AA253" s="33"/>
      <c r="AB253" s="33">
        <f>IF(INT(Y253)&gt;='3월 등급 정보'!$H$3,1,IF(INT(Y253)&gt;='3월 등급 정보'!$H$4,2,IF(INT(Y253)&gt;='3월 등급 정보'!$H$5,3,IF(INT(Y253)&gt;='3월 등급 정보'!$H$6,4,IF(INT(Y253)&gt;='3월 등급 정보'!$H$7,5,IF(INT(Y253)&gt;='3월 등급 정보'!$H$8,6,IF(INT(Y253)&gt;='3월 등급 정보'!$H$9,7,IF(INT(Y253)&gt;='3월 등급 정보'!$H$10,8,IF(INT(Y253)&gt;='3월 등급 정보'!$H$11,9)))))))))</f>
        <v>7</v>
      </c>
      <c r="AC253" s="33">
        <f>E253+I253+M253+Q253+U253</f>
        <v>138.5</v>
      </c>
      <c r="AD253" s="33">
        <f>RANK(AC253,$AC$3:$AC$273)</f>
        <v>251</v>
      </c>
    </row>
    <row r="254" spans="1:30" ht="17.25" customHeight="1">
      <c r="A254" s="33" t="s">
        <v>26</v>
      </c>
      <c r="B254" s="34">
        <v>4</v>
      </c>
      <c r="C254" s="34">
        <v>28</v>
      </c>
      <c r="D254" s="34" t="s">
        <v>132</v>
      </c>
      <c r="E254" s="34">
        <v>20</v>
      </c>
      <c r="F254" s="33"/>
      <c r="G254" s="33"/>
      <c r="H254" s="33">
        <f>IF(INT(E254)&gt;='3월 등급 정보'!$C$3,1,IF(INT(E254)&gt;='3월 등급 정보'!$C$4,2,IF(INT(E254)&gt;='3월 등급 정보'!$C$5,3,IF(INT(E254)&gt;='3월 등급 정보'!$C$6,4,IF(INT(E254)&gt;='3월 등급 정보'!$C$7,5,IF(INT(E254)&gt;='3월 등급 정보'!$C$8,6,IF(INT(E254)&gt;='3월 등급 정보'!$C$9,7,IF(INT(E254)&gt;='3월 등급 정보'!$C$10,8,IF(INT(E254)&gt;='3월 등급 정보'!$C$11,9)))))))))</f>
        <v>8</v>
      </c>
      <c r="I254" s="34">
        <v>31</v>
      </c>
      <c r="J254" s="33"/>
      <c r="K254" s="33"/>
      <c r="L254" s="33">
        <f>IF(INT(I254)&gt;='3월 등급 정보'!$D$3,1,IF(INT(I254)&gt;='3월 등급 정보'!$D$4,2,IF(INT(I254)&gt;='3월 등급 정보'!$D$5,3,IF(INT(I254)&gt;='3월 등급 정보'!$D$6,4,IF(INT(I254)&gt;='3월 등급 정보'!$D$7,5,IF(INT(I254)&gt;='3월 등급 정보'!$D$8,6,IF(INT(I254)&gt;='3월 등급 정보'!$D$9,7,IF(INT(I254)&gt;='3월 등급 정보'!$D$10,8,IF(INT(I254)&gt;='3월 등급 정보'!$D$11,9)))))))))</f>
        <v>6</v>
      </c>
      <c r="M254" s="34">
        <v>47</v>
      </c>
      <c r="N254" s="33"/>
      <c r="O254" s="33"/>
      <c r="P254" s="33">
        <f>IF(INT(M254)&gt;='3월 등급 정보'!$E$3,1,IF(INT(M254)&gt;='3월 등급 정보'!$E$4,2,IF(INT(M254)&gt;='3월 등급 정보'!$E$5,3,IF(INT(M254)&gt;='3월 등급 정보'!$E$6,4,IF(INT(M254)&gt;='3월 등급 정보'!$E$7,5,IF(INT(M254)&gt;='3월 등급 정보'!$E$8,6,IF(INT(M254)&gt;='3월 등급 정보'!$E$9,7,IF(INT(M254)&gt;='3월 등급 정보'!$E$10,8,IF(INT(M254)&gt;='3월 등급 정보'!$E$11,9)))))))))</f>
        <v>6</v>
      </c>
      <c r="Q254" s="34">
        <v>21</v>
      </c>
      <c r="R254" s="33"/>
      <c r="S254" s="33"/>
      <c r="T254" s="33">
        <f>IF(INT(Q254)&gt;='3월 등급 정보'!$F$3,1,IF(INT(Q254)&gt;='3월 등급 정보'!$F$4,2,IF(INT(Q254)&gt;='3월 등급 정보'!$F$5,3,IF(INT(Q254)&gt;='3월 등급 정보'!$F$6,4,IF(INT(Q254)&gt;='3월 등급 정보'!$F$7,5,IF(INT(Q254)&gt;='3월 등급 정보'!$F$8,6,IF(INT(Q254)&gt;='3월 등급 정보'!$F$9,7,IF(INT(Q254)&gt;='3월 등급 정보'!$F$10,8,IF(INT(Q254)&gt;='3월 등급 정보'!$F$11,9)))))))))</f>
        <v>6</v>
      </c>
      <c r="U254" s="34">
        <v>17</v>
      </c>
      <c r="V254" s="33"/>
      <c r="W254" s="33"/>
      <c r="X254" s="33">
        <f>IF(INT(U254)&gt;='3월 등급 정보'!$G$3,1,IF(INT(U254)&gt;='3월 등급 정보'!$G$4,2,IF(INT(U254)&gt;='3월 등급 정보'!$G$5,3,IF(INT(U254)&gt;='3월 등급 정보'!$G$6,4,IF(INT(U254)&gt;='3월 등급 정보'!$G$7,5,IF(INT(U254)&gt;='3월 등급 정보'!$G$8,6,IF(INT(U254)&gt;='3월 등급 정보'!$G$9,7,IF(INT(U254)&gt;='3월 등급 정보'!$G$10,8,IF(INT(U254)&gt;='3월 등급 정보'!$G$11,9)))))))))</f>
        <v>6</v>
      </c>
      <c r="Y254" s="34">
        <v>25</v>
      </c>
      <c r="Z254" s="33"/>
      <c r="AA254" s="33"/>
      <c r="AB254" s="33">
        <f>IF(INT(Y254)&gt;='3월 등급 정보'!$H$3,1,IF(INT(Y254)&gt;='3월 등급 정보'!$H$4,2,IF(INT(Y254)&gt;='3월 등급 정보'!$H$5,3,IF(INT(Y254)&gt;='3월 등급 정보'!$H$6,4,IF(INT(Y254)&gt;='3월 등급 정보'!$H$7,5,IF(INT(Y254)&gt;='3월 등급 정보'!$H$8,6,IF(INT(Y254)&gt;='3월 등급 정보'!$H$9,7,IF(INT(Y254)&gt;='3월 등급 정보'!$H$10,8,IF(INT(Y254)&gt;='3월 등급 정보'!$H$11,9)))))))))</f>
        <v>4</v>
      </c>
      <c r="AC254" s="33">
        <f>E254+I254+M254+Q254+U254</f>
        <v>136</v>
      </c>
      <c r="AD254" s="33">
        <f>RANK(AC254,$AC$3:$AC$273)</f>
        <v>252</v>
      </c>
    </row>
    <row r="255" spans="1:30" ht="17.25" customHeight="1">
      <c r="A255" s="33" t="s">
        <v>26</v>
      </c>
      <c r="B255" s="34">
        <v>5</v>
      </c>
      <c r="C255" s="34">
        <v>24</v>
      </c>
      <c r="D255" s="34" t="s">
        <v>154</v>
      </c>
      <c r="E255" s="34">
        <v>35</v>
      </c>
      <c r="F255" s="33"/>
      <c r="G255" s="33"/>
      <c r="H255" s="33">
        <f>IF(INT(E255)&gt;='3월 등급 정보'!$C$3,1,IF(INT(E255)&gt;='3월 등급 정보'!$C$4,2,IF(INT(E255)&gt;='3월 등급 정보'!$C$5,3,IF(INT(E255)&gt;='3월 등급 정보'!$C$6,4,IF(INT(E255)&gt;='3월 등급 정보'!$C$7,5,IF(INT(E255)&gt;='3월 등급 정보'!$C$8,6,IF(INT(E255)&gt;='3월 등급 정보'!$C$9,7,IF(INT(E255)&gt;='3월 등급 정보'!$C$10,8,IF(INT(E255)&gt;='3월 등급 정보'!$C$11,9)))))))))</f>
        <v>7</v>
      </c>
      <c r="I255" s="34">
        <v>15</v>
      </c>
      <c r="J255" s="33"/>
      <c r="K255" s="33"/>
      <c r="L255" s="33">
        <f>IF(INT(I255)&gt;='3월 등급 정보'!$D$3,1,IF(INT(I255)&gt;='3월 등급 정보'!$D$4,2,IF(INT(I255)&gt;='3월 등급 정보'!$D$5,3,IF(INT(I255)&gt;='3월 등급 정보'!$D$6,4,IF(INT(I255)&gt;='3월 등급 정보'!$D$7,5,IF(INT(I255)&gt;='3월 등급 정보'!$D$8,6,IF(INT(I255)&gt;='3월 등급 정보'!$D$9,7,IF(INT(I255)&gt;='3월 등급 정보'!$D$10,8,IF(INT(I255)&gt;='3월 등급 정보'!$D$11,9)))))))))</f>
        <v>8</v>
      </c>
      <c r="M255" s="34">
        <v>37</v>
      </c>
      <c r="N255" s="33"/>
      <c r="O255" s="33"/>
      <c r="P255" s="33">
        <f>IF(INT(M255)&gt;='3월 등급 정보'!$E$3,1,IF(INT(M255)&gt;='3월 등급 정보'!$E$4,2,IF(INT(M255)&gt;='3월 등급 정보'!$E$5,3,IF(INT(M255)&gt;='3월 등급 정보'!$E$6,4,IF(INT(M255)&gt;='3월 등급 정보'!$E$7,5,IF(INT(M255)&gt;='3월 등급 정보'!$E$8,6,IF(INT(M255)&gt;='3월 등급 정보'!$E$9,7,IF(INT(M255)&gt;='3월 등급 정보'!$E$10,8,IF(INT(M255)&gt;='3월 등급 정보'!$E$11,9)))))))))</f>
        <v>7</v>
      </c>
      <c r="Q255" s="34">
        <v>27.5</v>
      </c>
      <c r="R255" s="33"/>
      <c r="S255" s="33"/>
      <c r="T255" s="33">
        <f>IF(INT(Q255)&gt;='3월 등급 정보'!$F$3,1,IF(INT(Q255)&gt;='3월 등급 정보'!$F$4,2,IF(INT(Q255)&gt;='3월 등급 정보'!$F$5,3,IF(INT(Q255)&gt;='3월 등급 정보'!$F$6,4,IF(INT(Q255)&gt;='3월 등급 정보'!$F$7,5,IF(INT(Q255)&gt;='3월 등급 정보'!$F$8,6,IF(INT(Q255)&gt;='3월 등급 정보'!$F$9,7,IF(INT(Q255)&gt;='3월 등급 정보'!$F$10,8,IF(INT(Q255)&gt;='3월 등급 정보'!$F$11,9)))))))))</f>
        <v>5</v>
      </c>
      <c r="U255" s="34">
        <v>15</v>
      </c>
      <c r="V255" s="33"/>
      <c r="W255" s="33"/>
      <c r="X255" s="33">
        <f>IF(INT(U255)&gt;='3월 등급 정보'!$G$3,1,IF(INT(U255)&gt;='3월 등급 정보'!$G$4,2,IF(INT(U255)&gt;='3월 등급 정보'!$G$5,3,IF(INT(U255)&gt;='3월 등급 정보'!$G$6,4,IF(INT(U255)&gt;='3월 등급 정보'!$G$7,5,IF(INT(U255)&gt;='3월 등급 정보'!$G$8,6,IF(INT(U255)&gt;='3월 등급 정보'!$G$9,7,IF(INT(U255)&gt;='3월 등급 정보'!$G$10,8,IF(INT(U255)&gt;='3월 등급 정보'!$G$11,9)))))))))</f>
        <v>6</v>
      </c>
      <c r="Y255" s="34">
        <v>19</v>
      </c>
      <c r="Z255" s="33"/>
      <c r="AA255" s="33"/>
      <c r="AB255" s="33">
        <f>IF(INT(Y255)&gt;='3월 등급 정보'!$H$3,1,IF(INT(Y255)&gt;='3월 등급 정보'!$H$4,2,IF(INT(Y255)&gt;='3월 등급 정보'!$H$5,3,IF(INT(Y255)&gt;='3월 등급 정보'!$H$6,4,IF(INT(Y255)&gt;='3월 등급 정보'!$H$7,5,IF(INT(Y255)&gt;='3월 등급 정보'!$H$8,6,IF(INT(Y255)&gt;='3월 등급 정보'!$H$9,7,IF(INT(Y255)&gt;='3월 등급 정보'!$H$10,8,IF(INT(Y255)&gt;='3월 등급 정보'!$H$11,9)))))))))</f>
        <v>6</v>
      </c>
      <c r="AC255" s="33">
        <f>E255+I255+M255+Q255+U255</f>
        <v>129.5</v>
      </c>
      <c r="AD255" s="33">
        <f>RANK(AC255,$AC$3:$AC$273)</f>
        <v>253</v>
      </c>
    </row>
    <row r="256" spans="1:30" ht="17.25" customHeight="1">
      <c r="A256" s="33" t="s">
        <v>26</v>
      </c>
      <c r="B256" s="34">
        <v>1</v>
      </c>
      <c r="C256" s="34">
        <v>4</v>
      </c>
      <c r="D256" s="34" t="s">
        <v>31</v>
      </c>
      <c r="E256" s="34">
        <v>24</v>
      </c>
      <c r="F256" s="33"/>
      <c r="G256" s="33"/>
      <c r="H256" s="33">
        <f>IF(INT(E256)&gt;='3월 등급 정보'!$C$3,1,IF(INT(E256)&gt;='3월 등급 정보'!$C$4,2,IF(INT(E256)&gt;='3월 등급 정보'!$C$5,3,IF(INT(E256)&gt;='3월 등급 정보'!$C$6,4,IF(INT(E256)&gt;='3월 등급 정보'!$C$7,5,IF(INT(E256)&gt;='3월 등급 정보'!$C$8,6,IF(INT(E256)&gt;='3월 등급 정보'!$C$9,7,IF(INT(E256)&gt;='3월 등급 정보'!$C$10,8,IF(INT(E256)&gt;='3월 등급 정보'!$C$11,9)))))))))</f>
        <v>8</v>
      </c>
      <c r="I256" s="34">
        <v>29</v>
      </c>
      <c r="J256" s="33"/>
      <c r="K256" s="33"/>
      <c r="L256" s="33">
        <f>IF(INT(I256)&gt;='3월 등급 정보'!$D$3,1,IF(INT(I256)&gt;='3월 등급 정보'!$D$4,2,IF(INT(I256)&gt;='3월 등급 정보'!$D$5,3,IF(INT(I256)&gt;='3월 등급 정보'!$D$6,4,IF(INT(I256)&gt;='3월 등급 정보'!$D$7,5,IF(INT(I256)&gt;='3월 등급 정보'!$D$8,6,IF(INT(I256)&gt;='3월 등급 정보'!$D$9,7,IF(INT(I256)&gt;='3월 등급 정보'!$D$10,8,IF(INT(I256)&gt;='3월 등급 정보'!$D$11,9)))))))))</f>
        <v>6</v>
      </c>
      <c r="M256" s="34">
        <v>31</v>
      </c>
      <c r="N256" s="33"/>
      <c r="O256" s="33"/>
      <c r="P256" s="33">
        <f>IF(INT(M256)&gt;='3월 등급 정보'!$E$3,1,IF(INT(M256)&gt;='3월 등급 정보'!$E$4,2,IF(INT(M256)&gt;='3월 등급 정보'!$E$5,3,IF(INT(M256)&gt;='3월 등급 정보'!$E$6,4,IF(INT(M256)&gt;='3월 등급 정보'!$E$7,5,IF(INT(M256)&gt;='3월 등급 정보'!$E$8,6,IF(INT(M256)&gt;='3월 등급 정보'!$E$9,7,IF(INT(M256)&gt;='3월 등급 정보'!$E$10,8,IF(INT(M256)&gt;='3월 등급 정보'!$E$11,9)))))))))</f>
        <v>7</v>
      </c>
      <c r="Q256" s="34">
        <v>23</v>
      </c>
      <c r="R256" s="33"/>
      <c r="S256" s="33"/>
      <c r="T256" s="33">
        <f>IF(INT(Q256)&gt;='3월 등급 정보'!$F$3,1,IF(INT(Q256)&gt;='3월 등급 정보'!$F$4,2,IF(INT(Q256)&gt;='3월 등급 정보'!$F$5,3,IF(INT(Q256)&gt;='3월 등급 정보'!$F$6,4,IF(INT(Q256)&gt;='3월 등급 정보'!$F$7,5,IF(INT(Q256)&gt;='3월 등급 정보'!$F$8,6,IF(INT(Q256)&gt;='3월 등급 정보'!$F$9,7,IF(INT(Q256)&gt;='3월 등급 정보'!$F$10,8,IF(INT(Q256)&gt;='3월 등급 정보'!$F$11,9)))))))))</f>
        <v>6</v>
      </c>
      <c r="U256" s="34">
        <v>21</v>
      </c>
      <c r="V256" s="33"/>
      <c r="W256" s="33"/>
      <c r="X256" s="33">
        <f>IF(INT(U256)&gt;='3월 등급 정보'!$G$3,1,IF(INT(U256)&gt;='3월 등급 정보'!$G$4,2,IF(INT(U256)&gt;='3월 등급 정보'!$G$5,3,IF(INT(U256)&gt;='3월 등급 정보'!$G$6,4,IF(INT(U256)&gt;='3월 등급 정보'!$G$7,5,IF(INT(U256)&gt;='3월 등급 정보'!$G$8,6,IF(INT(U256)&gt;='3월 등급 정보'!$G$9,7,IF(INT(U256)&gt;='3월 등급 정보'!$G$10,8,IF(INT(U256)&gt;='3월 등급 정보'!$G$11,9)))))))))</f>
        <v>5</v>
      </c>
      <c r="Y256" s="34">
        <v>26</v>
      </c>
      <c r="Z256" s="33"/>
      <c r="AA256" s="33"/>
      <c r="AB256" s="33">
        <f>IF(INT(Y256)&gt;='3월 등급 정보'!$H$3,1,IF(INT(Y256)&gt;='3월 등급 정보'!$H$4,2,IF(INT(Y256)&gt;='3월 등급 정보'!$H$5,3,IF(INT(Y256)&gt;='3월 등급 정보'!$H$6,4,IF(INT(Y256)&gt;='3월 등급 정보'!$H$7,5,IF(INT(Y256)&gt;='3월 등급 정보'!$H$8,6,IF(INT(Y256)&gt;='3월 등급 정보'!$H$9,7,IF(INT(Y256)&gt;='3월 등급 정보'!$H$10,8,IF(INT(Y256)&gt;='3월 등급 정보'!$H$11,9)))))))))</f>
        <v>4</v>
      </c>
      <c r="AC256" s="33">
        <f>E256+I256+M256+Q256+U256</f>
        <v>128</v>
      </c>
      <c r="AD256" s="33">
        <f>RANK(AC256,$AC$3:$AC$273)</f>
        <v>254</v>
      </c>
    </row>
    <row r="257" spans="1:30" ht="17.25" customHeight="1">
      <c r="A257" s="33" t="s">
        <v>26</v>
      </c>
      <c r="B257" s="34">
        <v>6</v>
      </c>
      <c r="C257" s="34">
        <v>17</v>
      </c>
      <c r="D257" s="34" t="s">
        <v>175</v>
      </c>
      <c r="E257" s="34">
        <v>40</v>
      </c>
      <c r="F257" s="33"/>
      <c r="G257" s="33"/>
      <c r="H257" s="33">
        <f>IF(INT(E257)&gt;='3월 등급 정보'!$C$3,1,IF(INT(E257)&gt;='3월 등급 정보'!$C$4,2,IF(INT(E257)&gt;='3월 등급 정보'!$C$5,3,IF(INT(E257)&gt;='3월 등급 정보'!$C$6,4,IF(INT(E257)&gt;='3월 등급 정보'!$C$7,5,IF(INT(E257)&gt;='3월 등급 정보'!$C$8,6,IF(INT(E257)&gt;='3월 등급 정보'!$C$9,7,IF(INT(E257)&gt;='3월 등급 정보'!$C$10,8,IF(INT(E257)&gt;='3월 등급 정보'!$C$11,9)))))))))</f>
        <v>6</v>
      </c>
      <c r="I257" s="34">
        <v>24</v>
      </c>
      <c r="J257" s="33"/>
      <c r="K257" s="33"/>
      <c r="L257" s="33">
        <f>IF(INT(I257)&gt;='3월 등급 정보'!$D$3,1,IF(INT(I257)&gt;='3월 등급 정보'!$D$4,2,IF(INT(I257)&gt;='3월 등급 정보'!$D$5,3,IF(INT(I257)&gt;='3월 등급 정보'!$D$6,4,IF(INT(I257)&gt;='3월 등급 정보'!$D$7,5,IF(INT(I257)&gt;='3월 등급 정보'!$D$8,6,IF(INT(I257)&gt;='3월 등급 정보'!$D$9,7,IF(INT(I257)&gt;='3월 등급 정보'!$D$10,8,IF(INT(I257)&gt;='3월 등급 정보'!$D$11,9)))))))))</f>
        <v>7</v>
      </c>
      <c r="M257" s="34">
        <v>26</v>
      </c>
      <c r="N257" s="33"/>
      <c r="O257" s="33"/>
      <c r="P257" s="33">
        <f>IF(INT(M257)&gt;='3월 등급 정보'!$E$3,1,IF(INT(M257)&gt;='3월 등급 정보'!$E$4,2,IF(INT(M257)&gt;='3월 등급 정보'!$E$5,3,IF(INT(M257)&gt;='3월 등급 정보'!$E$6,4,IF(INT(M257)&gt;='3월 등급 정보'!$E$7,5,IF(INT(M257)&gt;='3월 등급 정보'!$E$8,6,IF(INT(M257)&gt;='3월 등급 정보'!$E$9,7,IF(INT(M257)&gt;='3월 등급 정보'!$E$10,8,IF(INT(M257)&gt;='3월 등급 정보'!$E$11,9)))))))))</f>
        <v>8</v>
      </c>
      <c r="Q257" s="34">
        <v>27.5</v>
      </c>
      <c r="R257" s="33"/>
      <c r="S257" s="33"/>
      <c r="T257" s="33">
        <f>IF(INT(Q257)&gt;='3월 등급 정보'!$F$3,1,IF(INT(Q257)&gt;='3월 등급 정보'!$F$4,2,IF(INT(Q257)&gt;='3월 등급 정보'!$F$5,3,IF(INT(Q257)&gt;='3월 등급 정보'!$F$6,4,IF(INT(Q257)&gt;='3월 등급 정보'!$F$7,5,IF(INT(Q257)&gt;='3월 등급 정보'!$F$8,6,IF(INT(Q257)&gt;='3월 등급 정보'!$F$9,7,IF(INT(Q257)&gt;='3월 등급 정보'!$F$10,8,IF(INT(Q257)&gt;='3월 등급 정보'!$F$11,9)))))))))</f>
        <v>5</v>
      </c>
      <c r="U257" s="34">
        <v>9</v>
      </c>
      <c r="V257" s="33"/>
      <c r="W257" s="33"/>
      <c r="X257" s="33">
        <f>IF(INT(U257)&gt;='3월 등급 정보'!$G$3,1,IF(INT(U257)&gt;='3월 등급 정보'!$G$4,2,IF(INT(U257)&gt;='3월 등급 정보'!$G$5,3,IF(INT(U257)&gt;='3월 등급 정보'!$G$6,4,IF(INT(U257)&gt;='3월 등급 정보'!$G$7,5,IF(INT(U257)&gt;='3월 등급 정보'!$G$8,6,IF(INT(U257)&gt;='3월 등급 정보'!$G$9,7,IF(INT(U257)&gt;='3월 등급 정보'!$G$10,8,IF(INT(U257)&gt;='3월 등급 정보'!$G$11,9)))))))))</f>
        <v>8</v>
      </c>
      <c r="Y257" s="34">
        <v>23</v>
      </c>
      <c r="Z257" s="33"/>
      <c r="AA257" s="33"/>
      <c r="AB257" s="33">
        <f>IF(INT(Y257)&gt;='3월 등급 정보'!$H$3,1,IF(INT(Y257)&gt;='3월 등급 정보'!$H$4,2,IF(INT(Y257)&gt;='3월 등급 정보'!$H$5,3,IF(INT(Y257)&gt;='3월 등급 정보'!$H$6,4,IF(INT(Y257)&gt;='3월 등급 정보'!$H$7,5,IF(INT(Y257)&gt;='3월 등급 정보'!$H$8,6,IF(INT(Y257)&gt;='3월 등급 정보'!$H$9,7,IF(INT(Y257)&gt;='3월 등급 정보'!$H$10,8,IF(INT(Y257)&gt;='3월 등급 정보'!$H$11,9)))))))))</f>
        <v>5</v>
      </c>
      <c r="AC257" s="33">
        <f>E257+I257+M257+Q257+U257</f>
        <v>126.5</v>
      </c>
      <c r="AD257" s="33">
        <f>RANK(AC257,$AC$3:$AC$273)</f>
        <v>255</v>
      </c>
    </row>
    <row r="258" spans="1:30" ht="17.25" customHeight="1">
      <c r="A258" s="33" t="s">
        <v>26</v>
      </c>
      <c r="B258" s="34">
        <v>6</v>
      </c>
      <c r="C258" s="34">
        <v>5</v>
      </c>
      <c r="D258" s="34" t="s">
        <v>163</v>
      </c>
      <c r="E258" s="34">
        <v>26</v>
      </c>
      <c r="F258" s="33"/>
      <c r="G258" s="33"/>
      <c r="H258" s="33">
        <f>IF(INT(E258)&gt;='3월 등급 정보'!$C$3,1,IF(INT(E258)&gt;='3월 등급 정보'!$C$4,2,IF(INT(E258)&gt;='3월 등급 정보'!$C$5,3,IF(INT(E258)&gt;='3월 등급 정보'!$C$6,4,IF(INT(E258)&gt;='3월 등급 정보'!$C$7,5,IF(INT(E258)&gt;='3월 등급 정보'!$C$8,6,IF(INT(E258)&gt;='3월 등급 정보'!$C$9,7,IF(INT(E258)&gt;='3월 등급 정보'!$C$10,8,IF(INT(E258)&gt;='3월 등급 정보'!$C$11,9)))))))))</f>
        <v>8</v>
      </c>
      <c r="I258" s="34">
        <v>21</v>
      </c>
      <c r="J258" s="33"/>
      <c r="K258" s="33"/>
      <c r="L258" s="33">
        <f>IF(INT(I258)&gt;='3월 등급 정보'!$D$3,1,IF(INT(I258)&gt;='3월 등급 정보'!$D$4,2,IF(INT(I258)&gt;='3월 등급 정보'!$D$5,3,IF(INT(I258)&gt;='3월 등급 정보'!$D$6,4,IF(INT(I258)&gt;='3월 등급 정보'!$D$7,5,IF(INT(I258)&gt;='3월 등급 정보'!$D$8,6,IF(INT(I258)&gt;='3월 등급 정보'!$D$9,7,IF(INT(I258)&gt;='3월 등급 정보'!$D$10,8,IF(INT(I258)&gt;='3월 등급 정보'!$D$11,9)))))))))</f>
        <v>7</v>
      </c>
      <c r="M258" s="34">
        <v>55</v>
      </c>
      <c r="N258" s="33"/>
      <c r="O258" s="33"/>
      <c r="P258" s="33">
        <f>IF(INT(M258)&gt;='3월 등급 정보'!$E$3,1,IF(INT(M258)&gt;='3월 등급 정보'!$E$4,2,IF(INT(M258)&gt;='3월 등급 정보'!$E$5,3,IF(INT(M258)&gt;='3월 등급 정보'!$E$6,4,IF(INT(M258)&gt;='3월 등급 정보'!$E$7,5,IF(INT(M258)&gt;='3월 등급 정보'!$E$8,6,IF(INT(M258)&gt;='3월 등급 정보'!$E$9,7,IF(INT(M258)&gt;='3월 등급 정보'!$E$10,8,IF(INT(M258)&gt;='3월 등급 정보'!$E$11,9)))))))))</f>
        <v>5</v>
      </c>
      <c r="Q258" s="34">
        <v>10</v>
      </c>
      <c r="R258" s="33"/>
      <c r="S258" s="33"/>
      <c r="T258" s="33">
        <f>IF(INT(Q258)&gt;='3월 등급 정보'!$F$3,1,IF(INT(Q258)&gt;='3월 등급 정보'!$F$4,2,IF(INT(Q258)&gt;='3월 등급 정보'!$F$5,3,IF(INT(Q258)&gt;='3월 등급 정보'!$F$6,4,IF(INT(Q258)&gt;='3월 등급 정보'!$F$7,5,IF(INT(Q258)&gt;='3월 등급 정보'!$F$8,6,IF(INT(Q258)&gt;='3월 등급 정보'!$F$9,7,IF(INT(Q258)&gt;='3월 등급 정보'!$F$10,8,IF(INT(Q258)&gt;='3월 등급 정보'!$F$11,9)))))))))</f>
        <v>8</v>
      </c>
      <c r="U258" s="34">
        <v>11</v>
      </c>
      <c r="V258" s="33"/>
      <c r="W258" s="33"/>
      <c r="X258" s="33">
        <f>IF(INT(U258)&gt;='3월 등급 정보'!$G$3,1,IF(INT(U258)&gt;='3월 등급 정보'!$G$4,2,IF(INT(U258)&gt;='3월 등급 정보'!$G$5,3,IF(INT(U258)&gt;='3월 등급 정보'!$G$6,4,IF(INT(U258)&gt;='3월 등급 정보'!$G$7,5,IF(INT(U258)&gt;='3월 등급 정보'!$G$8,6,IF(INT(U258)&gt;='3월 등급 정보'!$G$9,7,IF(INT(U258)&gt;='3월 등급 정보'!$G$10,8,IF(INT(U258)&gt;='3월 등급 정보'!$G$11,9)))))))))</f>
        <v>7</v>
      </c>
      <c r="Y258" s="34">
        <v>15</v>
      </c>
      <c r="Z258" s="33"/>
      <c r="AA258" s="33"/>
      <c r="AB258" s="33">
        <f>IF(INT(Y258)&gt;='3월 등급 정보'!$H$3,1,IF(INT(Y258)&gt;='3월 등급 정보'!$H$4,2,IF(INT(Y258)&gt;='3월 등급 정보'!$H$5,3,IF(INT(Y258)&gt;='3월 등급 정보'!$H$6,4,IF(INT(Y258)&gt;='3월 등급 정보'!$H$7,5,IF(INT(Y258)&gt;='3월 등급 정보'!$H$8,6,IF(INT(Y258)&gt;='3월 등급 정보'!$H$9,7,IF(INT(Y258)&gt;='3월 등급 정보'!$H$10,8,IF(INT(Y258)&gt;='3월 등급 정보'!$H$11,9)))))))))</f>
        <v>6</v>
      </c>
      <c r="AC258" s="33">
        <f>E258+I258+M258+Q258+U258</f>
        <v>123</v>
      </c>
      <c r="AD258" s="33">
        <f>RANK(AC258,$AC$3:$AC$273)</f>
        <v>256</v>
      </c>
    </row>
    <row r="259" spans="1:30" ht="17.25" customHeight="1">
      <c r="A259" s="33" t="s">
        <v>26</v>
      </c>
      <c r="B259" s="34">
        <v>5</v>
      </c>
      <c r="C259" s="34">
        <v>20</v>
      </c>
      <c r="D259" s="34" t="s">
        <v>150</v>
      </c>
      <c r="E259" s="34">
        <v>28</v>
      </c>
      <c r="F259" s="33"/>
      <c r="G259" s="33"/>
      <c r="H259" s="33">
        <f>IF(INT(E259)&gt;='3월 등급 정보'!$C$3,1,IF(INT(E259)&gt;='3월 등급 정보'!$C$4,2,IF(INT(E259)&gt;='3월 등급 정보'!$C$5,3,IF(INT(E259)&gt;='3월 등급 정보'!$C$6,4,IF(INT(E259)&gt;='3월 등급 정보'!$C$7,5,IF(INT(E259)&gt;='3월 등급 정보'!$C$8,6,IF(INT(E259)&gt;='3월 등급 정보'!$C$9,7,IF(INT(E259)&gt;='3월 등급 정보'!$C$10,8,IF(INT(E259)&gt;='3월 등급 정보'!$C$11,9)))))))))</f>
        <v>8</v>
      </c>
      <c r="I259" s="34">
        <v>20</v>
      </c>
      <c r="J259" s="33"/>
      <c r="K259" s="33"/>
      <c r="L259" s="33">
        <f>IF(INT(I259)&gt;='3월 등급 정보'!$D$3,1,IF(INT(I259)&gt;='3월 등급 정보'!$D$4,2,IF(INT(I259)&gt;='3월 등급 정보'!$D$5,3,IF(INT(I259)&gt;='3월 등급 정보'!$D$6,4,IF(INT(I259)&gt;='3월 등급 정보'!$D$7,5,IF(INT(I259)&gt;='3월 등급 정보'!$D$8,6,IF(INT(I259)&gt;='3월 등급 정보'!$D$9,7,IF(INT(I259)&gt;='3월 등급 정보'!$D$10,8,IF(INT(I259)&gt;='3월 등급 정보'!$D$11,9)))))))))</f>
        <v>7</v>
      </c>
      <c r="M259" s="34">
        <v>49</v>
      </c>
      <c r="N259" s="33"/>
      <c r="O259" s="33"/>
      <c r="P259" s="33">
        <f>IF(INT(M259)&gt;='3월 등급 정보'!$E$3,1,IF(INT(M259)&gt;='3월 등급 정보'!$E$4,2,IF(INT(M259)&gt;='3월 등급 정보'!$E$5,3,IF(INT(M259)&gt;='3월 등급 정보'!$E$6,4,IF(INT(M259)&gt;='3월 등급 정보'!$E$7,5,IF(INT(M259)&gt;='3월 등급 정보'!$E$8,6,IF(INT(M259)&gt;='3월 등급 정보'!$E$9,7,IF(INT(M259)&gt;='3월 등급 정보'!$E$10,8,IF(INT(M259)&gt;='3월 등급 정보'!$E$11,9)))))))))</f>
        <v>6</v>
      </c>
      <c r="Q259" s="34">
        <v>13</v>
      </c>
      <c r="R259" s="33"/>
      <c r="S259" s="33"/>
      <c r="T259" s="33">
        <f>IF(INT(Q259)&gt;='3월 등급 정보'!$F$3,1,IF(INT(Q259)&gt;='3월 등급 정보'!$F$4,2,IF(INT(Q259)&gt;='3월 등급 정보'!$F$5,3,IF(INT(Q259)&gt;='3월 등급 정보'!$F$6,4,IF(INT(Q259)&gt;='3월 등급 정보'!$F$7,5,IF(INT(Q259)&gt;='3월 등급 정보'!$F$8,6,IF(INT(Q259)&gt;='3월 등급 정보'!$F$9,7,IF(INT(Q259)&gt;='3월 등급 정보'!$F$10,8,IF(INT(Q259)&gt;='3월 등급 정보'!$F$11,9)))))))))</f>
        <v>7</v>
      </c>
      <c r="U259" s="34">
        <v>10.5</v>
      </c>
      <c r="V259" s="33"/>
      <c r="W259" s="33"/>
      <c r="X259" s="33">
        <f>IF(INT(U259)&gt;='3월 등급 정보'!$G$3,1,IF(INT(U259)&gt;='3월 등급 정보'!$G$4,2,IF(INT(U259)&gt;='3월 등급 정보'!$G$5,3,IF(INT(U259)&gt;='3월 등급 정보'!$G$6,4,IF(INT(U259)&gt;='3월 등급 정보'!$G$7,5,IF(INT(U259)&gt;='3월 등급 정보'!$G$8,6,IF(INT(U259)&gt;='3월 등급 정보'!$G$9,7,IF(INT(U259)&gt;='3월 등급 정보'!$G$10,8,IF(INT(U259)&gt;='3월 등급 정보'!$G$11,9)))))))))</f>
        <v>8</v>
      </c>
      <c r="Y259" s="34">
        <v>8</v>
      </c>
      <c r="Z259" s="33"/>
      <c r="AA259" s="33"/>
      <c r="AB259" s="33">
        <f>IF(INT(Y259)&gt;='3월 등급 정보'!$H$3,1,IF(INT(Y259)&gt;='3월 등급 정보'!$H$4,2,IF(INT(Y259)&gt;='3월 등급 정보'!$H$5,3,IF(INT(Y259)&gt;='3월 등급 정보'!$H$6,4,IF(INT(Y259)&gt;='3월 등급 정보'!$H$7,5,IF(INT(Y259)&gt;='3월 등급 정보'!$H$8,6,IF(INT(Y259)&gt;='3월 등급 정보'!$H$9,7,IF(INT(Y259)&gt;='3월 등급 정보'!$H$10,8,IF(INT(Y259)&gt;='3월 등급 정보'!$H$11,9)))))))))</f>
        <v>8</v>
      </c>
      <c r="AC259" s="33">
        <f>E259+I259+M259+Q259+U259</f>
        <v>120.5</v>
      </c>
      <c r="AD259" s="33">
        <f>RANK(AC259,$AC$3:$AC$273)</f>
        <v>257</v>
      </c>
    </row>
    <row r="260" spans="1:30" ht="17.25" customHeight="1">
      <c r="A260" s="33" t="s">
        <v>26</v>
      </c>
      <c r="B260" s="34">
        <v>7</v>
      </c>
      <c r="C260" s="34">
        <v>18</v>
      </c>
      <c r="D260" s="34" t="s">
        <v>204</v>
      </c>
      <c r="E260" s="34">
        <v>27</v>
      </c>
      <c r="F260" s="33"/>
      <c r="G260" s="33"/>
      <c r="H260" s="33">
        <f>IF(INT(E260)&gt;='3월 등급 정보'!$C$3,1,IF(INT(E260)&gt;='3월 등급 정보'!$C$4,2,IF(INT(E260)&gt;='3월 등급 정보'!$C$5,3,IF(INT(E260)&gt;='3월 등급 정보'!$C$6,4,IF(INT(E260)&gt;='3월 등급 정보'!$C$7,5,IF(INT(E260)&gt;='3월 등급 정보'!$C$8,6,IF(INT(E260)&gt;='3월 등급 정보'!$C$9,7,IF(INT(E260)&gt;='3월 등급 정보'!$C$10,8,IF(INT(E260)&gt;='3월 등급 정보'!$C$11,9)))))))))</f>
        <v>8</v>
      </c>
      <c r="I260" s="34">
        <v>33</v>
      </c>
      <c r="J260" s="33"/>
      <c r="K260" s="33"/>
      <c r="L260" s="33">
        <f>IF(INT(I260)&gt;='3월 등급 정보'!$D$3,1,IF(INT(I260)&gt;='3월 등급 정보'!$D$4,2,IF(INT(I260)&gt;='3월 등급 정보'!$D$5,3,IF(INT(I260)&gt;='3월 등급 정보'!$D$6,4,IF(INT(I260)&gt;='3월 등급 정보'!$D$7,5,IF(INT(I260)&gt;='3월 등급 정보'!$D$8,6,IF(INT(I260)&gt;='3월 등급 정보'!$D$9,7,IF(INT(I260)&gt;='3월 등급 정보'!$D$10,8,IF(INT(I260)&gt;='3월 등급 정보'!$D$11,9)))))))))</f>
        <v>6</v>
      </c>
      <c r="M260" s="34">
        <v>34</v>
      </c>
      <c r="N260" s="33"/>
      <c r="O260" s="33"/>
      <c r="P260" s="33">
        <f>IF(INT(M260)&gt;='3월 등급 정보'!$E$3,1,IF(INT(M260)&gt;='3월 등급 정보'!$E$4,2,IF(INT(M260)&gt;='3월 등급 정보'!$E$5,3,IF(INT(M260)&gt;='3월 등급 정보'!$E$6,4,IF(INT(M260)&gt;='3월 등급 정보'!$E$7,5,IF(INT(M260)&gt;='3월 등급 정보'!$E$8,6,IF(INT(M260)&gt;='3월 등급 정보'!$E$9,7,IF(INT(M260)&gt;='3월 등급 정보'!$E$10,8,IF(INT(M260)&gt;='3월 등급 정보'!$E$11,9)))))))))</f>
        <v>7</v>
      </c>
      <c r="Q260" s="34">
        <v>16.5</v>
      </c>
      <c r="R260" s="33"/>
      <c r="S260" s="33"/>
      <c r="T260" s="33">
        <f>IF(INT(Q260)&gt;='3월 등급 정보'!$F$3,1,IF(INT(Q260)&gt;='3월 등급 정보'!$F$4,2,IF(INT(Q260)&gt;='3월 등급 정보'!$F$5,3,IF(INT(Q260)&gt;='3월 등급 정보'!$F$6,4,IF(INT(Q260)&gt;='3월 등급 정보'!$F$7,5,IF(INT(Q260)&gt;='3월 등급 정보'!$F$8,6,IF(INT(Q260)&gt;='3월 등급 정보'!$F$9,7,IF(INT(Q260)&gt;='3월 등급 정보'!$F$10,8,IF(INT(Q260)&gt;='3월 등급 정보'!$F$11,9)))))))))</f>
        <v>7</v>
      </c>
      <c r="U260" s="34">
        <v>10</v>
      </c>
      <c r="V260" s="33"/>
      <c r="W260" s="33"/>
      <c r="X260" s="33">
        <f>IF(INT(U260)&gt;='3월 등급 정보'!$G$3,1,IF(INT(U260)&gt;='3월 등급 정보'!$G$4,2,IF(INT(U260)&gt;='3월 등급 정보'!$G$5,3,IF(INT(U260)&gt;='3월 등급 정보'!$G$6,4,IF(INT(U260)&gt;='3월 등급 정보'!$G$7,5,IF(INT(U260)&gt;='3월 등급 정보'!$G$8,6,IF(INT(U260)&gt;='3월 등급 정보'!$G$9,7,IF(INT(U260)&gt;='3월 등급 정보'!$G$10,8,IF(INT(U260)&gt;='3월 등급 정보'!$G$11,9)))))))))</f>
        <v>8</v>
      </c>
      <c r="Y260" s="34">
        <v>11</v>
      </c>
      <c r="Z260" s="33"/>
      <c r="AA260" s="33"/>
      <c r="AB260" s="33">
        <f>IF(INT(Y260)&gt;='3월 등급 정보'!$H$3,1,IF(INT(Y260)&gt;='3월 등급 정보'!$H$4,2,IF(INT(Y260)&gt;='3월 등급 정보'!$H$5,3,IF(INT(Y260)&gt;='3월 등급 정보'!$H$6,4,IF(INT(Y260)&gt;='3월 등급 정보'!$H$7,5,IF(INT(Y260)&gt;='3월 등급 정보'!$H$8,6,IF(INT(Y260)&gt;='3월 등급 정보'!$H$9,7,IF(INT(Y260)&gt;='3월 등급 정보'!$H$10,8,IF(INT(Y260)&gt;='3월 등급 정보'!$H$11,9)))))))))</f>
        <v>7</v>
      </c>
      <c r="AC260" s="33">
        <f>E260+I260+M260+Q260+U260</f>
        <v>120.5</v>
      </c>
      <c r="AD260" s="33">
        <f>RANK(AC260,$AC$3:$AC$273)</f>
        <v>257</v>
      </c>
    </row>
    <row r="261" spans="1:30" ht="17.25" customHeight="1">
      <c r="A261" s="33" t="s">
        <v>26</v>
      </c>
      <c r="B261" s="34">
        <v>3</v>
      </c>
      <c r="C261" s="34">
        <v>18</v>
      </c>
      <c r="D261" s="34" t="s">
        <v>96</v>
      </c>
      <c r="E261" s="34">
        <v>36</v>
      </c>
      <c r="F261" s="33"/>
      <c r="G261" s="33"/>
      <c r="H261" s="33">
        <f>IF(INT(E261)&gt;='3월 등급 정보'!$C$3,1,IF(INT(E261)&gt;='3월 등급 정보'!$C$4,2,IF(INT(E261)&gt;='3월 등급 정보'!$C$5,3,IF(INT(E261)&gt;='3월 등급 정보'!$C$6,4,IF(INT(E261)&gt;='3월 등급 정보'!$C$7,5,IF(INT(E261)&gt;='3월 등급 정보'!$C$8,6,IF(INT(E261)&gt;='3월 등급 정보'!$C$9,7,IF(INT(E261)&gt;='3월 등급 정보'!$C$10,8,IF(INT(E261)&gt;='3월 등급 정보'!$C$11,9)))))))))</f>
        <v>7</v>
      </c>
      <c r="I261" s="34">
        <v>17</v>
      </c>
      <c r="J261" s="33"/>
      <c r="K261" s="33"/>
      <c r="L261" s="33">
        <f>IF(INT(I261)&gt;='3월 등급 정보'!$D$3,1,IF(INT(I261)&gt;='3월 등급 정보'!$D$4,2,IF(INT(I261)&gt;='3월 등급 정보'!$D$5,3,IF(INT(I261)&gt;='3월 등급 정보'!$D$6,4,IF(INT(I261)&gt;='3월 등급 정보'!$D$7,5,IF(INT(I261)&gt;='3월 등급 정보'!$D$8,6,IF(INT(I261)&gt;='3월 등급 정보'!$D$9,7,IF(INT(I261)&gt;='3월 등급 정보'!$D$10,8,IF(INT(I261)&gt;='3월 등급 정보'!$D$11,9)))))))))</f>
        <v>8</v>
      </c>
      <c r="M261" s="34">
        <v>36</v>
      </c>
      <c r="N261" s="33"/>
      <c r="O261" s="33"/>
      <c r="P261" s="33">
        <f>IF(INT(M261)&gt;='3월 등급 정보'!$E$3,1,IF(INT(M261)&gt;='3월 등급 정보'!$E$4,2,IF(INT(M261)&gt;='3월 등급 정보'!$E$5,3,IF(INT(M261)&gt;='3월 등급 정보'!$E$6,4,IF(INT(M261)&gt;='3월 등급 정보'!$E$7,5,IF(INT(M261)&gt;='3월 등급 정보'!$E$8,6,IF(INT(M261)&gt;='3월 등급 정보'!$E$9,7,IF(INT(M261)&gt;='3월 등급 정보'!$E$10,8,IF(INT(M261)&gt;='3월 등급 정보'!$E$11,9)))))))))</f>
        <v>7</v>
      </c>
      <c r="Q261" s="34">
        <v>21.5</v>
      </c>
      <c r="R261" s="33"/>
      <c r="S261" s="33"/>
      <c r="T261" s="33">
        <f>IF(INT(Q261)&gt;='3월 등급 정보'!$F$3,1,IF(INT(Q261)&gt;='3월 등급 정보'!$F$4,2,IF(INT(Q261)&gt;='3월 등급 정보'!$F$5,3,IF(INT(Q261)&gt;='3월 등급 정보'!$F$6,4,IF(INT(Q261)&gt;='3월 등급 정보'!$F$7,5,IF(INT(Q261)&gt;='3월 등급 정보'!$F$8,6,IF(INT(Q261)&gt;='3월 등급 정보'!$F$9,7,IF(INT(Q261)&gt;='3월 등급 정보'!$F$10,8,IF(INT(Q261)&gt;='3월 등급 정보'!$F$11,9)))))))))</f>
        <v>6</v>
      </c>
      <c r="U261" s="34">
        <v>9.5</v>
      </c>
      <c r="V261" s="33"/>
      <c r="W261" s="33"/>
      <c r="X261" s="33">
        <f>IF(INT(U261)&gt;='3월 등급 정보'!$G$3,1,IF(INT(U261)&gt;='3월 등급 정보'!$G$4,2,IF(INT(U261)&gt;='3월 등급 정보'!$G$5,3,IF(INT(U261)&gt;='3월 등급 정보'!$G$6,4,IF(INT(U261)&gt;='3월 등급 정보'!$G$7,5,IF(INT(U261)&gt;='3월 등급 정보'!$G$8,6,IF(INT(U261)&gt;='3월 등급 정보'!$G$9,7,IF(INT(U261)&gt;='3월 등급 정보'!$G$10,8,IF(INT(U261)&gt;='3월 등급 정보'!$G$11,9)))))))))</f>
        <v>8</v>
      </c>
      <c r="Y261" s="34">
        <v>29</v>
      </c>
      <c r="Z261" s="33"/>
      <c r="AA261" s="33"/>
      <c r="AB261" s="33">
        <f>IF(INT(Y261)&gt;='3월 등급 정보'!$H$3,1,IF(INT(Y261)&gt;='3월 등급 정보'!$H$4,2,IF(INT(Y261)&gt;='3월 등급 정보'!$H$5,3,IF(INT(Y261)&gt;='3월 등급 정보'!$H$6,4,IF(INT(Y261)&gt;='3월 등급 정보'!$H$7,5,IF(INT(Y261)&gt;='3월 등급 정보'!$H$8,6,IF(INT(Y261)&gt;='3월 등급 정보'!$H$9,7,IF(INT(Y261)&gt;='3월 등급 정보'!$H$10,8,IF(INT(Y261)&gt;='3월 등급 정보'!$H$11,9)))))))))</f>
        <v>4</v>
      </c>
      <c r="AC261" s="33">
        <f>E261+I261+M261+Q261+U261</f>
        <v>120</v>
      </c>
      <c r="AD261" s="33">
        <f>RANK(AC261,$AC$3:$AC$273)</f>
        <v>259</v>
      </c>
    </row>
    <row r="262" spans="1:30" ht="17.25" customHeight="1">
      <c r="A262" s="33" t="s">
        <v>26</v>
      </c>
      <c r="B262" s="34">
        <v>8</v>
      </c>
      <c r="C262" s="34">
        <v>10</v>
      </c>
      <c r="D262" s="34" t="s">
        <v>222</v>
      </c>
      <c r="E262" s="34">
        <v>45</v>
      </c>
      <c r="F262" s="33"/>
      <c r="G262" s="33"/>
      <c r="H262" s="33">
        <f>IF(INT(E262)&gt;='3월 등급 정보'!$C$3,1,IF(INT(E262)&gt;='3월 등급 정보'!$C$4,2,IF(INT(E262)&gt;='3월 등급 정보'!$C$5,3,IF(INT(E262)&gt;='3월 등급 정보'!$C$6,4,IF(INT(E262)&gt;='3월 등급 정보'!$C$7,5,IF(INT(E262)&gt;='3월 등급 정보'!$C$8,6,IF(INT(E262)&gt;='3월 등급 정보'!$C$9,7,IF(INT(E262)&gt;='3월 등급 정보'!$C$10,8,IF(INT(E262)&gt;='3월 등급 정보'!$C$11,9)))))))))</f>
        <v>6</v>
      </c>
      <c r="I262" s="34">
        <v>12</v>
      </c>
      <c r="J262" s="33"/>
      <c r="K262" s="33"/>
      <c r="L262" s="33">
        <f>IF(INT(I262)&gt;='3월 등급 정보'!$D$3,1,IF(INT(I262)&gt;='3월 등급 정보'!$D$4,2,IF(INT(I262)&gt;='3월 등급 정보'!$D$5,3,IF(INT(I262)&gt;='3월 등급 정보'!$D$6,4,IF(INT(I262)&gt;='3월 등급 정보'!$D$7,5,IF(INT(I262)&gt;='3월 등급 정보'!$D$8,6,IF(INT(I262)&gt;='3월 등급 정보'!$D$9,7,IF(INT(I262)&gt;='3월 등급 정보'!$D$10,8,IF(INT(I262)&gt;='3월 등급 정보'!$D$11,9)))))))))</f>
        <v>9</v>
      </c>
      <c r="M262" s="34">
        <v>41</v>
      </c>
      <c r="N262" s="33"/>
      <c r="O262" s="33"/>
      <c r="P262" s="33">
        <f>IF(INT(M262)&gt;='3월 등급 정보'!$E$3,1,IF(INT(M262)&gt;='3월 등급 정보'!$E$4,2,IF(INT(M262)&gt;='3월 등급 정보'!$E$5,3,IF(INT(M262)&gt;='3월 등급 정보'!$E$6,4,IF(INT(M262)&gt;='3월 등급 정보'!$E$7,5,IF(INT(M262)&gt;='3월 등급 정보'!$E$8,6,IF(INT(M262)&gt;='3월 등급 정보'!$E$9,7,IF(INT(M262)&gt;='3월 등급 정보'!$E$10,8,IF(INT(M262)&gt;='3월 등급 정보'!$E$11,9)))))))))</f>
        <v>6</v>
      </c>
      <c r="Q262" s="34">
        <v>10</v>
      </c>
      <c r="R262" s="33"/>
      <c r="S262" s="33"/>
      <c r="T262" s="33">
        <f>IF(INT(Q262)&gt;='3월 등급 정보'!$F$3,1,IF(INT(Q262)&gt;='3월 등급 정보'!$F$4,2,IF(INT(Q262)&gt;='3월 등급 정보'!$F$5,3,IF(INT(Q262)&gt;='3월 등급 정보'!$F$6,4,IF(INT(Q262)&gt;='3월 등급 정보'!$F$7,5,IF(INT(Q262)&gt;='3월 등급 정보'!$F$8,6,IF(INT(Q262)&gt;='3월 등급 정보'!$F$9,7,IF(INT(Q262)&gt;='3월 등급 정보'!$F$10,8,IF(INT(Q262)&gt;='3월 등급 정보'!$F$11,9)))))))))</f>
        <v>8</v>
      </c>
      <c r="U262" s="34">
        <v>9</v>
      </c>
      <c r="V262" s="33"/>
      <c r="W262" s="33"/>
      <c r="X262" s="33">
        <f>IF(INT(U262)&gt;='3월 등급 정보'!$G$3,1,IF(INT(U262)&gt;='3월 등급 정보'!$G$4,2,IF(INT(U262)&gt;='3월 등급 정보'!$G$5,3,IF(INT(U262)&gt;='3월 등급 정보'!$G$6,4,IF(INT(U262)&gt;='3월 등급 정보'!$G$7,5,IF(INT(U262)&gt;='3월 등급 정보'!$G$8,6,IF(INT(U262)&gt;='3월 등급 정보'!$G$9,7,IF(INT(U262)&gt;='3월 등급 정보'!$G$10,8,IF(INT(U262)&gt;='3월 등급 정보'!$G$11,9)))))))))</f>
        <v>8</v>
      </c>
      <c r="Y262" s="34">
        <v>16</v>
      </c>
      <c r="Z262" s="33"/>
      <c r="AA262" s="33"/>
      <c r="AB262" s="33">
        <f>IF(INT(Y262)&gt;='3월 등급 정보'!$H$3,1,IF(INT(Y262)&gt;='3월 등급 정보'!$H$4,2,IF(INT(Y262)&gt;='3월 등급 정보'!$H$5,3,IF(INT(Y262)&gt;='3월 등급 정보'!$H$6,4,IF(INT(Y262)&gt;='3월 등급 정보'!$H$7,5,IF(INT(Y262)&gt;='3월 등급 정보'!$H$8,6,IF(INT(Y262)&gt;='3월 등급 정보'!$H$9,7,IF(INT(Y262)&gt;='3월 등급 정보'!$H$10,8,IF(INT(Y262)&gt;='3월 등급 정보'!$H$11,9)))))))))</f>
        <v>6</v>
      </c>
      <c r="AC262" s="33">
        <f>E262+I262+M262+Q262+U262</f>
        <v>117</v>
      </c>
      <c r="AD262" s="33">
        <f>RANK(AC262,$AC$3:$AC$273)</f>
        <v>260</v>
      </c>
    </row>
    <row r="263" spans="1:30" ht="17.25" customHeight="1">
      <c r="A263" s="33" t="s">
        <v>26</v>
      </c>
      <c r="B263" s="34">
        <v>10</v>
      </c>
      <c r="C263" s="34">
        <v>7</v>
      </c>
      <c r="D263" s="34" t="s">
        <v>271</v>
      </c>
      <c r="E263" s="34">
        <v>36</v>
      </c>
      <c r="F263" s="33"/>
      <c r="G263" s="33"/>
      <c r="H263" s="33">
        <f>IF(INT(E263)&gt;='3월 등급 정보'!$C$3,1,IF(INT(E263)&gt;='3월 등급 정보'!$C$4,2,IF(INT(E263)&gt;='3월 등급 정보'!$C$5,3,IF(INT(E263)&gt;='3월 등급 정보'!$C$6,4,IF(INT(E263)&gt;='3월 등급 정보'!$C$7,5,IF(INT(E263)&gt;='3월 등급 정보'!$C$8,6,IF(INT(E263)&gt;='3월 등급 정보'!$C$9,7,IF(INT(E263)&gt;='3월 등급 정보'!$C$10,8,IF(INT(E263)&gt;='3월 등급 정보'!$C$11,9)))))))))</f>
        <v>7</v>
      </c>
      <c r="I263" s="34">
        <v>19</v>
      </c>
      <c r="J263" s="33"/>
      <c r="K263" s="33"/>
      <c r="L263" s="33">
        <f>IF(INT(I263)&gt;='3월 등급 정보'!$D$3,1,IF(INT(I263)&gt;='3월 등급 정보'!$D$4,2,IF(INT(I263)&gt;='3월 등급 정보'!$D$5,3,IF(INT(I263)&gt;='3월 등급 정보'!$D$6,4,IF(INT(I263)&gt;='3월 등급 정보'!$D$7,5,IF(INT(I263)&gt;='3월 등급 정보'!$D$8,6,IF(INT(I263)&gt;='3월 등급 정보'!$D$9,7,IF(INT(I263)&gt;='3월 등급 정보'!$D$10,8,IF(INT(I263)&gt;='3월 등급 정보'!$D$11,9)))))))))</f>
        <v>7</v>
      </c>
      <c r="M263" s="34">
        <v>16</v>
      </c>
      <c r="N263" s="33"/>
      <c r="O263" s="33"/>
      <c r="P263" s="33">
        <f>IF(INT(M263)&gt;='3월 등급 정보'!$E$3,1,IF(INT(M263)&gt;='3월 등급 정보'!$E$4,2,IF(INT(M263)&gt;='3월 등급 정보'!$E$5,3,IF(INT(M263)&gt;='3월 등급 정보'!$E$6,4,IF(INT(M263)&gt;='3월 등급 정보'!$E$7,5,IF(INT(M263)&gt;='3월 등급 정보'!$E$8,6,IF(INT(M263)&gt;='3월 등급 정보'!$E$9,7,IF(INT(M263)&gt;='3월 등급 정보'!$E$10,8,IF(INT(M263)&gt;='3월 등급 정보'!$E$11,9)))))))))</f>
        <v>9</v>
      </c>
      <c r="Q263" s="34">
        <v>23</v>
      </c>
      <c r="R263" s="33"/>
      <c r="S263" s="33"/>
      <c r="T263" s="33">
        <f>IF(INT(Q263)&gt;='3월 등급 정보'!$F$3,1,IF(INT(Q263)&gt;='3월 등급 정보'!$F$4,2,IF(INT(Q263)&gt;='3월 등급 정보'!$F$5,3,IF(INT(Q263)&gt;='3월 등급 정보'!$F$6,4,IF(INT(Q263)&gt;='3월 등급 정보'!$F$7,5,IF(INT(Q263)&gt;='3월 등급 정보'!$F$8,6,IF(INT(Q263)&gt;='3월 등급 정보'!$F$9,7,IF(INT(Q263)&gt;='3월 등급 정보'!$F$10,8,IF(INT(Q263)&gt;='3월 등급 정보'!$F$11,9)))))))))</f>
        <v>6</v>
      </c>
      <c r="U263" s="34">
        <v>14.5</v>
      </c>
      <c r="V263" s="33"/>
      <c r="W263" s="33"/>
      <c r="X263" s="33">
        <f>IF(INT(U263)&gt;='3월 등급 정보'!$G$3,1,IF(INT(U263)&gt;='3월 등급 정보'!$G$4,2,IF(INT(U263)&gt;='3월 등급 정보'!$G$5,3,IF(INT(U263)&gt;='3월 등급 정보'!$G$6,4,IF(INT(U263)&gt;='3월 등급 정보'!$G$7,5,IF(INT(U263)&gt;='3월 등급 정보'!$G$8,6,IF(INT(U263)&gt;='3월 등급 정보'!$G$9,7,IF(INT(U263)&gt;='3월 등급 정보'!$G$10,8,IF(INT(U263)&gt;='3월 등급 정보'!$G$11,9)))))))))</f>
        <v>6</v>
      </c>
      <c r="Y263" s="34">
        <v>19</v>
      </c>
      <c r="Z263" s="33"/>
      <c r="AA263" s="33"/>
      <c r="AB263" s="33">
        <f>IF(INT(Y263)&gt;='3월 등급 정보'!$H$3,1,IF(INT(Y263)&gt;='3월 등급 정보'!$H$4,2,IF(INT(Y263)&gt;='3월 등급 정보'!$H$5,3,IF(INT(Y263)&gt;='3월 등급 정보'!$H$6,4,IF(INT(Y263)&gt;='3월 등급 정보'!$H$7,5,IF(INT(Y263)&gt;='3월 등급 정보'!$H$8,6,IF(INT(Y263)&gt;='3월 등급 정보'!$H$9,7,IF(INT(Y263)&gt;='3월 등급 정보'!$H$10,8,IF(INT(Y263)&gt;='3월 등급 정보'!$H$11,9)))))))))</f>
        <v>6</v>
      </c>
      <c r="AC263" s="33">
        <f>E263+I263+M263+Q263+U263</f>
        <v>108.5</v>
      </c>
      <c r="AD263" s="33">
        <f>RANK(AC263,$AC$3:$AC$273)</f>
        <v>261</v>
      </c>
    </row>
    <row r="264" spans="1:30" ht="17.25" customHeight="1">
      <c r="A264" s="33" t="s">
        <v>26</v>
      </c>
      <c r="B264" s="34">
        <v>2</v>
      </c>
      <c r="C264" s="34">
        <v>6</v>
      </c>
      <c r="D264" s="34" t="s">
        <v>59</v>
      </c>
      <c r="E264" s="34">
        <v>23</v>
      </c>
      <c r="F264" s="33"/>
      <c r="G264" s="33"/>
      <c r="H264" s="33">
        <f>IF(INT(E264)&gt;='3월 등급 정보'!$C$3,1,IF(INT(E264)&gt;='3월 등급 정보'!$C$4,2,IF(INT(E264)&gt;='3월 등급 정보'!$C$5,3,IF(INT(E264)&gt;='3월 등급 정보'!$C$6,4,IF(INT(E264)&gt;='3월 등급 정보'!$C$7,5,IF(INT(E264)&gt;='3월 등급 정보'!$C$8,6,IF(INT(E264)&gt;='3월 등급 정보'!$C$9,7,IF(INT(E264)&gt;='3월 등급 정보'!$C$10,8,IF(INT(E264)&gt;='3월 등급 정보'!$C$11,9)))))))))</f>
        <v>8</v>
      </c>
      <c r="I264" s="34">
        <v>24</v>
      </c>
      <c r="J264" s="33"/>
      <c r="K264" s="33"/>
      <c r="L264" s="33">
        <f>IF(INT(I264)&gt;='3월 등급 정보'!$D$3,1,IF(INT(I264)&gt;='3월 등급 정보'!$D$4,2,IF(INT(I264)&gt;='3월 등급 정보'!$D$5,3,IF(INT(I264)&gt;='3월 등급 정보'!$D$6,4,IF(INT(I264)&gt;='3월 등급 정보'!$D$7,5,IF(INT(I264)&gt;='3월 등급 정보'!$D$8,6,IF(INT(I264)&gt;='3월 등급 정보'!$D$9,7,IF(INT(I264)&gt;='3월 등급 정보'!$D$10,8,IF(INT(I264)&gt;='3월 등급 정보'!$D$11,9)))))))))</f>
        <v>7</v>
      </c>
      <c r="M264" s="34">
        <v>26</v>
      </c>
      <c r="N264" s="33"/>
      <c r="O264" s="33"/>
      <c r="P264" s="33">
        <f>IF(INT(M264)&gt;='3월 등급 정보'!$E$3,1,IF(INT(M264)&gt;='3월 등급 정보'!$E$4,2,IF(INT(M264)&gt;='3월 등급 정보'!$E$5,3,IF(INT(M264)&gt;='3월 등급 정보'!$E$6,4,IF(INT(M264)&gt;='3월 등급 정보'!$E$7,5,IF(INT(M264)&gt;='3월 등급 정보'!$E$8,6,IF(INT(M264)&gt;='3월 등급 정보'!$E$9,7,IF(INT(M264)&gt;='3월 등급 정보'!$E$10,8,IF(INT(M264)&gt;='3월 등급 정보'!$E$11,9)))))))))</f>
        <v>8</v>
      </c>
      <c r="Q264" s="34">
        <v>13</v>
      </c>
      <c r="R264" s="33"/>
      <c r="S264" s="33"/>
      <c r="T264" s="33">
        <f>IF(INT(Q264)&gt;='3월 등급 정보'!$F$3,1,IF(INT(Q264)&gt;='3월 등급 정보'!$F$4,2,IF(INT(Q264)&gt;='3월 등급 정보'!$F$5,3,IF(INT(Q264)&gt;='3월 등급 정보'!$F$6,4,IF(INT(Q264)&gt;='3월 등급 정보'!$F$7,5,IF(INT(Q264)&gt;='3월 등급 정보'!$F$8,6,IF(INT(Q264)&gt;='3월 등급 정보'!$F$9,7,IF(INT(Q264)&gt;='3월 등급 정보'!$F$10,8,IF(INT(Q264)&gt;='3월 등급 정보'!$F$11,9)))))))))</f>
        <v>7</v>
      </c>
      <c r="U264" s="34">
        <v>18.5</v>
      </c>
      <c r="V264" s="33"/>
      <c r="W264" s="33"/>
      <c r="X264" s="33">
        <f>IF(INT(U264)&gt;='3월 등급 정보'!$G$3,1,IF(INT(U264)&gt;='3월 등급 정보'!$G$4,2,IF(INT(U264)&gt;='3월 등급 정보'!$G$5,3,IF(INT(U264)&gt;='3월 등급 정보'!$G$6,4,IF(INT(U264)&gt;='3월 등급 정보'!$G$7,5,IF(INT(U264)&gt;='3월 등급 정보'!$G$8,6,IF(INT(U264)&gt;='3월 등급 정보'!$G$9,7,IF(INT(U264)&gt;='3월 등급 정보'!$G$10,8,IF(INT(U264)&gt;='3월 등급 정보'!$G$11,9)))))))))</f>
        <v>6</v>
      </c>
      <c r="Y264" s="34">
        <v>15</v>
      </c>
      <c r="Z264" s="33"/>
      <c r="AA264" s="33"/>
      <c r="AB264" s="33">
        <f>IF(INT(Y264)&gt;='3월 등급 정보'!$H$3,1,IF(INT(Y264)&gt;='3월 등급 정보'!$H$4,2,IF(INT(Y264)&gt;='3월 등급 정보'!$H$5,3,IF(INT(Y264)&gt;='3월 등급 정보'!$H$6,4,IF(INT(Y264)&gt;='3월 등급 정보'!$H$7,5,IF(INT(Y264)&gt;='3월 등급 정보'!$H$8,6,IF(INT(Y264)&gt;='3월 등급 정보'!$H$9,7,IF(INT(Y264)&gt;='3월 등급 정보'!$H$10,8,IF(INT(Y264)&gt;='3월 등급 정보'!$H$11,9)))))))))</f>
        <v>6</v>
      </c>
      <c r="AC264" s="33">
        <f>E264+I264+M264+Q264+U264</f>
        <v>104.5</v>
      </c>
      <c r="AD264" s="33">
        <f>RANK(AC264,$AC$3:$AC$273)</f>
        <v>262</v>
      </c>
    </row>
    <row r="265" spans="1:30" ht="17.25" customHeight="1">
      <c r="A265" s="33" t="s">
        <v>26</v>
      </c>
      <c r="B265" s="34">
        <v>10</v>
      </c>
      <c r="C265" s="34">
        <v>11</v>
      </c>
      <c r="D265" s="34" t="s">
        <v>274</v>
      </c>
      <c r="E265" s="34">
        <v>25</v>
      </c>
      <c r="F265" s="33"/>
      <c r="G265" s="33"/>
      <c r="H265" s="33">
        <f>IF(INT(E265)&gt;='3월 등급 정보'!$C$3,1,IF(INT(E265)&gt;='3월 등급 정보'!$C$4,2,IF(INT(E265)&gt;='3월 등급 정보'!$C$5,3,IF(INT(E265)&gt;='3월 등급 정보'!$C$6,4,IF(INT(E265)&gt;='3월 등급 정보'!$C$7,5,IF(INT(E265)&gt;='3월 등급 정보'!$C$8,6,IF(INT(E265)&gt;='3월 등급 정보'!$C$9,7,IF(INT(E265)&gt;='3월 등급 정보'!$C$10,8,IF(INT(E265)&gt;='3월 등급 정보'!$C$11,9)))))))))</f>
        <v>8</v>
      </c>
      <c r="I265" s="34">
        <v>16</v>
      </c>
      <c r="J265" s="33"/>
      <c r="K265" s="33"/>
      <c r="L265" s="33">
        <f>IF(INT(I265)&gt;='3월 등급 정보'!$D$3,1,IF(INT(I265)&gt;='3월 등급 정보'!$D$4,2,IF(INT(I265)&gt;='3월 등급 정보'!$D$5,3,IF(INT(I265)&gt;='3월 등급 정보'!$D$6,4,IF(INT(I265)&gt;='3월 등급 정보'!$D$7,5,IF(INT(I265)&gt;='3월 등급 정보'!$D$8,6,IF(INT(I265)&gt;='3월 등급 정보'!$D$9,7,IF(INT(I265)&gt;='3월 등급 정보'!$D$10,8,IF(INT(I265)&gt;='3월 등급 정보'!$D$11,9)))))))))</f>
        <v>8</v>
      </c>
      <c r="M265" s="34">
        <v>38</v>
      </c>
      <c r="N265" s="33"/>
      <c r="O265" s="33"/>
      <c r="P265" s="33">
        <f>IF(INT(M265)&gt;='3월 등급 정보'!$E$3,1,IF(INT(M265)&gt;='3월 등급 정보'!$E$4,2,IF(INT(M265)&gt;='3월 등급 정보'!$E$5,3,IF(INT(M265)&gt;='3월 등급 정보'!$E$6,4,IF(INT(M265)&gt;='3월 등급 정보'!$E$7,5,IF(INT(M265)&gt;='3월 등급 정보'!$E$8,6,IF(INT(M265)&gt;='3월 등급 정보'!$E$9,7,IF(INT(M265)&gt;='3월 등급 정보'!$E$10,8,IF(INT(M265)&gt;='3월 등급 정보'!$E$11,9)))))))))</f>
        <v>7</v>
      </c>
      <c r="Q265" s="34">
        <v>11.5</v>
      </c>
      <c r="R265" s="33"/>
      <c r="S265" s="33"/>
      <c r="T265" s="33">
        <f>IF(INT(Q265)&gt;='3월 등급 정보'!$F$3,1,IF(INT(Q265)&gt;='3월 등급 정보'!$F$4,2,IF(INT(Q265)&gt;='3월 등급 정보'!$F$5,3,IF(INT(Q265)&gt;='3월 등급 정보'!$F$6,4,IF(INT(Q265)&gt;='3월 등급 정보'!$F$7,5,IF(INT(Q265)&gt;='3월 등급 정보'!$F$8,6,IF(INT(Q265)&gt;='3월 등급 정보'!$F$9,7,IF(INT(Q265)&gt;='3월 등급 정보'!$F$10,8,IF(INT(Q265)&gt;='3월 등급 정보'!$F$11,9)))))))))</f>
        <v>8</v>
      </c>
      <c r="U265" s="34">
        <v>13.5</v>
      </c>
      <c r="V265" s="33"/>
      <c r="W265" s="33"/>
      <c r="X265" s="33">
        <f>IF(INT(U265)&gt;='3월 등급 정보'!$G$3,1,IF(INT(U265)&gt;='3월 등급 정보'!$G$4,2,IF(INT(U265)&gt;='3월 등급 정보'!$G$5,3,IF(INT(U265)&gt;='3월 등급 정보'!$G$6,4,IF(INT(U265)&gt;='3월 등급 정보'!$G$7,5,IF(INT(U265)&gt;='3월 등급 정보'!$G$8,6,IF(INT(U265)&gt;='3월 등급 정보'!$G$9,7,IF(INT(U265)&gt;='3월 등급 정보'!$G$10,8,IF(INT(U265)&gt;='3월 등급 정보'!$G$11,9)))))))))</f>
        <v>7</v>
      </c>
      <c r="Y265" s="34">
        <v>10</v>
      </c>
      <c r="Z265" s="33"/>
      <c r="AA265" s="33"/>
      <c r="AB265" s="33">
        <f>IF(INT(Y265)&gt;='3월 등급 정보'!$H$3,1,IF(INT(Y265)&gt;='3월 등급 정보'!$H$4,2,IF(INT(Y265)&gt;='3월 등급 정보'!$H$5,3,IF(INT(Y265)&gt;='3월 등급 정보'!$H$6,4,IF(INT(Y265)&gt;='3월 등급 정보'!$H$7,5,IF(INT(Y265)&gt;='3월 등급 정보'!$H$8,6,IF(INT(Y265)&gt;='3월 등급 정보'!$H$9,7,IF(INT(Y265)&gt;='3월 등급 정보'!$H$10,8,IF(INT(Y265)&gt;='3월 등급 정보'!$H$11,9)))))))))</f>
        <v>7</v>
      </c>
      <c r="AC265" s="33">
        <f>E265+I265+M265+Q265+U265</f>
        <v>104</v>
      </c>
      <c r="AD265" s="33">
        <f>RANK(AC265,$AC$3:$AC$273)</f>
        <v>263</v>
      </c>
    </row>
    <row r="266" spans="1:30" ht="17.25" customHeight="1">
      <c r="A266" s="33" t="s">
        <v>26</v>
      </c>
      <c r="B266" s="34">
        <v>2</v>
      </c>
      <c r="C266" s="34">
        <v>25</v>
      </c>
      <c r="D266" s="34" t="s">
        <v>49</v>
      </c>
      <c r="E266" s="34">
        <v>20</v>
      </c>
      <c r="F266" s="33"/>
      <c r="G266" s="33"/>
      <c r="H266" s="33">
        <f>IF(INT(E266)&gt;='3월 등급 정보'!$C$3,1,IF(INT(E266)&gt;='3월 등급 정보'!$C$4,2,IF(INT(E266)&gt;='3월 등급 정보'!$C$5,3,IF(INT(E266)&gt;='3월 등급 정보'!$C$6,4,IF(INT(E266)&gt;='3월 등급 정보'!$C$7,5,IF(INT(E266)&gt;='3월 등급 정보'!$C$8,6,IF(INT(E266)&gt;='3월 등급 정보'!$C$9,7,IF(INT(E266)&gt;='3월 등급 정보'!$C$10,8,IF(INT(E266)&gt;='3월 등급 정보'!$C$11,9)))))))))</f>
        <v>8</v>
      </c>
      <c r="I266" s="34">
        <v>9</v>
      </c>
      <c r="J266" s="33"/>
      <c r="K266" s="33"/>
      <c r="L266" s="33">
        <f>IF(INT(I266)&gt;='3월 등급 정보'!$D$3,1,IF(INT(I266)&gt;='3월 등급 정보'!$D$4,2,IF(INT(I266)&gt;='3월 등급 정보'!$D$5,3,IF(INT(I266)&gt;='3월 등급 정보'!$D$6,4,IF(INT(I266)&gt;='3월 등급 정보'!$D$7,5,IF(INT(I266)&gt;='3월 등급 정보'!$D$8,6,IF(INT(I266)&gt;='3월 등급 정보'!$D$9,7,IF(INT(I266)&gt;='3월 등급 정보'!$D$10,8,IF(INT(I266)&gt;='3월 등급 정보'!$D$11,9)))))))))</f>
        <v>9</v>
      </c>
      <c r="M266" s="34">
        <v>44</v>
      </c>
      <c r="N266" s="33"/>
      <c r="O266" s="33"/>
      <c r="P266" s="33">
        <f>IF(INT(M266)&gt;='3월 등급 정보'!$E$3,1,IF(INT(M266)&gt;='3월 등급 정보'!$E$4,2,IF(INT(M266)&gt;='3월 등급 정보'!$E$5,3,IF(INT(M266)&gt;='3월 등급 정보'!$E$6,4,IF(INT(M266)&gt;='3월 등급 정보'!$E$7,5,IF(INT(M266)&gt;='3월 등급 정보'!$E$8,6,IF(INT(M266)&gt;='3월 등급 정보'!$E$9,7,IF(INT(M266)&gt;='3월 등급 정보'!$E$10,8,IF(INT(M266)&gt;='3월 등급 정보'!$E$11,9)))))))))</f>
        <v>6</v>
      </c>
      <c r="Q266" s="34">
        <v>16</v>
      </c>
      <c r="R266" s="33"/>
      <c r="S266" s="33"/>
      <c r="T266" s="33">
        <f>IF(INT(Q266)&gt;='3월 등급 정보'!$F$3,1,IF(INT(Q266)&gt;='3월 등급 정보'!$F$4,2,IF(INT(Q266)&gt;='3월 등급 정보'!$F$5,3,IF(INT(Q266)&gt;='3월 등급 정보'!$F$6,4,IF(INT(Q266)&gt;='3월 등급 정보'!$F$7,5,IF(INT(Q266)&gt;='3월 등급 정보'!$F$8,6,IF(INT(Q266)&gt;='3월 등급 정보'!$F$9,7,IF(INT(Q266)&gt;='3월 등급 정보'!$F$10,8,IF(INT(Q266)&gt;='3월 등급 정보'!$F$11,9)))))))))</f>
        <v>7</v>
      </c>
      <c r="U266" s="34">
        <v>7.5</v>
      </c>
      <c r="V266" s="33"/>
      <c r="W266" s="33"/>
      <c r="X266" s="33">
        <f>IF(INT(U266)&gt;='3월 등급 정보'!$G$3,1,IF(INT(U266)&gt;='3월 등급 정보'!$G$4,2,IF(INT(U266)&gt;='3월 등급 정보'!$G$5,3,IF(INT(U266)&gt;='3월 등급 정보'!$G$6,4,IF(INT(U266)&gt;='3월 등급 정보'!$G$7,5,IF(INT(U266)&gt;='3월 등급 정보'!$G$8,6,IF(INT(U266)&gt;='3월 등급 정보'!$G$9,7,IF(INT(U266)&gt;='3월 등급 정보'!$G$10,8,IF(INT(U266)&gt;='3월 등급 정보'!$G$11,9)))))))))</f>
        <v>8</v>
      </c>
      <c r="Y266" s="34">
        <v>7</v>
      </c>
      <c r="Z266" s="33"/>
      <c r="AA266" s="33"/>
      <c r="AB266" s="33">
        <f>IF(INT(Y266)&gt;='3월 등급 정보'!$H$3,1,IF(INT(Y266)&gt;='3월 등급 정보'!$H$4,2,IF(INT(Y266)&gt;='3월 등급 정보'!$H$5,3,IF(INT(Y266)&gt;='3월 등급 정보'!$H$6,4,IF(INT(Y266)&gt;='3월 등급 정보'!$H$7,5,IF(INT(Y266)&gt;='3월 등급 정보'!$H$8,6,IF(INT(Y266)&gt;='3월 등급 정보'!$H$9,7,IF(INT(Y266)&gt;='3월 등급 정보'!$H$10,8,IF(INT(Y266)&gt;='3월 등급 정보'!$H$11,9)))))))))</f>
        <v>8</v>
      </c>
      <c r="AC266" s="33">
        <f>E266+I266+M266+Q266+U266</f>
        <v>96.5</v>
      </c>
      <c r="AD266" s="33">
        <f>RANK(AC266,$AC$3:$AC$273)</f>
        <v>264</v>
      </c>
    </row>
    <row r="267" spans="1:30" ht="17.25" customHeight="1">
      <c r="A267" s="33" t="s">
        <v>26</v>
      </c>
      <c r="B267" s="34">
        <v>5</v>
      </c>
      <c r="C267" s="34">
        <v>2</v>
      </c>
      <c r="D267" s="34" t="s">
        <v>134</v>
      </c>
      <c r="E267" s="34">
        <v>19</v>
      </c>
      <c r="F267" s="33"/>
      <c r="G267" s="33"/>
      <c r="H267" s="33">
        <f>IF(INT(E267)&gt;='3월 등급 정보'!$C$3,1,IF(INT(E267)&gt;='3월 등급 정보'!$C$4,2,IF(INT(E267)&gt;='3월 등급 정보'!$C$5,3,IF(INT(E267)&gt;='3월 등급 정보'!$C$6,4,IF(INT(E267)&gt;='3월 등급 정보'!$C$7,5,IF(INT(E267)&gt;='3월 등급 정보'!$C$8,6,IF(INT(E267)&gt;='3월 등급 정보'!$C$9,7,IF(INT(E267)&gt;='3월 등급 정보'!$C$10,8,IF(INT(E267)&gt;='3월 등급 정보'!$C$11,9)))))))))</f>
        <v>9</v>
      </c>
      <c r="I267" s="34">
        <v>13</v>
      </c>
      <c r="J267" s="33"/>
      <c r="K267" s="33"/>
      <c r="L267" s="33">
        <f>IF(INT(I267)&gt;='3월 등급 정보'!$D$3,1,IF(INT(I267)&gt;='3월 등급 정보'!$D$4,2,IF(INT(I267)&gt;='3월 등급 정보'!$D$5,3,IF(INT(I267)&gt;='3월 등급 정보'!$D$6,4,IF(INT(I267)&gt;='3월 등급 정보'!$D$7,5,IF(INT(I267)&gt;='3월 등급 정보'!$D$8,6,IF(INT(I267)&gt;='3월 등급 정보'!$D$9,7,IF(INT(I267)&gt;='3월 등급 정보'!$D$10,8,IF(INT(I267)&gt;='3월 등급 정보'!$D$11,9)))))))))</f>
        <v>8</v>
      </c>
      <c r="M267" s="34">
        <v>35</v>
      </c>
      <c r="N267" s="33"/>
      <c r="O267" s="33"/>
      <c r="P267" s="33">
        <f>IF(INT(M267)&gt;='3월 등급 정보'!$E$3,1,IF(INT(M267)&gt;='3월 등급 정보'!$E$4,2,IF(INT(M267)&gt;='3월 등급 정보'!$E$5,3,IF(INT(M267)&gt;='3월 등급 정보'!$E$6,4,IF(INT(M267)&gt;='3월 등급 정보'!$E$7,5,IF(INT(M267)&gt;='3월 등급 정보'!$E$8,6,IF(INT(M267)&gt;='3월 등급 정보'!$E$9,7,IF(INT(M267)&gt;='3월 등급 정보'!$E$10,8,IF(INT(M267)&gt;='3월 등급 정보'!$E$11,9)))))))))</f>
        <v>7</v>
      </c>
      <c r="Q267" s="34">
        <v>16</v>
      </c>
      <c r="R267" s="33"/>
      <c r="S267" s="33"/>
      <c r="T267" s="33">
        <f>IF(INT(Q267)&gt;='3월 등급 정보'!$F$3,1,IF(INT(Q267)&gt;='3월 등급 정보'!$F$4,2,IF(INT(Q267)&gt;='3월 등급 정보'!$F$5,3,IF(INT(Q267)&gt;='3월 등급 정보'!$F$6,4,IF(INT(Q267)&gt;='3월 등급 정보'!$F$7,5,IF(INT(Q267)&gt;='3월 등급 정보'!$F$8,6,IF(INT(Q267)&gt;='3월 등급 정보'!$F$9,7,IF(INT(Q267)&gt;='3월 등급 정보'!$F$10,8,IF(INT(Q267)&gt;='3월 등급 정보'!$F$11,9)))))))))</f>
        <v>7</v>
      </c>
      <c r="U267" s="34">
        <v>12</v>
      </c>
      <c r="V267" s="33"/>
      <c r="W267" s="33"/>
      <c r="X267" s="33">
        <f>IF(INT(U267)&gt;='3월 등급 정보'!$G$3,1,IF(INT(U267)&gt;='3월 등급 정보'!$G$4,2,IF(INT(U267)&gt;='3월 등급 정보'!$G$5,3,IF(INT(U267)&gt;='3월 등급 정보'!$G$6,4,IF(INT(U267)&gt;='3월 등급 정보'!$G$7,5,IF(INT(U267)&gt;='3월 등급 정보'!$G$8,6,IF(INT(U267)&gt;='3월 등급 정보'!$G$9,7,IF(INT(U267)&gt;='3월 등급 정보'!$G$10,8,IF(INT(U267)&gt;='3월 등급 정보'!$G$11,9)))))))))</f>
        <v>7</v>
      </c>
      <c r="Y267" s="34">
        <v>19</v>
      </c>
      <c r="Z267" s="33"/>
      <c r="AA267" s="33"/>
      <c r="AB267" s="33">
        <f>IF(INT(Y267)&gt;='3월 등급 정보'!$H$3,1,IF(INT(Y267)&gt;='3월 등급 정보'!$H$4,2,IF(INT(Y267)&gt;='3월 등급 정보'!$H$5,3,IF(INT(Y267)&gt;='3월 등급 정보'!$H$6,4,IF(INT(Y267)&gt;='3월 등급 정보'!$H$7,5,IF(INT(Y267)&gt;='3월 등급 정보'!$H$8,6,IF(INT(Y267)&gt;='3월 등급 정보'!$H$9,7,IF(INT(Y267)&gt;='3월 등급 정보'!$H$10,8,IF(INT(Y267)&gt;='3월 등급 정보'!$H$11,9)))))))))</f>
        <v>6</v>
      </c>
      <c r="AC267" s="33">
        <f>E267+I267+M267+Q267+U267</f>
        <v>95</v>
      </c>
      <c r="AD267" s="33">
        <f>RANK(AC267,$AC$3:$AC$273)</f>
        <v>265</v>
      </c>
    </row>
    <row r="268" spans="1:30" ht="17.25" customHeight="1">
      <c r="A268" s="33" t="s">
        <v>26</v>
      </c>
      <c r="B268" s="34">
        <v>6</v>
      </c>
      <c r="C268" s="34">
        <v>20</v>
      </c>
      <c r="D268" s="34" t="s">
        <v>178</v>
      </c>
      <c r="E268" s="34">
        <v>30</v>
      </c>
      <c r="F268" s="33"/>
      <c r="G268" s="33"/>
      <c r="H268" s="33">
        <f>IF(INT(E268)&gt;='3월 등급 정보'!$C$3,1,IF(INT(E268)&gt;='3월 등급 정보'!$C$4,2,IF(INT(E268)&gt;='3월 등급 정보'!$C$5,3,IF(INT(E268)&gt;='3월 등급 정보'!$C$6,4,IF(INT(E268)&gt;='3월 등급 정보'!$C$7,5,IF(INT(E268)&gt;='3월 등급 정보'!$C$8,6,IF(INT(E268)&gt;='3월 등급 정보'!$C$9,7,IF(INT(E268)&gt;='3월 등급 정보'!$C$10,8,IF(INT(E268)&gt;='3월 등급 정보'!$C$11,9)))))))))</f>
        <v>7</v>
      </c>
      <c r="I268" s="34">
        <v>14</v>
      </c>
      <c r="J268" s="33"/>
      <c r="K268" s="33"/>
      <c r="L268" s="33">
        <f>IF(INT(I268)&gt;='3월 등급 정보'!$D$3,1,IF(INT(I268)&gt;='3월 등급 정보'!$D$4,2,IF(INT(I268)&gt;='3월 등급 정보'!$D$5,3,IF(INT(I268)&gt;='3월 등급 정보'!$D$6,4,IF(INT(I268)&gt;='3월 등급 정보'!$D$7,5,IF(INT(I268)&gt;='3월 등급 정보'!$D$8,6,IF(INT(I268)&gt;='3월 등급 정보'!$D$9,7,IF(INT(I268)&gt;='3월 등급 정보'!$D$10,8,IF(INT(I268)&gt;='3월 등급 정보'!$D$11,9)))))))))</f>
        <v>8</v>
      </c>
      <c r="M268" s="34">
        <v>25</v>
      </c>
      <c r="N268" s="33"/>
      <c r="O268" s="33"/>
      <c r="P268" s="33">
        <f>IF(INT(M268)&gt;='3월 등급 정보'!$E$3,1,IF(INT(M268)&gt;='3월 등급 정보'!$E$4,2,IF(INT(M268)&gt;='3월 등급 정보'!$E$5,3,IF(INT(M268)&gt;='3월 등급 정보'!$E$6,4,IF(INT(M268)&gt;='3월 등급 정보'!$E$7,5,IF(INT(M268)&gt;='3월 등급 정보'!$E$8,6,IF(INT(M268)&gt;='3월 등급 정보'!$E$9,7,IF(INT(M268)&gt;='3월 등급 정보'!$E$10,8,IF(INT(M268)&gt;='3월 등급 정보'!$E$11,9)))))))))</f>
        <v>8</v>
      </c>
      <c r="Q268" s="34">
        <v>14.5</v>
      </c>
      <c r="R268" s="33"/>
      <c r="S268" s="33"/>
      <c r="T268" s="33">
        <f>IF(INT(Q268)&gt;='3월 등급 정보'!$F$3,1,IF(INT(Q268)&gt;='3월 등급 정보'!$F$4,2,IF(INT(Q268)&gt;='3월 등급 정보'!$F$5,3,IF(INT(Q268)&gt;='3월 등급 정보'!$F$6,4,IF(INT(Q268)&gt;='3월 등급 정보'!$F$7,5,IF(INT(Q268)&gt;='3월 등급 정보'!$F$8,6,IF(INT(Q268)&gt;='3월 등급 정보'!$F$9,7,IF(INT(Q268)&gt;='3월 등급 정보'!$F$10,8,IF(INT(Q268)&gt;='3월 등급 정보'!$F$11,9)))))))))</f>
        <v>7</v>
      </c>
      <c r="U268" s="34">
        <v>11</v>
      </c>
      <c r="V268" s="33"/>
      <c r="W268" s="33"/>
      <c r="X268" s="33">
        <f>IF(INT(U268)&gt;='3월 등급 정보'!$G$3,1,IF(INT(U268)&gt;='3월 등급 정보'!$G$4,2,IF(INT(U268)&gt;='3월 등급 정보'!$G$5,3,IF(INT(U268)&gt;='3월 등급 정보'!$G$6,4,IF(INT(U268)&gt;='3월 등급 정보'!$G$7,5,IF(INT(U268)&gt;='3월 등급 정보'!$G$8,6,IF(INT(U268)&gt;='3월 등급 정보'!$G$9,7,IF(INT(U268)&gt;='3월 등급 정보'!$G$10,8,IF(INT(U268)&gt;='3월 등급 정보'!$G$11,9)))))))))</f>
        <v>7</v>
      </c>
      <c r="Y268" s="34">
        <v>12</v>
      </c>
      <c r="Z268" s="33"/>
      <c r="AA268" s="33"/>
      <c r="AB268" s="33">
        <f>IF(INT(Y268)&gt;='3월 등급 정보'!$H$3,1,IF(INT(Y268)&gt;='3월 등급 정보'!$H$4,2,IF(INT(Y268)&gt;='3월 등급 정보'!$H$5,3,IF(INT(Y268)&gt;='3월 등급 정보'!$H$6,4,IF(INT(Y268)&gt;='3월 등급 정보'!$H$7,5,IF(INT(Y268)&gt;='3월 등급 정보'!$H$8,6,IF(INT(Y268)&gt;='3월 등급 정보'!$H$9,7,IF(INT(Y268)&gt;='3월 등급 정보'!$H$10,8,IF(INT(Y268)&gt;='3월 등급 정보'!$H$11,9)))))))))</f>
        <v>7</v>
      </c>
      <c r="AC268" s="33">
        <f>E268+I268+M268+Q268+U268</f>
        <v>94.5</v>
      </c>
      <c r="AD268" s="33">
        <f>RANK(AC268,$AC$3:$AC$273)</f>
        <v>266</v>
      </c>
    </row>
    <row r="269" spans="1:30" ht="17.25" customHeight="1">
      <c r="A269" s="33" t="s">
        <v>26</v>
      </c>
      <c r="B269" s="34">
        <v>10</v>
      </c>
      <c r="C269" s="34">
        <v>5</v>
      </c>
      <c r="D269" s="34" t="s">
        <v>269</v>
      </c>
      <c r="E269" s="34">
        <v>24</v>
      </c>
      <c r="F269" s="33"/>
      <c r="G269" s="33"/>
      <c r="H269" s="33">
        <f>IF(INT(E269)&gt;='3월 등급 정보'!$C$3,1,IF(INT(E269)&gt;='3월 등급 정보'!$C$4,2,IF(INT(E269)&gt;='3월 등급 정보'!$C$5,3,IF(INT(E269)&gt;='3월 등급 정보'!$C$6,4,IF(INT(E269)&gt;='3월 등급 정보'!$C$7,5,IF(INT(E269)&gt;='3월 등급 정보'!$C$8,6,IF(INT(E269)&gt;='3월 등급 정보'!$C$9,7,IF(INT(E269)&gt;='3월 등급 정보'!$C$10,8,IF(INT(E269)&gt;='3월 등급 정보'!$C$11,9)))))))))</f>
        <v>8</v>
      </c>
      <c r="I269" s="34">
        <v>13</v>
      </c>
      <c r="J269" s="33"/>
      <c r="K269" s="33"/>
      <c r="L269" s="33">
        <f>IF(INT(I269)&gt;='3월 등급 정보'!$D$3,1,IF(INT(I269)&gt;='3월 등급 정보'!$D$4,2,IF(INT(I269)&gt;='3월 등급 정보'!$D$5,3,IF(INT(I269)&gt;='3월 등급 정보'!$D$6,4,IF(INT(I269)&gt;='3월 등급 정보'!$D$7,5,IF(INT(I269)&gt;='3월 등급 정보'!$D$8,6,IF(INT(I269)&gt;='3월 등급 정보'!$D$9,7,IF(INT(I269)&gt;='3월 등급 정보'!$D$10,8,IF(INT(I269)&gt;='3월 등급 정보'!$D$11,9)))))))))</f>
        <v>8</v>
      </c>
      <c r="M269" s="34">
        <v>20</v>
      </c>
      <c r="N269" s="33"/>
      <c r="O269" s="33"/>
      <c r="P269" s="33">
        <f>IF(INT(M269)&gt;='3월 등급 정보'!$E$3,1,IF(INT(M269)&gt;='3월 등급 정보'!$E$4,2,IF(INT(M269)&gt;='3월 등급 정보'!$E$5,3,IF(INT(M269)&gt;='3월 등급 정보'!$E$6,4,IF(INT(M269)&gt;='3월 등급 정보'!$E$7,5,IF(INT(M269)&gt;='3월 등급 정보'!$E$8,6,IF(INT(M269)&gt;='3월 등급 정보'!$E$9,7,IF(INT(M269)&gt;='3월 등급 정보'!$E$10,8,IF(INT(M269)&gt;='3월 등급 정보'!$E$11,9)))))))))</f>
        <v>8</v>
      </c>
      <c r="Q269" s="34">
        <v>22</v>
      </c>
      <c r="R269" s="33"/>
      <c r="S269" s="33"/>
      <c r="T269" s="33">
        <f>IF(INT(Q269)&gt;='3월 등급 정보'!$F$3,1,IF(INT(Q269)&gt;='3월 등급 정보'!$F$4,2,IF(INT(Q269)&gt;='3월 등급 정보'!$F$5,3,IF(INT(Q269)&gt;='3월 등급 정보'!$F$6,4,IF(INT(Q269)&gt;='3월 등급 정보'!$F$7,5,IF(INT(Q269)&gt;='3월 등급 정보'!$F$8,6,IF(INT(Q269)&gt;='3월 등급 정보'!$F$9,7,IF(INT(Q269)&gt;='3월 등급 정보'!$F$10,8,IF(INT(Q269)&gt;='3월 등급 정보'!$F$11,9)))))))))</f>
        <v>6</v>
      </c>
      <c r="U269" s="34">
        <v>8</v>
      </c>
      <c r="V269" s="33"/>
      <c r="W269" s="33"/>
      <c r="X269" s="33">
        <f>IF(INT(U269)&gt;='3월 등급 정보'!$G$3,1,IF(INT(U269)&gt;='3월 등급 정보'!$G$4,2,IF(INT(U269)&gt;='3월 등급 정보'!$G$5,3,IF(INT(U269)&gt;='3월 등급 정보'!$G$6,4,IF(INT(U269)&gt;='3월 등급 정보'!$G$7,5,IF(INT(U269)&gt;='3월 등급 정보'!$G$8,6,IF(INT(U269)&gt;='3월 등급 정보'!$G$9,7,IF(INT(U269)&gt;='3월 등급 정보'!$G$10,8,IF(INT(U269)&gt;='3월 등급 정보'!$G$11,9)))))))))</f>
        <v>8</v>
      </c>
      <c r="Y269" s="34">
        <v>7</v>
      </c>
      <c r="Z269" s="33"/>
      <c r="AA269" s="33"/>
      <c r="AB269" s="33">
        <f>IF(INT(Y269)&gt;='3월 등급 정보'!$H$3,1,IF(INT(Y269)&gt;='3월 등급 정보'!$H$4,2,IF(INT(Y269)&gt;='3월 등급 정보'!$H$5,3,IF(INT(Y269)&gt;='3월 등급 정보'!$H$6,4,IF(INT(Y269)&gt;='3월 등급 정보'!$H$7,5,IF(INT(Y269)&gt;='3월 등급 정보'!$H$8,6,IF(INT(Y269)&gt;='3월 등급 정보'!$H$9,7,IF(INT(Y269)&gt;='3월 등급 정보'!$H$10,8,IF(INT(Y269)&gt;='3월 등급 정보'!$H$11,9)))))))))</f>
        <v>8</v>
      </c>
      <c r="AC269" s="33">
        <f>E269+I269+M269+Q269+U269</f>
        <v>87</v>
      </c>
      <c r="AD269" s="33">
        <f>RANK(AC269,$AC$3:$AC$273)</f>
        <v>267</v>
      </c>
    </row>
    <row r="270" spans="1:30" ht="17.25" customHeight="1">
      <c r="A270" s="33" t="s">
        <v>26</v>
      </c>
      <c r="B270" s="34">
        <v>5</v>
      </c>
      <c r="C270" s="34">
        <v>21</v>
      </c>
      <c r="D270" s="34" t="s">
        <v>151</v>
      </c>
      <c r="E270" s="34">
        <v>17</v>
      </c>
      <c r="F270" s="33"/>
      <c r="G270" s="33"/>
      <c r="H270" s="33">
        <f>IF(INT(E270)&gt;='3월 등급 정보'!$C$3,1,IF(INT(E270)&gt;='3월 등급 정보'!$C$4,2,IF(INT(E270)&gt;='3월 등급 정보'!$C$5,3,IF(INT(E270)&gt;='3월 등급 정보'!$C$6,4,IF(INT(E270)&gt;='3월 등급 정보'!$C$7,5,IF(INT(E270)&gt;='3월 등급 정보'!$C$8,6,IF(INT(E270)&gt;='3월 등급 정보'!$C$9,7,IF(INT(E270)&gt;='3월 등급 정보'!$C$10,8,IF(INT(E270)&gt;='3월 등급 정보'!$C$11,9)))))))))</f>
        <v>9</v>
      </c>
      <c r="I270" s="34">
        <v>19</v>
      </c>
      <c r="J270" s="33"/>
      <c r="K270" s="33"/>
      <c r="L270" s="33">
        <f>IF(INT(I270)&gt;='3월 등급 정보'!$D$3,1,IF(INT(I270)&gt;='3월 등급 정보'!$D$4,2,IF(INT(I270)&gt;='3월 등급 정보'!$D$5,3,IF(INT(I270)&gt;='3월 등급 정보'!$D$6,4,IF(INT(I270)&gt;='3월 등급 정보'!$D$7,5,IF(INT(I270)&gt;='3월 등급 정보'!$D$8,6,IF(INT(I270)&gt;='3월 등급 정보'!$D$9,7,IF(INT(I270)&gt;='3월 등급 정보'!$D$10,8,IF(INT(I270)&gt;='3월 등급 정보'!$D$11,9)))))))))</f>
        <v>7</v>
      </c>
      <c r="M270" s="34">
        <v>29</v>
      </c>
      <c r="N270" s="33"/>
      <c r="O270" s="33"/>
      <c r="P270" s="33">
        <f>IF(INT(M270)&gt;='3월 등급 정보'!$E$3,1,IF(INT(M270)&gt;='3월 등급 정보'!$E$4,2,IF(INT(M270)&gt;='3월 등급 정보'!$E$5,3,IF(INT(M270)&gt;='3월 등급 정보'!$E$6,4,IF(INT(M270)&gt;='3월 등급 정보'!$E$7,5,IF(INT(M270)&gt;='3월 등급 정보'!$E$8,6,IF(INT(M270)&gt;='3월 등급 정보'!$E$9,7,IF(INT(M270)&gt;='3월 등급 정보'!$E$10,8,IF(INT(M270)&gt;='3월 등급 정보'!$E$11,9)))))))))</f>
        <v>8</v>
      </c>
      <c r="Q270" s="34">
        <v>10</v>
      </c>
      <c r="R270" s="33"/>
      <c r="S270" s="33"/>
      <c r="T270" s="33">
        <f>IF(INT(Q270)&gt;='3월 등급 정보'!$F$3,1,IF(INT(Q270)&gt;='3월 등급 정보'!$F$4,2,IF(INT(Q270)&gt;='3월 등급 정보'!$F$5,3,IF(INT(Q270)&gt;='3월 등급 정보'!$F$6,4,IF(INT(Q270)&gt;='3월 등급 정보'!$F$7,5,IF(INT(Q270)&gt;='3월 등급 정보'!$F$8,6,IF(INT(Q270)&gt;='3월 등급 정보'!$F$9,7,IF(INT(Q270)&gt;='3월 등급 정보'!$F$10,8,IF(INT(Q270)&gt;='3월 등급 정보'!$F$11,9)))))))))</f>
        <v>8</v>
      </c>
      <c r="U270" s="34">
        <v>10.5</v>
      </c>
      <c r="V270" s="33"/>
      <c r="W270" s="33"/>
      <c r="X270" s="33">
        <f>IF(INT(U270)&gt;='3월 등급 정보'!$G$3,1,IF(INT(U270)&gt;='3월 등급 정보'!$G$4,2,IF(INT(U270)&gt;='3월 등급 정보'!$G$5,3,IF(INT(U270)&gt;='3월 등급 정보'!$G$6,4,IF(INT(U270)&gt;='3월 등급 정보'!$G$7,5,IF(INT(U270)&gt;='3월 등급 정보'!$G$8,6,IF(INT(U270)&gt;='3월 등급 정보'!$G$9,7,IF(INT(U270)&gt;='3월 등급 정보'!$G$10,8,IF(INT(U270)&gt;='3월 등급 정보'!$G$11,9)))))))))</f>
        <v>8</v>
      </c>
      <c r="Y270" s="34">
        <v>16</v>
      </c>
      <c r="Z270" s="33"/>
      <c r="AA270" s="33"/>
      <c r="AB270" s="33">
        <f>IF(INT(Y270)&gt;='3월 등급 정보'!$H$3,1,IF(INT(Y270)&gt;='3월 등급 정보'!$H$4,2,IF(INT(Y270)&gt;='3월 등급 정보'!$H$5,3,IF(INT(Y270)&gt;='3월 등급 정보'!$H$6,4,IF(INT(Y270)&gt;='3월 등급 정보'!$H$7,5,IF(INT(Y270)&gt;='3월 등급 정보'!$H$8,6,IF(INT(Y270)&gt;='3월 등급 정보'!$H$9,7,IF(INT(Y270)&gt;='3월 등급 정보'!$H$10,8,IF(INT(Y270)&gt;='3월 등급 정보'!$H$11,9)))))))))</f>
        <v>6</v>
      </c>
      <c r="AC270" s="33">
        <f>E270+I270+M270+Q270+U270</f>
        <v>85.5</v>
      </c>
      <c r="AD270" s="33">
        <f>RANK(AC270,$AC$3:$AC$273)</f>
        <v>268</v>
      </c>
    </row>
    <row r="271" spans="1:30" ht="17.25" customHeight="1">
      <c r="A271" s="33" t="s">
        <v>26</v>
      </c>
      <c r="B271" s="34">
        <v>8</v>
      </c>
      <c r="C271" s="34">
        <v>21</v>
      </c>
      <c r="D271" s="34" t="s">
        <v>232</v>
      </c>
      <c r="E271" s="34">
        <v>34</v>
      </c>
      <c r="F271" s="33"/>
      <c r="G271" s="33"/>
      <c r="H271" s="33">
        <f>IF(INT(E271)&gt;='3월 등급 정보'!$C$3,1,IF(INT(E271)&gt;='3월 등급 정보'!$C$4,2,IF(INT(E271)&gt;='3월 등급 정보'!$C$5,3,IF(INT(E271)&gt;='3월 등급 정보'!$C$6,4,IF(INT(E271)&gt;='3월 등급 정보'!$C$7,5,IF(INT(E271)&gt;='3월 등급 정보'!$C$8,6,IF(INT(E271)&gt;='3월 등급 정보'!$C$9,7,IF(INT(E271)&gt;='3월 등급 정보'!$C$10,8,IF(INT(E271)&gt;='3월 등급 정보'!$C$11,9)))))))))</f>
        <v>7</v>
      </c>
      <c r="I271" s="34">
        <v>7</v>
      </c>
      <c r="J271" s="33"/>
      <c r="K271" s="33"/>
      <c r="L271" s="33">
        <f>IF(INT(I271)&gt;='3월 등급 정보'!$D$3,1,IF(INT(I271)&gt;='3월 등급 정보'!$D$4,2,IF(INT(I271)&gt;='3월 등급 정보'!$D$5,3,IF(INT(I271)&gt;='3월 등급 정보'!$D$6,4,IF(INT(I271)&gt;='3월 등급 정보'!$D$7,5,IF(INT(I271)&gt;='3월 등급 정보'!$D$8,6,IF(INT(I271)&gt;='3월 등급 정보'!$D$9,7,IF(INT(I271)&gt;='3월 등급 정보'!$D$10,8,IF(INT(I271)&gt;='3월 등급 정보'!$D$11,9)))))))))</f>
        <v>9</v>
      </c>
      <c r="M271" s="34">
        <v>15</v>
      </c>
      <c r="N271" s="33"/>
      <c r="O271" s="33"/>
      <c r="P271" s="33">
        <f>IF(INT(M271)&gt;='3월 등급 정보'!$E$3,1,IF(INT(M271)&gt;='3월 등급 정보'!$E$4,2,IF(INT(M271)&gt;='3월 등급 정보'!$E$5,3,IF(INT(M271)&gt;='3월 등급 정보'!$E$6,4,IF(INT(M271)&gt;='3월 등급 정보'!$E$7,5,IF(INT(M271)&gt;='3월 등급 정보'!$E$8,6,IF(INT(M271)&gt;='3월 등급 정보'!$E$9,7,IF(INT(M271)&gt;='3월 등급 정보'!$E$10,8,IF(INT(M271)&gt;='3월 등급 정보'!$E$11,9)))))))))</f>
        <v>9</v>
      </c>
      <c r="Q271" s="34">
        <v>16</v>
      </c>
      <c r="R271" s="33"/>
      <c r="S271" s="33"/>
      <c r="T271" s="33">
        <f>IF(INT(Q271)&gt;='3월 등급 정보'!$F$3,1,IF(INT(Q271)&gt;='3월 등급 정보'!$F$4,2,IF(INT(Q271)&gt;='3월 등급 정보'!$F$5,3,IF(INT(Q271)&gt;='3월 등급 정보'!$F$6,4,IF(INT(Q271)&gt;='3월 등급 정보'!$F$7,5,IF(INT(Q271)&gt;='3월 등급 정보'!$F$8,6,IF(INT(Q271)&gt;='3월 등급 정보'!$F$9,7,IF(INT(Q271)&gt;='3월 등급 정보'!$F$10,8,IF(INT(Q271)&gt;='3월 등급 정보'!$F$11,9)))))))))</f>
        <v>7</v>
      </c>
      <c r="U271" s="34">
        <v>13</v>
      </c>
      <c r="V271" s="33"/>
      <c r="W271" s="33"/>
      <c r="X271" s="33">
        <f>IF(INT(U271)&gt;='3월 등급 정보'!$G$3,1,IF(INT(U271)&gt;='3월 등급 정보'!$G$4,2,IF(INT(U271)&gt;='3월 등급 정보'!$G$5,3,IF(INT(U271)&gt;='3월 등급 정보'!$G$6,4,IF(INT(U271)&gt;='3월 등급 정보'!$G$7,5,IF(INT(U271)&gt;='3월 등급 정보'!$G$8,6,IF(INT(U271)&gt;='3월 등급 정보'!$G$9,7,IF(INT(U271)&gt;='3월 등급 정보'!$G$10,8,IF(INT(U271)&gt;='3월 등급 정보'!$G$11,9)))))))))</f>
        <v>7</v>
      </c>
      <c r="Y271" s="34">
        <v>13</v>
      </c>
      <c r="Z271" s="33"/>
      <c r="AA271" s="33"/>
      <c r="AB271" s="33">
        <f>IF(INT(Y271)&gt;='3월 등급 정보'!$H$3,1,IF(INT(Y271)&gt;='3월 등급 정보'!$H$4,2,IF(INT(Y271)&gt;='3월 등급 정보'!$H$5,3,IF(INT(Y271)&gt;='3월 등급 정보'!$H$6,4,IF(INT(Y271)&gt;='3월 등급 정보'!$H$7,5,IF(INT(Y271)&gt;='3월 등급 정보'!$H$8,6,IF(INT(Y271)&gt;='3월 등급 정보'!$H$9,7,IF(INT(Y271)&gt;='3월 등급 정보'!$H$10,8,IF(INT(Y271)&gt;='3월 등급 정보'!$H$11,9)))))))))</f>
        <v>7</v>
      </c>
      <c r="AC271" s="33">
        <f>E271+I271+M271+Q271+U271</f>
        <v>85</v>
      </c>
      <c r="AD271" s="33">
        <f>RANK(AC271,$AC$3:$AC$273)</f>
        <v>269</v>
      </c>
    </row>
    <row r="272" spans="1:30" ht="17.25" customHeight="1">
      <c r="A272" s="33" t="s">
        <v>26</v>
      </c>
      <c r="B272" s="34">
        <v>6</v>
      </c>
      <c r="C272" s="34">
        <v>19</v>
      </c>
      <c r="D272" s="34" t="s">
        <v>177</v>
      </c>
      <c r="E272" s="34">
        <v>23</v>
      </c>
      <c r="F272" s="33"/>
      <c r="G272" s="33"/>
      <c r="H272" s="33">
        <f>IF(INT(E272)&gt;='3월 등급 정보'!$C$3,1,IF(INT(E272)&gt;='3월 등급 정보'!$C$4,2,IF(INT(E272)&gt;='3월 등급 정보'!$C$5,3,IF(INT(E272)&gt;='3월 등급 정보'!$C$6,4,IF(INT(E272)&gt;='3월 등급 정보'!$C$7,5,IF(INT(E272)&gt;='3월 등급 정보'!$C$8,6,IF(INT(E272)&gt;='3월 등급 정보'!$C$9,7,IF(INT(E272)&gt;='3월 등급 정보'!$C$10,8,IF(INT(E272)&gt;='3월 등급 정보'!$C$11,9)))))))))</f>
        <v>8</v>
      </c>
      <c r="I272" s="34">
        <v>22</v>
      </c>
      <c r="J272" s="33"/>
      <c r="K272" s="33"/>
      <c r="L272" s="33">
        <f>IF(INT(I272)&gt;='3월 등급 정보'!$D$3,1,IF(INT(I272)&gt;='3월 등급 정보'!$D$4,2,IF(INT(I272)&gt;='3월 등급 정보'!$D$5,3,IF(INT(I272)&gt;='3월 등급 정보'!$D$6,4,IF(INT(I272)&gt;='3월 등급 정보'!$D$7,5,IF(INT(I272)&gt;='3월 등급 정보'!$D$8,6,IF(INT(I272)&gt;='3월 등급 정보'!$D$9,7,IF(INT(I272)&gt;='3월 등급 정보'!$D$10,8,IF(INT(I272)&gt;='3월 등급 정보'!$D$11,9)))))))))</f>
        <v>7</v>
      </c>
      <c r="M272" s="34">
        <v>19</v>
      </c>
      <c r="N272" s="33"/>
      <c r="O272" s="33"/>
      <c r="P272" s="33">
        <f>IF(INT(M272)&gt;='3월 등급 정보'!$E$3,1,IF(INT(M272)&gt;='3월 등급 정보'!$E$4,2,IF(INT(M272)&gt;='3월 등급 정보'!$E$5,3,IF(INT(M272)&gt;='3월 등급 정보'!$E$6,4,IF(INT(M272)&gt;='3월 등급 정보'!$E$7,5,IF(INT(M272)&gt;='3월 등급 정보'!$E$8,6,IF(INT(M272)&gt;='3월 등급 정보'!$E$9,7,IF(INT(M272)&gt;='3월 등급 정보'!$E$10,8,IF(INT(M272)&gt;='3월 등급 정보'!$E$11,9)))))))))</f>
        <v>9</v>
      </c>
      <c r="Q272" s="34">
        <v>8.5</v>
      </c>
      <c r="R272" s="33"/>
      <c r="S272" s="33"/>
      <c r="T272" s="33">
        <f>IF(INT(Q272)&gt;='3월 등급 정보'!$F$3,1,IF(INT(Q272)&gt;='3월 등급 정보'!$F$4,2,IF(INT(Q272)&gt;='3월 등급 정보'!$F$5,3,IF(INT(Q272)&gt;='3월 등급 정보'!$F$6,4,IF(INT(Q272)&gt;='3월 등급 정보'!$F$7,5,IF(INT(Q272)&gt;='3월 등급 정보'!$F$8,6,IF(INT(Q272)&gt;='3월 등급 정보'!$F$9,7,IF(INT(Q272)&gt;='3월 등급 정보'!$F$10,8,IF(INT(Q272)&gt;='3월 등급 정보'!$F$11,9)))))))))</f>
        <v>8</v>
      </c>
      <c r="U272" s="34">
        <v>8</v>
      </c>
      <c r="V272" s="33"/>
      <c r="W272" s="33"/>
      <c r="X272" s="33">
        <f>IF(INT(U272)&gt;='3월 등급 정보'!$G$3,1,IF(INT(U272)&gt;='3월 등급 정보'!$G$4,2,IF(INT(U272)&gt;='3월 등급 정보'!$G$5,3,IF(INT(U272)&gt;='3월 등급 정보'!$G$6,4,IF(INT(U272)&gt;='3월 등급 정보'!$G$7,5,IF(INT(U272)&gt;='3월 등급 정보'!$G$8,6,IF(INT(U272)&gt;='3월 등급 정보'!$G$9,7,IF(INT(U272)&gt;='3월 등급 정보'!$G$10,8,IF(INT(U272)&gt;='3월 등급 정보'!$G$11,9)))))))))</f>
        <v>8</v>
      </c>
      <c r="Y272" s="34">
        <v>13</v>
      </c>
      <c r="Z272" s="33"/>
      <c r="AA272" s="33"/>
      <c r="AB272" s="33">
        <f>IF(INT(Y272)&gt;='3월 등급 정보'!$H$3,1,IF(INT(Y272)&gt;='3월 등급 정보'!$H$4,2,IF(INT(Y272)&gt;='3월 등급 정보'!$H$5,3,IF(INT(Y272)&gt;='3월 등급 정보'!$H$6,4,IF(INT(Y272)&gt;='3월 등급 정보'!$H$7,5,IF(INT(Y272)&gt;='3월 등급 정보'!$H$8,6,IF(INT(Y272)&gt;='3월 등급 정보'!$H$9,7,IF(INT(Y272)&gt;='3월 등급 정보'!$H$10,8,IF(INT(Y272)&gt;='3월 등급 정보'!$H$11,9)))))))))</f>
        <v>7</v>
      </c>
      <c r="AC272" s="33">
        <f>E272+I272+M272+Q272+U272</f>
        <v>80.5</v>
      </c>
      <c r="AD272" s="33">
        <f>RANK(AC272,$AC$3:$AC$273)</f>
        <v>270</v>
      </c>
    </row>
    <row r="273" spans="1:30" ht="17.25" customHeight="1">
      <c r="A273" s="33" t="s">
        <v>26</v>
      </c>
      <c r="B273" s="34">
        <v>7</v>
      </c>
      <c r="C273" s="34">
        <v>20</v>
      </c>
      <c r="D273" s="34" t="s">
        <v>206</v>
      </c>
      <c r="E273" s="34">
        <v>20</v>
      </c>
      <c r="F273" s="33"/>
      <c r="G273" s="33"/>
      <c r="H273" s="33">
        <f>IF(INT(E273)&gt;='3월 등급 정보'!$C$3,1,IF(INT(E273)&gt;='3월 등급 정보'!$C$4,2,IF(INT(E273)&gt;='3월 등급 정보'!$C$5,3,IF(INT(E273)&gt;='3월 등급 정보'!$C$6,4,IF(INT(E273)&gt;='3월 등급 정보'!$C$7,5,IF(INT(E273)&gt;='3월 등급 정보'!$C$8,6,IF(INT(E273)&gt;='3월 등급 정보'!$C$9,7,IF(INT(E273)&gt;='3월 등급 정보'!$C$10,8,IF(INT(E273)&gt;='3월 등급 정보'!$C$11,9)))))))))</f>
        <v>8</v>
      </c>
      <c r="I273" s="34">
        <v>10</v>
      </c>
      <c r="J273" s="33"/>
      <c r="K273" s="33"/>
      <c r="L273" s="33">
        <f>IF(INT(I273)&gt;='3월 등급 정보'!$D$3,1,IF(INT(I273)&gt;='3월 등급 정보'!$D$4,2,IF(INT(I273)&gt;='3월 등급 정보'!$D$5,3,IF(INT(I273)&gt;='3월 등급 정보'!$D$6,4,IF(INT(I273)&gt;='3월 등급 정보'!$D$7,5,IF(INT(I273)&gt;='3월 등급 정보'!$D$8,6,IF(INT(I273)&gt;='3월 등급 정보'!$D$9,7,IF(INT(I273)&gt;='3월 등급 정보'!$D$10,8,IF(INT(I273)&gt;='3월 등급 정보'!$D$11,9)))))))))</f>
        <v>9</v>
      </c>
      <c r="M273" s="34">
        <v>21</v>
      </c>
      <c r="N273" s="33"/>
      <c r="O273" s="33"/>
      <c r="P273" s="33">
        <f>IF(INT(M273)&gt;='3월 등급 정보'!$E$3,1,IF(INT(M273)&gt;='3월 등급 정보'!$E$4,2,IF(INT(M273)&gt;='3월 등급 정보'!$E$5,3,IF(INT(M273)&gt;='3월 등급 정보'!$E$6,4,IF(INT(M273)&gt;='3월 등급 정보'!$E$7,5,IF(INT(M273)&gt;='3월 등급 정보'!$E$8,6,IF(INT(M273)&gt;='3월 등급 정보'!$E$9,7,IF(INT(M273)&gt;='3월 등급 정보'!$E$10,8,IF(INT(M273)&gt;='3월 등급 정보'!$E$11,9)))))))))</f>
        <v>8</v>
      </c>
      <c r="Q273" s="34">
        <v>7.5</v>
      </c>
      <c r="R273" s="33"/>
      <c r="S273" s="33"/>
      <c r="T273" s="33">
        <f>IF(INT(Q273)&gt;='3월 등급 정보'!$F$3,1,IF(INT(Q273)&gt;='3월 등급 정보'!$F$4,2,IF(INT(Q273)&gt;='3월 등급 정보'!$F$5,3,IF(INT(Q273)&gt;='3월 등급 정보'!$F$6,4,IF(INT(Q273)&gt;='3월 등급 정보'!$F$7,5,IF(INT(Q273)&gt;='3월 등급 정보'!$F$8,6,IF(INT(Q273)&gt;='3월 등급 정보'!$F$9,7,IF(INT(Q273)&gt;='3월 등급 정보'!$F$10,8,IF(INT(Q273)&gt;='3월 등급 정보'!$F$11,9)))))))))</f>
        <v>9</v>
      </c>
      <c r="U273" s="34">
        <v>9</v>
      </c>
      <c r="V273" s="33"/>
      <c r="W273" s="33"/>
      <c r="X273" s="33">
        <f>IF(INT(U273)&gt;='3월 등급 정보'!$G$3,1,IF(INT(U273)&gt;='3월 등급 정보'!$G$4,2,IF(INT(U273)&gt;='3월 등급 정보'!$G$5,3,IF(INT(U273)&gt;='3월 등급 정보'!$G$6,4,IF(INT(U273)&gt;='3월 등급 정보'!$G$7,5,IF(INT(U273)&gt;='3월 등급 정보'!$G$8,6,IF(INT(U273)&gt;='3월 등급 정보'!$G$9,7,IF(INT(U273)&gt;='3월 등급 정보'!$G$10,8,IF(INT(U273)&gt;='3월 등급 정보'!$G$11,9)))))))))</f>
        <v>8</v>
      </c>
      <c r="Y273" s="34">
        <v>11</v>
      </c>
      <c r="Z273" s="33"/>
      <c r="AA273" s="33"/>
      <c r="AB273" s="33">
        <f>IF(INT(Y273)&gt;='3월 등급 정보'!$H$3,1,IF(INT(Y273)&gt;='3월 등급 정보'!$H$4,2,IF(INT(Y273)&gt;='3월 등급 정보'!$H$5,3,IF(INT(Y273)&gt;='3월 등급 정보'!$H$6,4,IF(INT(Y273)&gt;='3월 등급 정보'!$H$7,5,IF(INT(Y273)&gt;='3월 등급 정보'!$H$8,6,IF(INT(Y273)&gt;='3월 등급 정보'!$H$9,7,IF(INT(Y273)&gt;='3월 등급 정보'!$H$10,8,IF(INT(Y273)&gt;='3월 등급 정보'!$H$11,9)))))))))</f>
        <v>7</v>
      </c>
      <c r="AC273" s="33">
        <f>E273+I273+M273+Q273+U273</f>
        <v>67.5</v>
      </c>
      <c r="AD273" s="33">
        <f>RANK(AC273,$AC$3:$AC$273)</f>
        <v>271</v>
      </c>
    </row>
    <row r="274" spans="1:30" ht="17.25" customHeight="1">
      <c r="AD274" s="1"/>
    </row>
    <row r="275" spans="1:30" ht="17.25" customHeight="1">
      <c r="AD275" s="1"/>
    </row>
    <row r="276" spans="1:30" ht="17.25" customHeight="1">
      <c r="AD276" s="1"/>
    </row>
    <row r="277" spans="1:30" ht="17.25" customHeight="1">
      <c r="AD277" s="1"/>
    </row>
    <row r="278" spans="1:30" ht="17.25" customHeight="1">
      <c r="AD278" s="1"/>
    </row>
    <row r="279" spans="1:30" ht="17.25" customHeight="1">
      <c r="AD279" s="1"/>
    </row>
    <row r="280" spans="1:30" ht="17.25" customHeight="1">
      <c r="AD280" s="1"/>
    </row>
    <row r="281" spans="1:30" ht="17.25" customHeight="1">
      <c r="AD281" s="1"/>
    </row>
    <row r="282" spans="1:30" ht="17.25" customHeight="1">
      <c r="AD282" s="1"/>
    </row>
    <row r="283" spans="1:30" ht="17.25" customHeight="1">
      <c r="AD283" s="1"/>
    </row>
    <row r="284" spans="1:30" ht="17.25" customHeight="1">
      <c r="AD284" s="1"/>
    </row>
    <row r="285" spans="1:30" ht="17.25" customHeight="1">
      <c r="AD285" s="1"/>
    </row>
    <row r="286" spans="1:30" ht="17.25" customHeight="1">
      <c r="AD286" s="1"/>
    </row>
    <row r="287" spans="1:30" ht="17.25" customHeight="1">
      <c r="AD287" s="1"/>
    </row>
    <row r="288" spans="1:30" ht="17.25" customHeight="1">
      <c r="AD288" s="1"/>
    </row>
    <row r="289" spans="30:30" ht="17.25" customHeight="1">
      <c r="AD289" s="1"/>
    </row>
    <row r="290" spans="30:30" ht="17.25" customHeight="1">
      <c r="AD290" s="1"/>
    </row>
    <row r="291" spans="30:30" ht="17.25" customHeight="1">
      <c r="AD291" s="1"/>
    </row>
    <row r="292" spans="30:30" ht="17.25" customHeight="1">
      <c r="AD292" s="1"/>
    </row>
    <row r="293" spans="30:30" ht="17.25" customHeight="1">
      <c r="AD293" s="1"/>
    </row>
    <row r="294" spans="30:30" ht="17.25" customHeight="1">
      <c r="AD294" s="1"/>
    </row>
    <row r="295" spans="30:30" ht="17.25" customHeight="1">
      <c r="AD295" s="1"/>
    </row>
    <row r="296" spans="30:30" ht="17.25" customHeight="1">
      <c r="AD296" s="1"/>
    </row>
    <row r="297" spans="30:30" ht="17.25" customHeight="1">
      <c r="AD297" s="1"/>
    </row>
    <row r="298" spans="30:30" ht="17.25" customHeight="1">
      <c r="AD298" s="1"/>
    </row>
    <row r="299" spans="30:30" ht="17.25" customHeight="1">
      <c r="AD299" s="1"/>
    </row>
    <row r="300" spans="30:30" ht="17.25" customHeight="1">
      <c r="AD300" s="1"/>
    </row>
    <row r="301" spans="30:30" ht="17.25" customHeight="1">
      <c r="AD301" s="1"/>
    </row>
    <row r="302" spans="30:30" ht="17.25" customHeight="1">
      <c r="AD302" s="1"/>
    </row>
    <row r="303" spans="30:30" ht="17.25" customHeight="1">
      <c r="AD303" s="1"/>
    </row>
    <row r="304" spans="30:30" ht="17.25" customHeight="1">
      <c r="AD304" s="1"/>
    </row>
    <row r="305" spans="30:30" ht="17.25" customHeight="1">
      <c r="AD305" s="1"/>
    </row>
    <row r="306" spans="30:30" ht="17.25" customHeight="1">
      <c r="AD306" s="1"/>
    </row>
    <row r="307" spans="30:30" ht="17.25" customHeight="1">
      <c r="AD307" s="1"/>
    </row>
    <row r="308" spans="30:30" ht="17.25" customHeight="1">
      <c r="AD308" s="1"/>
    </row>
    <row r="309" spans="30:30" ht="17.25" customHeight="1">
      <c r="AD309" s="1"/>
    </row>
    <row r="310" spans="30:30" ht="17.25" customHeight="1">
      <c r="AD310" s="1"/>
    </row>
    <row r="311" spans="30:30" ht="17.25" customHeight="1">
      <c r="AD311" s="1"/>
    </row>
    <row r="312" spans="30:30" ht="17.25" customHeight="1">
      <c r="AD312" s="1"/>
    </row>
    <row r="313" spans="30:30" ht="17.25" customHeight="1">
      <c r="AD313" s="1"/>
    </row>
    <row r="314" spans="30:30" ht="17.25" customHeight="1">
      <c r="AD314" s="1"/>
    </row>
    <row r="315" spans="30:30" ht="17.25" customHeight="1">
      <c r="AD315" s="1"/>
    </row>
    <row r="316" spans="30:30" ht="17.25" customHeight="1">
      <c r="AD316" s="1"/>
    </row>
    <row r="317" spans="30:30" ht="17.25" customHeight="1">
      <c r="AD317" s="1"/>
    </row>
    <row r="318" spans="30:30" ht="17.25" customHeight="1">
      <c r="AD318" s="1"/>
    </row>
    <row r="319" spans="30:30" ht="17.25" customHeight="1">
      <c r="AD319" s="1"/>
    </row>
    <row r="320" spans="30:30" ht="17.25" customHeight="1">
      <c r="AD320" s="1"/>
    </row>
    <row r="321" spans="30:30" ht="17.25" customHeight="1">
      <c r="AD321" s="1"/>
    </row>
    <row r="322" spans="30:30" ht="17.25" customHeight="1">
      <c r="AD322" s="1"/>
    </row>
    <row r="323" spans="30:30" ht="17.25" customHeight="1">
      <c r="AD323" s="1"/>
    </row>
    <row r="324" spans="30:30" ht="17.25" customHeight="1">
      <c r="AD324" s="1"/>
    </row>
    <row r="325" spans="30:30" ht="17.25" customHeight="1">
      <c r="AD325" s="1"/>
    </row>
    <row r="326" spans="30:30" ht="17.25" customHeight="1">
      <c r="AD326" s="1"/>
    </row>
    <row r="327" spans="30:30" ht="17.25" customHeight="1">
      <c r="AD327" s="1"/>
    </row>
    <row r="328" spans="30:30" ht="17.25" customHeight="1">
      <c r="AD328" s="1"/>
    </row>
    <row r="329" spans="30:30" ht="17.25" customHeight="1">
      <c r="AD329" s="1"/>
    </row>
    <row r="330" spans="30:30" ht="17.25" customHeight="1">
      <c r="AD330" s="1"/>
    </row>
    <row r="331" spans="30:30" ht="17.25" customHeight="1">
      <c r="AD331" s="1"/>
    </row>
    <row r="332" spans="30:30" ht="17.25" customHeight="1">
      <c r="AD332" s="1"/>
    </row>
    <row r="333" spans="30:30" ht="17.25" customHeight="1">
      <c r="AD333" s="1"/>
    </row>
    <row r="334" spans="30:30" ht="17.25" customHeight="1">
      <c r="AD334" s="1"/>
    </row>
    <row r="335" spans="30:30" ht="17.25" customHeight="1">
      <c r="AD335" s="1"/>
    </row>
    <row r="336" spans="30:30" ht="17.25" customHeight="1">
      <c r="AD336" s="1"/>
    </row>
    <row r="337" spans="30:30" ht="17.25" customHeight="1">
      <c r="AD337" s="1"/>
    </row>
    <row r="338" spans="30:30" ht="17.25" customHeight="1">
      <c r="AD338" s="1"/>
    </row>
    <row r="339" spans="30:30" ht="17.25" customHeight="1">
      <c r="AD339" s="1"/>
    </row>
    <row r="340" spans="30:30" ht="17.25" customHeight="1">
      <c r="AD340" s="1"/>
    </row>
    <row r="341" spans="30:30" ht="17.25" customHeight="1">
      <c r="AD341" s="1"/>
    </row>
    <row r="342" spans="30:30" ht="17.25" customHeight="1">
      <c r="AD342" s="1"/>
    </row>
    <row r="343" spans="30:30" ht="17.25" customHeight="1">
      <c r="AD343" s="1"/>
    </row>
    <row r="344" spans="30:30" ht="17.25" customHeight="1">
      <c r="AD344" s="1"/>
    </row>
    <row r="345" spans="30:30" ht="17.25" customHeight="1">
      <c r="AD345" s="1"/>
    </row>
    <row r="346" spans="30:30" ht="17.25" customHeight="1">
      <c r="AD346" s="1"/>
    </row>
    <row r="347" spans="30:30" ht="17.25" customHeight="1">
      <c r="AD347" s="1"/>
    </row>
    <row r="348" spans="30:30" ht="17.25" customHeight="1">
      <c r="AD348" s="1"/>
    </row>
    <row r="349" spans="30:30" ht="17.25" customHeight="1">
      <c r="AD349" s="1"/>
    </row>
    <row r="350" spans="30:30" ht="17.25" customHeight="1">
      <c r="AD350" s="1"/>
    </row>
    <row r="351" spans="30:30" ht="17.25" customHeight="1">
      <c r="AD351" s="1"/>
    </row>
    <row r="352" spans="30:30" ht="17.25" customHeight="1">
      <c r="AD352" s="1"/>
    </row>
    <row r="353" spans="30:30" ht="17.25" customHeight="1">
      <c r="AD353" s="1"/>
    </row>
    <row r="354" spans="30:30" ht="17.25" customHeight="1">
      <c r="AD354" s="1"/>
    </row>
    <row r="355" spans="30:30" ht="17.25" customHeight="1">
      <c r="AD355" s="1"/>
    </row>
    <row r="356" spans="30:30" ht="17.25" customHeight="1">
      <c r="AD356" s="1"/>
    </row>
    <row r="357" spans="30:30" ht="17.25" customHeight="1">
      <c r="AD357" s="1"/>
    </row>
    <row r="358" spans="30:30" ht="17.25" customHeight="1">
      <c r="AD358" s="1"/>
    </row>
    <row r="359" spans="30:30" ht="17.25" customHeight="1">
      <c r="AD359" s="1"/>
    </row>
    <row r="360" spans="30:30" ht="17.25" customHeight="1">
      <c r="AD360" s="1"/>
    </row>
    <row r="361" spans="30:30" ht="17.25" customHeight="1">
      <c r="AD361" s="1"/>
    </row>
    <row r="362" spans="30:30" ht="17.25" customHeight="1">
      <c r="AD362" s="1"/>
    </row>
    <row r="363" spans="30:30" ht="17.25" customHeight="1">
      <c r="AD363" s="1"/>
    </row>
    <row r="364" spans="30:30" ht="17.25" customHeight="1">
      <c r="AD364" s="1"/>
    </row>
    <row r="365" spans="30:30" ht="17.25" customHeight="1">
      <c r="AD365" s="1"/>
    </row>
    <row r="366" spans="30:30" ht="17.25" customHeight="1">
      <c r="AD366" s="1"/>
    </row>
    <row r="367" spans="30:30" ht="17.25" customHeight="1">
      <c r="AD367" s="1"/>
    </row>
    <row r="368" spans="30:30" ht="17.25" customHeight="1">
      <c r="AD368" s="1"/>
    </row>
    <row r="369" spans="30:30" ht="17.25" customHeight="1">
      <c r="AD369" s="1"/>
    </row>
    <row r="370" spans="30:30" ht="17.25" customHeight="1">
      <c r="AD370" s="1"/>
    </row>
    <row r="371" spans="30:30" ht="17.25" customHeight="1">
      <c r="AD371" s="1"/>
    </row>
    <row r="372" spans="30:30" ht="17.25" customHeight="1">
      <c r="AD372" s="1"/>
    </row>
    <row r="373" spans="30:30" ht="17.25" customHeight="1">
      <c r="AD373" s="1"/>
    </row>
    <row r="374" spans="30:30" ht="17.25" customHeight="1">
      <c r="AD374" s="1"/>
    </row>
    <row r="375" spans="30:30" ht="17.25" customHeight="1">
      <c r="AD375" s="1"/>
    </row>
    <row r="376" spans="30:30" ht="17.25" customHeight="1">
      <c r="AD376" s="1"/>
    </row>
    <row r="377" spans="30:30" ht="17.25" customHeight="1">
      <c r="AD377" s="1"/>
    </row>
    <row r="378" spans="30:30" ht="17.25" customHeight="1">
      <c r="AD378" s="1"/>
    </row>
    <row r="379" spans="30:30" ht="17.25" customHeight="1">
      <c r="AD379" s="1"/>
    </row>
    <row r="380" spans="30:30" ht="17.25" customHeight="1">
      <c r="AD380" s="1"/>
    </row>
    <row r="381" spans="30:30" ht="17.25" customHeight="1">
      <c r="AD381" s="1"/>
    </row>
    <row r="382" spans="30:30" ht="17.25" customHeight="1">
      <c r="AD382" s="1"/>
    </row>
    <row r="383" spans="30:30" ht="17.25" customHeight="1">
      <c r="AD383" s="1"/>
    </row>
    <row r="384" spans="30:30" ht="17.25" customHeight="1">
      <c r="AD384" s="1"/>
    </row>
    <row r="385" spans="30:30" ht="17.25" customHeight="1">
      <c r="AD385" s="1"/>
    </row>
    <row r="386" spans="30:30" ht="17.25" customHeight="1">
      <c r="AD386" s="1"/>
    </row>
    <row r="387" spans="30:30" ht="17.25" customHeight="1">
      <c r="AD387" s="1"/>
    </row>
    <row r="388" spans="30:30" ht="17.25" customHeight="1">
      <c r="AD388" s="1"/>
    </row>
    <row r="389" spans="30:30" ht="17.25" customHeight="1">
      <c r="AD389" s="1"/>
    </row>
    <row r="390" spans="30:30" ht="17.25" customHeight="1">
      <c r="AD390" s="1"/>
    </row>
    <row r="391" spans="30:30" ht="17.25" customHeight="1">
      <c r="AD391" s="1"/>
    </row>
    <row r="392" spans="30:30" ht="17.25" customHeight="1">
      <c r="AD392" s="1"/>
    </row>
    <row r="393" spans="30:30" ht="17.25" customHeight="1">
      <c r="AD393" s="1"/>
    </row>
    <row r="394" spans="30:30" ht="17.25" customHeight="1">
      <c r="AD394" s="1"/>
    </row>
    <row r="395" spans="30:30" ht="17.25" customHeight="1">
      <c r="AD395" s="1"/>
    </row>
    <row r="396" spans="30:30" ht="17.25" customHeight="1">
      <c r="AD396" s="1"/>
    </row>
    <row r="397" spans="30:30" ht="17.25" customHeight="1">
      <c r="AD397" s="1"/>
    </row>
    <row r="398" spans="30:30" ht="17.25" customHeight="1">
      <c r="AD398" s="1"/>
    </row>
    <row r="399" spans="30:30" ht="17.25" customHeight="1">
      <c r="AD399" s="1"/>
    </row>
    <row r="400" spans="30:30" ht="17.25" customHeight="1">
      <c r="AD400" s="1"/>
    </row>
    <row r="401" spans="30:30" ht="17.25" customHeight="1">
      <c r="AD401" s="1"/>
    </row>
    <row r="402" spans="30:30" ht="17.25" customHeight="1">
      <c r="AD402" s="1"/>
    </row>
    <row r="403" spans="30:30" ht="17.25" customHeight="1">
      <c r="AD403" s="1"/>
    </row>
    <row r="404" spans="30:30" ht="17.25" customHeight="1">
      <c r="AD404" s="1"/>
    </row>
    <row r="405" spans="30:30" ht="17.25" customHeight="1">
      <c r="AD405" s="1"/>
    </row>
    <row r="406" spans="30:30" ht="17.25" customHeight="1">
      <c r="AD406" s="1"/>
    </row>
    <row r="407" spans="30:30" ht="17.25" customHeight="1">
      <c r="AD407" s="1"/>
    </row>
    <row r="408" spans="30:30" ht="17.25" customHeight="1">
      <c r="AD408" s="1"/>
    </row>
    <row r="409" spans="30:30" ht="17.25" customHeight="1">
      <c r="AD409" s="1"/>
    </row>
    <row r="410" spans="30:30" ht="17.25" customHeight="1">
      <c r="AD410" s="1"/>
    </row>
    <row r="411" spans="30:30" ht="17.25" customHeight="1">
      <c r="AD411" s="1"/>
    </row>
    <row r="412" spans="30:30" ht="17.25" customHeight="1">
      <c r="AD412" s="1"/>
    </row>
    <row r="413" spans="30:30" ht="17.25" customHeight="1">
      <c r="AD413" s="1"/>
    </row>
    <row r="414" spans="30:30" ht="17.25" customHeight="1">
      <c r="AD414" s="1"/>
    </row>
    <row r="415" spans="30:30" ht="17.25" customHeight="1">
      <c r="AD415" s="1"/>
    </row>
    <row r="416" spans="30:30" ht="17.25" customHeight="1">
      <c r="AD416" s="1"/>
    </row>
    <row r="417" spans="30:30" ht="17.25" customHeight="1">
      <c r="AD417" s="1"/>
    </row>
    <row r="418" spans="30:30" ht="17.25" customHeight="1">
      <c r="AD418" s="1"/>
    </row>
    <row r="419" spans="30:30" ht="17.25" customHeight="1">
      <c r="AD419" s="1"/>
    </row>
    <row r="420" spans="30:30" ht="17.25" customHeight="1">
      <c r="AD420" s="1"/>
    </row>
    <row r="421" spans="30:30" ht="17.25" customHeight="1">
      <c r="AD421" s="1"/>
    </row>
    <row r="422" spans="30:30" ht="17.25" customHeight="1">
      <c r="AD422" s="1"/>
    </row>
    <row r="423" spans="30:30" ht="17.25" customHeight="1">
      <c r="AD423" s="1"/>
    </row>
    <row r="424" spans="30:30" ht="17.25" customHeight="1">
      <c r="AD424" s="1"/>
    </row>
    <row r="425" spans="30:30" ht="17.25" customHeight="1">
      <c r="AD425" s="1"/>
    </row>
    <row r="426" spans="30:30" ht="17.25" customHeight="1">
      <c r="AD426" s="1"/>
    </row>
    <row r="427" spans="30:30" ht="17.25" customHeight="1">
      <c r="AD427" s="1"/>
    </row>
    <row r="428" spans="30:30" ht="17.25" customHeight="1">
      <c r="AD428" s="1"/>
    </row>
    <row r="429" spans="30:30" ht="17.25" customHeight="1">
      <c r="AD429" s="1"/>
    </row>
    <row r="430" spans="30:30" ht="17.25" customHeight="1">
      <c r="AD430" s="1"/>
    </row>
    <row r="431" spans="30:30" ht="17.25" customHeight="1">
      <c r="AD431" s="1"/>
    </row>
    <row r="432" spans="30:30" ht="17.25" customHeight="1">
      <c r="AD432" s="1"/>
    </row>
    <row r="433" spans="30:30" ht="17.25" customHeight="1">
      <c r="AD433" s="1"/>
    </row>
    <row r="434" spans="30:30" ht="17.25" customHeight="1">
      <c r="AD434" s="1"/>
    </row>
    <row r="435" spans="30:30" ht="17.25" customHeight="1">
      <c r="AD435" s="1"/>
    </row>
    <row r="436" spans="30:30" ht="17.25" customHeight="1">
      <c r="AD436" s="1"/>
    </row>
    <row r="437" spans="30:30" ht="17.25" customHeight="1">
      <c r="AD437" s="1"/>
    </row>
    <row r="438" spans="30:30" ht="17.25" customHeight="1">
      <c r="AD438" s="1"/>
    </row>
    <row r="439" spans="30:30" ht="17.25" customHeight="1">
      <c r="AD439" s="1"/>
    </row>
    <row r="440" spans="30:30" ht="17.25" customHeight="1">
      <c r="AD440" s="1"/>
    </row>
    <row r="441" spans="30:30" ht="17.25" customHeight="1">
      <c r="AD441" s="1"/>
    </row>
    <row r="442" spans="30:30" ht="17.25" customHeight="1">
      <c r="AD442" s="1"/>
    </row>
    <row r="443" spans="30:30" ht="17.25" customHeight="1">
      <c r="AD443" s="1"/>
    </row>
    <row r="444" spans="30:30" ht="17.25" customHeight="1">
      <c r="AD444" s="1"/>
    </row>
    <row r="445" spans="30:30" ht="17.25" customHeight="1">
      <c r="AD445" s="1"/>
    </row>
    <row r="446" spans="30:30" ht="17.25" customHeight="1">
      <c r="AD446" s="1"/>
    </row>
    <row r="447" spans="30:30" ht="17.25" customHeight="1">
      <c r="AD447" s="1"/>
    </row>
    <row r="448" spans="30:30" ht="17.25" customHeight="1">
      <c r="AD448" s="1"/>
    </row>
    <row r="449" spans="30:30" ht="17.25" customHeight="1">
      <c r="AD449" s="1"/>
    </row>
    <row r="450" spans="30:30" ht="17.25" customHeight="1">
      <c r="AD450" s="1"/>
    </row>
    <row r="451" spans="30:30" ht="17.25" customHeight="1">
      <c r="AD451" s="1"/>
    </row>
    <row r="452" spans="30:30" ht="17.25" customHeight="1">
      <c r="AD452" s="1"/>
    </row>
    <row r="453" spans="30:30" ht="17.25" customHeight="1">
      <c r="AD453" s="1"/>
    </row>
    <row r="454" spans="30:30" ht="17.25" customHeight="1">
      <c r="AD454" s="1"/>
    </row>
    <row r="455" spans="30:30" ht="17.25" customHeight="1">
      <c r="AD455" s="1"/>
    </row>
    <row r="456" spans="30:30" ht="17.25" customHeight="1">
      <c r="AD456" s="1"/>
    </row>
    <row r="457" spans="30:30" ht="17.25" customHeight="1">
      <c r="AD457" s="1"/>
    </row>
    <row r="458" spans="30:30" ht="17.25" customHeight="1">
      <c r="AD458" s="1"/>
    </row>
    <row r="459" spans="30:30" ht="17.25" customHeight="1">
      <c r="AD459" s="1"/>
    </row>
    <row r="460" spans="30:30" ht="17.25" customHeight="1">
      <c r="AD460" s="1"/>
    </row>
    <row r="461" spans="30:30" ht="17.25" customHeight="1">
      <c r="AD461" s="1"/>
    </row>
    <row r="462" spans="30:30" ht="17.25" customHeight="1">
      <c r="AD462" s="1"/>
    </row>
    <row r="463" spans="30:30" ht="17.25" customHeight="1">
      <c r="AD463" s="1"/>
    </row>
    <row r="464" spans="30:30" ht="17.25" customHeight="1">
      <c r="AD464" s="1"/>
    </row>
    <row r="465" spans="30:30" ht="17.25" customHeight="1">
      <c r="AD465" s="1"/>
    </row>
    <row r="466" spans="30:30" ht="17.25" customHeight="1">
      <c r="AD466" s="1"/>
    </row>
    <row r="467" spans="30:30" ht="17.25" customHeight="1">
      <c r="AD467" s="1"/>
    </row>
    <row r="468" spans="30:30" ht="17.25" customHeight="1">
      <c r="AD468" s="1"/>
    </row>
    <row r="469" spans="30:30" ht="17.25" customHeight="1">
      <c r="AD469" s="1"/>
    </row>
    <row r="470" spans="30:30" ht="17.25" customHeight="1">
      <c r="AD470" s="1"/>
    </row>
    <row r="471" spans="30:30" ht="17.25" customHeight="1">
      <c r="AD471" s="1"/>
    </row>
    <row r="472" spans="30:30" ht="17.25" customHeight="1">
      <c r="AD472" s="1"/>
    </row>
    <row r="473" spans="30:30" ht="17.25" customHeight="1">
      <c r="AD473" s="1"/>
    </row>
    <row r="474" spans="30:30" ht="17.25" customHeight="1">
      <c r="AD474" s="1"/>
    </row>
    <row r="475" spans="30:30" ht="17.25" customHeight="1">
      <c r="AD475" s="1"/>
    </row>
    <row r="476" spans="30:30" ht="17.25" customHeight="1">
      <c r="AD476" s="1"/>
    </row>
    <row r="477" spans="30:30" ht="17.25" customHeight="1">
      <c r="AD477" s="1"/>
    </row>
    <row r="478" spans="30:30" ht="17.25" customHeight="1">
      <c r="AD478" s="1"/>
    </row>
    <row r="479" spans="30:30" ht="17.25" customHeight="1">
      <c r="AD479" s="1"/>
    </row>
    <row r="480" spans="30:30" ht="17.25" customHeight="1">
      <c r="AD480" s="1"/>
    </row>
    <row r="481" spans="30:30" ht="17.25" customHeight="1">
      <c r="AD481" s="1"/>
    </row>
    <row r="482" spans="30:30" ht="17.25" customHeight="1">
      <c r="AD482" s="1"/>
    </row>
    <row r="483" spans="30:30" ht="17.25" customHeight="1">
      <c r="AD483" s="1"/>
    </row>
    <row r="484" spans="30:30" ht="17.25" customHeight="1">
      <c r="AD484" s="1"/>
    </row>
    <row r="485" spans="30:30" ht="17.25" customHeight="1">
      <c r="AD485" s="1"/>
    </row>
    <row r="486" spans="30:30" ht="17.25" customHeight="1">
      <c r="AD486" s="1"/>
    </row>
    <row r="487" spans="30:30" ht="17.25" customHeight="1">
      <c r="AD487" s="1"/>
    </row>
    <row r="488" spans="30:30" ht="17.25" customHeight="1">
      <c r="AD488" s="1"/>
    </row>
    <row r="489" spans="30:30" ht="17.25" customHeight="1">
      <c r="AD489" s="1"/>
    </row>
    <row r="490" spans="30:30" ht="17.25" customHeight="1">
      <c r="AD490" s="1"/>
    </row>
    <row r="491" spans="30:30" ht="17.25" customHeight="1">
      <c r="AD491" s="1"/>
    </row>
    <row r="492" spans="30:30" ht="17.25" customHeight="1">
      <c r="AD492" s="1"/>
    </row>
    <row r="493" spans="30:30" ht="17.25" customHeight="1">
      <c r="AD493" s="1"/>
    </row>
    <row r="494" spans="30:30" ht="17.25" customHeight="1">
      <c r="AD494" s="1"/>
    </row>
    <row r="495" spans="30:30" ht="17.25" customHeight="1">
      <c r="AD495" s="1"/>
    </row>
    <row r="496" spans="30:30" ht="17.25" customHeight="1">
      <c r="AD496" s="1"/>
    </row>
    <row r="497" spans="30:30" ht="17.25" customHeight="1">
      <c r="AD497" s="1"/>
    </row>
    <row r="498" spans="30:30" ht="17.25" customHeight="1">
      <c r="AD498" s="1"/>
    </row>
    <row r="499" spans="30:30" ht="17.25" customHeight="1">
      <c r="AD499" s="1"/>
    </row>
    <row r="500" spans="30:30" ht="17.25" customHeight="1">
      <c r="AD500" s="1"/>
    </row>
    <row r="501" spans="30:30" ht="17.25" customHeight="1">
      <c r="AD501" s="1"/>
    </row>
    <row r="502" spans="30:30" ht="17.25" customHeight="1">
      <c r="AD502" s="1"/>
    </row>
    <row r="503" spans="30:30" ht="17.25" customHeight="1">
      <c r="AD503" s="1"/>
    </row>
    <row r="504" spans="30:30" ht="17.25" customHeight="1">
      <c r="AD504" s="1"/>
    </row>
    <row r="505" spans="30:30" ht="17.25" customHeight="1">
      <c r="AD505" s="1"/>
    </row>
    <row r="506" spans="30:30" ht="17.25" customHeight="1">
      <c r="AD506" s="1"/>
    </row>
    <row r="507" spans="30:30" ht="17.25" customHeight="1">
      <c r="AD507" s="1"/>
    </row>
    <row r="508" spans="30:30" ht="17.25" customHeight="1">
      <c r="AD508" s="1"/>
    </row>
    <row r="509" spans="30:30" ht="17.25" customHeight="1">
      <c r="AD509" s="1"/>
    </row>
    <row r="510" spans="30:30" ht="17.25" customHeight="1">
      <c r="AD510" s="1"/>
    </row>
    <row r="511" spans="30:30" ht="17.25" customHeight="1">
      <c r="AD511" s="1"/>
    </row>
    <row r="512" spans="30:30" ht="17.25" customHeight="1">
      <c r="AD512" s="1"/>
    </row>
    <row r="513" spans="30:30" ht="17.25" customHeight="1">
      <c r="AD513" s="1"/>
    </row>
    <row r="514" spans="30:30" ht="17.25" customHeight="1">
      <c r="AD514" s="1"/>
    </row>
    <row r="515" spans="30:30" ht="17.25" customHeight="1">
      <c r="AD515" s="1"/>
    </row>
    <row r="516" spans="30:30" ht="17.25" customHeight="1">
      <c r="AD516" s="1"/>
    </row>
    <row r="517" spans="30:30" ht="17.25" customHeight="1">
      <c r="AD517" s="1"/>
    </row>
    <row r="518" spans="30:30" ht="17.25" customHeight="1">
      <c r="AD518" s="1"/>
    </row>
    <row r="519" spans="30:30" ht="17.25" customHeight="1">
      <c r="AD519" s="1"/>
    </row>
    <row r="520" spans="30:30" ht="17.25" customHeight="1">
      <c r="AD520" s="1"/>
    </row>
    <row r="521" spans="30:30" ht="17.25" customHeight="1">
      <c r="AD521" s="1"/>
    </row>
    <row r="522" spans="30:30" ht="17.25" customHeight="1">
      <c r="AD522" s="1"/>
    </row>
    <row r="523" spans="30:30" ht="17.25" customHeight="1">
      <c r="AD523" s="1"/>
    </row>
    <row r="524" spans="30:30" ht="17.25" customHeight="1">
      <c r="AD524" s="1"/>
    </row>
    <row r="525" spans="30:30" ht="17.25" customHeight="1">
      <c r="AD525" s="1"/>
    </row>
    <row r="526" spans="30:30" ht="17.25" customHeight="1">
      <c r="AD526" s="1"/>
    </row>
    <row r="527" spans="30:30" ht="17.25" customHeight="1">
      <c r="AD527" s="1"/>
    </row>
    <row r="528" spans="30:30" ht="17.25" customHeight="1">
      <c r="AD528" s="1"/>
    </row>
    <row r="529" spans="30:30" ht="17.25" customHeight="1">
      <c r="AD529" s="1"/>
    </row>
    <row r="530" spans="30:30" ht="17.25" customHeight="1">
      <c r="AD530" s="1"/>
    </row>
    <row r="531" spans="30:30" ht="17.25" customHeight="1">
      <c r="AD531" s="1"/>
    </row>
    <row r="532" spans="30:30" ht="17.25" customHeight="1">
      <c r="AD532" s="1"/>
    </row>
    <row r="533" spans="30:30" ht="17.25" customHeight="1">
      <c r="AD533" s="1"/>
    </row>
    <row r="534" spans="30:30" ht="17.25" customHeight="1">
      <c r="AD534" s="1"/>
    </row>
    <row r="535" spans="30:30" ht="17.25" customHeight="1">
      <c r="AD535" s="1"/>
    </row>
    <row r="536" spans="30:30" ht="17.25" customHeight="1">
      <c r="AD536" s="1"/>
    </row>
    <row r="537" spans="30:30" ht="17.25" customHeight="1">
      <c r="AD537" s="1"/>
    </row>
    <row r="538" spans="30:30" ht="17.25" customHeight="1">
      <c r="AD538" s="1"/>
    </row>
    <row r="539" spans="30:30" ht="17.25" customHeight="1">
      <c r="AD539" s="1"/>
    </row>
    <row r="540" spans="30:30" ht="17.25" customHeight="1">
      <c r="AD540" s="1"/>
    </row>
    <row r="541" spans="30:30" ht="17.25" customHeight="1">
      <c r="AD541" s="1"/>
    </row>
    <row r="542" spans="30:30" ht="17.25" customHeight="1">
      <c r="AD542" s="1"/>
    </row>
    <row r="543" spans="30:30" ht="17.25" customHeight="1">
      <c r="AD543" s="1"/>
    </row>
    <row r="544" spans="30:30" ht="17.25" customHeight="1">
      <c r="AD544" s="1"/>
    </row>
    <row r="545" spans="30:30" ht="17.25" customHeight="1">
      <c r="AD545" s="1"/>
    </row>
    <row r="546" spans="30:30" ht="17.25" customHeight="1">
      <c r="AD546" s="1"/>
    </row>
    <row r="547" spans="30:30" ht="17.25" customHeight="1">
      <c r="AD547" s="1"/>
    </row>
    <row r="548" spans="30:30" ht="17.25" customHeight="1">
      <c r="AD548" s="1"/>
    </row>
    <row r="549" spans="30:30" ht="17.25" customHeight="1">
      <c r="AD549" s="1"/>
    </row>
    <row r="550" spans="30:30" ht="17.25" customHeight="1">
      <c r="AD550" s="1"/>
    </row>
    <row r="551" spans="30:30" ht="17.25" customHeight="1">
      <c r="AD551" s="1"/>
    </row>
    <row r="552" spans="30:30" ht="17.25" customHeight="1">
      <c r="AD552" s="1"/>
    </row>
    <row r="553" spans="30:30" ht="17.25" customHeight="1">
      <c r="AD553" s="1"/>
    </row>
    <row r="554" spans="30:30" ht="17.25" customHeight="1">
      <c r="AD554" s="1"/>
    </row>
    <row r="555" spans="30:30" ht="17.25" customHeight="1">
      <c r="AD555" s="1"/>
    </row>
    <row r="556" spans="30:30" ht="17.25" customHeight="1">
      <c r="AD556" s="1"/>
    </row>
    <row r="557" spans="30:30" ht="17.25" customHeight="1">
      <c r="AD557" s="1"/>
    </row>
    <row r="558" spans="30:30" ht="17.25" customHeight="1">
      <c r="AD558" s="1"/>
    </row>
    <row r="559" spans="30:30" ht="17.25" customHeight="1">
      <c r="AD559" s="1"/>
    </row>
    <row r="560" spans="30:30" ht="17.25" customHeight="1">
      <c r="AD560" s="1"/>
    </row>
    <row r="561" spans="30:30" ht="17.25" customHeight="1">
      <c r="AD561" s="1"/>
    </row>
    <row r="562" spans="30:30" ht="17.25" customHeight="1">
      <c r="AD562" s="1"/>
    </row>
    <row r="563" spans="30:30" ht="17.25" customHeight="1">
      <c r="AD563" s="1"/>
    </row>
    <row r="564" spans="30:30" ht="17.25" customHeight="1">
      <c r="AD564" s="1"/>
    </row>
    <row r="565" spans="30:30" ht="17.25" customHeight="1">
      <c r="AD565" s="1"/>
    </row>
    <row r="566" spans="30:30" ht="17.25" customHeight="1">
      <c r="AD566" s="1"/>
    </row>
    <row r="567" spans="30:30" ht="17.25" customHeight="1">
      <c r="AD567" s="1"/>
    </row>
    <row r="568" spans="30:30" ht="17.25" customHeight="1">
      <c r="AD568" s="1"/>
    </row>
    <row r="569" spans="30:30" ht="17.25" customHeight="1">
      <c r="AD569" s="1"/>
    </row>
    <row r="570" spans="30:30" ht="17.25" customHeight="1">
      <c r="AD570" s="1"/>
    </row>
    <row r="571" spans="30:30" ht="17.25" customHeight="1">
      <c r="AD571" s="1"/>
    </row>
    <row r="572" spans="30:30" ht="17.25" customHeight="1">
      <c r="AD572" s="1"/>
    </row>
    <row r="573" spans="30:30" ht="17.25" customHeight="1">
      <c r="AD573" s="1"/>
    </row>
    <row r="574" spans="30:30" ht="17.25" customHeight="1">
      <c r="AD574" s="1"/>
    </row>
    <row r="575" spans="30:30" ht="17.25" customHeight="1">
      <c r="AD575" s="1"/>
    </row>
    <row r="576" spans="30:30" ht="17.25" customHeight="1">
      <c r="AD576" s="1"/>
    </row>
    <row r="577" spans="30:30" ht="17.25" customHeight="1">
      <c r="AD577" s="1"/>
    </row>
    <row r="578" spans="30:30" ht="17.25" customHeight="1">
      <c r="AD578" s="1"/>
    </row>
    <row r="579" spans="30:30" ht="17.25" customHeight="1">
      <c r="AD579" s="1"/>
    </row>
    <row r="580" spans="30:30" ht="17.25" customHeight="1">
      <c r="AD580" s="1"/>
    </row>
    <row r="581" spans="30:30" ht="17.25" customHeight="1">
      <c r="AD581" s="1"/>
    </row>
    <row r="582" spans="30:30" ht="17.25" customHeight="1">
      <c r="AD582" s="1"/>
    </row>
    <row r="583" spans="30:30" ht="17.25" customHeight="1">
      <c r="AD583" s="1"/>
    </row>
    <row r="584" spans="30:30" ht="17.25" customHeight="1">
      <c r="AD584" s="1"/>
    </row>
    <row r="585" spans="30:30" ht="17.25" customHeight="1">
      <c r="AD585" s="1"/>
    </row>
    <row r="586" spans="30:30" ht="17.25" customHeight="1">
      <c r="AD586" s="1"/>
    </row>
    <row r="587" spans="30:30" ht="17.25" customHeight="1">
      <c r="AD587" s="1"/>
    </row>
    <row r="588" spans="30:30" ht="17.25" customHeight="1">
      <c r="AD588" s="1"/>
    </row>
    <row r="589" spans="30:30" ht="17.25" customHeight="1">
      <c r="AD589" s="1"/>
    </row>
    <row r="590" spans="30:30" ht="17.25" customHeight="1">
      <c r="AD590" s="1"/>
    </row>
    <row r="591" spans="30:30" ht="17.25" customHeight="1">
      <c r="AD591" s="1"/>
    </row>
    <row r="592" spans="30:30" ht="17.25" customHeight="1">
      <c r="AD592" s="1"/>
    </row>
    <row r="593" spans="30:30" ht="17.25" customHeight="1">
      <c r="AD593" s="1"/>
    </row>
    <row r="594" spans="30:30" ht="17.25" customHeight="1">
      <c r="AD594" s="1"/>
    </row>
    <row r="595" spans="30:30" ht="17.25" customHeight="1">
      <c r="AD595" s="1"/>
    </row>
    <row r="596" spans="30:30" ht="17.25" customHeight="1">
      <c r="AD596" s="1"/>
    </row>
    <row r="597" spans="30:30" ht="17.25" customHeight="1">
      <c r="AD597" s="1"/>
    </row>
    <row r="598" spans="30:30" ht="17.25" customHeight="1">
      <c r="AD598" s="1"/>
    </row>
    <row r="599" spans="30:30" ht="17.25" customHeight="1">
      <c r="AD599" s="1"/>
    </row>
    <row r="600" spans="30:30" ht="17.25" customHeight="1">
      <c r="AD600" s="1"/>
    </row>
    <row r="601" spans="30:30" ht="17.25" customHeight="1">
      <c r="AD601" s="1"/>
    </row>
    <row r="602" spans="30:30" ht="17.25" customHeight="1">
      <c r="AD602" s="1"/>
    </row>
    <row r="603" spans="30:30" ht="17.25" customHeight="1">
      <c r="AD603" s="1"/>
    </row>
    <row r="604" spans="30:30" ht="17.25" customHeight="1">
      <c r="AD604" s="1"/>
    </row>
    <row r="605" spans="30:30" ht="17.25" customHeight="1">
      <c r="AD605" s="1"/>
    </row>
    <row r="606" spans="30:30" ht="17.25" customHeight="1">
      <c r="AD606" s="1"/>
    </row>
    <row r="607" spans="30:30" ht="17.25" customHeight="1">
      <c r="AD607" s="1"/>
    </row>
    <row r="608" spans="30:30" ht="17.25" customHeight="1">
      <c r="AD608" s="1"/>
    </row>
    <row r="609" spans="30:30" ht="17.25" customHeight="1">
      <c r="AD609" s="1"/>
    </row>
    <row r="610" spans="30:30" ht="17.25" customHeight="1">
      <c r="AD610" s="1"/>
    </row>
    <row r="611" spans="30:30" ht="17.25" customHeight="1">
      <c r="AD611" s="1"/>
    </row>
    <row r="612" spans="30:30" ht="17.25" customHeight="1">
      <c r="AD612" s="1"/>
    </row>
    <row r="613" spans="30:30" ht="17.25" customHeight="1">
      <c r="AD613" s="1"/>
    </row>
    <row r="614" spans="30:30" ht="17.25" customHeight="1">
      <c r="AD614" s="1"/>
    </row>
    <row r="615" spans="30:30" ht="17.25" customHeight="1">
      <c r="AD615" s="1"/>
    </row>
    <row r="616" spans="30:30" ht="17.25" customHeight="1">
      <c r="AD616" s="1"/>
    </row>
    <row r="617" spans="30:30" ht="17.25" customHeight="1">
      <c r="AD617" s="1"/>
    </row>
    <row r="618" spans="30:30" ht="17.25" customHeight="1">
      <c r="AD618" s="1"/>
    </row>
    <row r="619" spans="30:30" ht="17.25" customHeight="1">
      <c r="AD619" s="1"/>
    </row>
    <row r="620" spans="30:30" ht="17.25" customHeight="1">
      <c r="AD620" s="1"/>
    </row>
    <row r="621" spans="30:30" ht="17.25" customHeight="1">
      <c r="AD621" s="1"/>
    </row>
    <row r="622" spans="30:30" ht="17.25" customHeight="1">
      <c r="AD622" s="1"/>
    </row>
    <row r="623" spans="30:30" ht="17.25" customHeight="1">
      <c r="AD623" s="1"/>
    </row>
    <row r="624" spans="30:30" ht="17.25" customHeight="1">
      <c r="AD624" s="1"/>
    </row>
    <row r="625" spans="30:30" ht="17.25" customHeight="1">
      <c r="AD625" s="1"/>
    </row>
    <row r="626" spans="30:30" ht="17.25" customHeight="1">
      <c r="AD626" s="1"/>
    </row>
    <row r="627" spans="30:30" ht="17.25" customHeight="1">
      <c r="AD627" s="1"/>
    </row>
    <row r="628" spans="30:30" ht="17.25" customHeight="1">
      <c r="AD628" s="1"/>
    </row>
    <row r="629" spans="30:30" ht="17.25" customHeight="1">
      <c r="AD629" s="1"/>
    </row>
    <row r="630" spans="30:30" ht="17.25" customHeight="1">
      <c r="AD630" s="1"/>
    </row>
    <row r="631" spans="30:30" ht="17.25" customHeight="1">
      <c r="AD631" s="1"/>
    </row>
    <row r="632" spans="30:30" ht="17.25" customHeight="1">
      <c r="AD632" s="1"/>
    </row>
    <row r="633" spans="30:30" ht="17.25" customHeight="1">
      <c r="AD633" s="1"/>
    </row>
    <row r="634" spans="30:30" ht="17.25" customHeight="1">
      <c r="AD634" s="1"/>
    </row>
    <row r="635" spans="30:30" ht="17.25" customHeight="1">
      <c r="AD635" s="1"/>
    </row>
    <row r="636" spans="30:30" ht="17.25" customHeight="1">
      <c r="AD636" s="1"/>
    </row>
    <row r="637" spans="30:30" ht="17.25" customHeight="1">
      <c r="AD637" s="1"/>
    </row>
    <row r="638" spans="30:30" ht="17.25" customHeight="1">
      <c r="AD638" s="1"/>
    </row>
    <row r="639" spans="30:30" ht="17.25" customHeight="1">
      <c r="AD639" s="1"/>
    </row>
    <row r="640" spans="30:30" ht="17.25" customHeight="1">
      <c r="AD640" s="1"/>
    </row>
    <row r="641" spans="30:30" ht="17.25" customHeight="1">
      <c r="AD641" s="1"/>
    </row>
    <row r="642" spans="30:30" ht="17.25" customHeight="1">
      <c r="AD642" s="1"/>
    </row>
    <row r="643" spans="30:30" ht="17.25" customHeight="1">
      <c r="AD643" s="1"/>
    </row>
    <row r="644" spans="30:30" ht="17.25" customHeight="1">
      <c r="AD644" s="1"/>
    </row>
    <row r="645" spans="30:30" ht="17.25" customHeight="1">
      <c r="AD645" s="1"/>
    </row>
    <row r="646" spans="30:30" ht="17.25" customHeight="1">
      <c r="AD646" s="1"/>
    </row>
    <row r="647" spans="30:30" ht="17.25" customHeight="1">
      <c r="AD647" s="1"/>
    </row>
    <row r="648" spans="30:30" ht="17.25" customHeight="1">
      <c r="AD648" s="1"/>
    </row>
    <row r="649" spans="30:30" ht="17.25" customHeight="1">
      <c r="AD649" s="1"/>
    </row>
    <row r="650" spans="30:30" ht="17.25" customHeight="1">
      <c r="AD650" s="1"/>
    </row>
    <row r="651" spans="30:30" ht="17.25" customHeight="1">
      <c r="AD651" s="1"/>
    </row>
    <row r="652" spans="30:30" ht="17.25" customHeight="1">
      <c r="AD652" s="1"/>
    </row>
    <row r="653" spans="30:30" ht="17.25" customHeight="1">
      <c r="AD653" s="1"/>
    </row>
    <row r="654" spans="30:30" ht="17.25" customHeight="1">
      <c r="AD654" s="1"/>
    </row>
    <row r="655" spans="30:30" ht="17.25" customHeight="1">
      <c r="AD655" s="1"/>
    </row>
    <row r="656" spans="30:30" ht="17.25" customHeight="1">
      <c r="AD656" s="1"/>
    </row>
    <row r="657" spans="30:30" ht="17.25" customHeight="1">
      <c r="AD657" s="1"/>
    </row>
    <row r="658" spans="30:30" ht="17.25" customHeight="1">
      <c r="AD658" s="1"/>
    </row>
    <row r="659" spans="30:30" ht="17.25" customHeight="1">
      <c r="AD659" s="1"/>
    </row>
    <row r="660" spans="30:30" ht="17.25" customHeight="1">
      <c r="AD660" s="1"/>
    </row>
    <row r="661" spans="30:30" ht="17.25" customHeight="1">
      <c r="AD661" s="1"/>
    </row>
    <row r="662" spans="30:30" ht="17.25" customHeight="1">
      <c r="AD662" s="1"/>
    </row>
    <row r="663" spans="30:30" ht="17.25" customHeight="1">
      <c r="AD663" s="1"/>
    </row>
    <row r="664" spans="30:30" ht="17.25" customHeight="1">
      <c r="AD664" s="1"/>
    </row>
    <row r="665" spans="30:30" ht="17.25" customHeight="1">
      <c r="AD665" s="1"/>
    </row>
    <row r="666" spans="30:30" ht="17.25" customHeight="1">
      <c r="AD666" s="1"/>
    </row>
    <row r="667" spans="30:30" ht="17.25" customHeight="1">
      <c r="AD667" s="1"/>
    </row>
    <row r="668" spans="30:30" ht="17.25" customHeight="1">
      <c r="AD668" s="1"/>
    </row>
    <row r="669" spans="30:30" ht="17.25" customHeight="1">
      <c r="AD669" s="1"/>
    </row>
    <row r="670" spans="30:30" ht="17.25" customHeight="1">
      <c r="AD670" s="1"/>
    </row>
    <row r="671" spans="30:30" ht="17.25" customHeight="1">
      <c r="AD671" s="1"/>
    </row>
    <row r="672" spans="30:30" ht="17.25" customHeight="1">
      <c r="AD672" s="1"/>
    </row>
    <row r="673" spans="30:30" ht="17.25" customHeight="1">
      <c r="AD673" s="1"/>
    </row>
    <row r="674" spans="30:30" ht="17.25" customHeight="1">
      <c r="AD674" s="1"/>
    </row>
    <row r="675" spans="30:30" ht="17.25" customHeight="1">
      <c r="AD675" s="1"/>
    </row>
    <row r="676" spans="30:30" ht="17.25" customHeight="1">
      <c r="AD676" s="1"/>
    </row>
    <row r="677" spans="30:30" ht="17.25" customHeight="1">
      <c r="AD677" s="1"/>
    </row>
    <row r="678" spans="30:30" ht="17.25" customHeight="1">
      <c r="AD678" s="1"/>
    </row>
    <row r="679" spans="30:30" ht="17.25" customHeight="1">
      <c r="AD679" s="1"/>
    </row>
    <row r="680" spans="30:30" ht="17.25" customHeight="1">
      <c r="AD680" s="1"/>
    </row>
    <row r="681" spans="30:30" ht="17.25" customHeight="1">
      <c r="AD681" s="1"/>
    </row>
    <row r="682" spans="30:30" ht="17.25" customHeight="1">
      <c r="AD682" s="1"/>
    </row>
    <row r="683" spans="30:30" ht="17.25" customHeight="1">
      <c r="AD683" s="1"/>
    </row>
    <row r="684" spans="30:30" ht="17.25" customHeight="1">
      <c r="AD684" s="1"/>
    </row>
    <row r="685" spans="30:30" ht="17.25" customHeight="1">
      <c r="AD685" s="1"/>
    </row>
    <row r="686" spans="30:30" ht="17.25" customHeight="1">
      <c r="AD686" s="1"/>
    </row>
    <row r="687" spans="30:30" ht="17.25" customHeight="1">
      <c r="AD687" s="1"/>
    </row>
    <row r="688" spans="30:30" ht="17.25" customHeight="1">
      <c r="AD688" s="1"/>
    </row>
    <row r="689" spans="30:30" ht="17.25" customHeight="1">
      <c r="AD689" s="1"/>
    </row>
    <row r="690" spans="30:30" ht="17.25" customHeight="1">
      <c r="AD690" s="1"/>
    </row>
    <row r="691" spans="30:30" ht="17.25" customHeight="1">
      <c r="AD691" s="1"/>
    </row>
    <row r="692" spans="30:30" ht="17.25" customHeight="1">
      <c r="AD692" s="1"/>
    </row>
    <row r="693" spans="30:30" ht="17.25" customHeight="1">
      <c r="AD693" s="1"/>
    </row>
    <row r="694" spans="30:30" ht="17.25" customHeight="1">
      <c r="AD694" s="1"/>
    </row>
    <row r="695" spans="30:30" ht="17.25" customHeight="1">
      <c r="AD695" s="1"/>
    </row>
    <row r="696" spans="30:30" ht="17.25" customHeight="1">
      <c r="AD696" s="1"/>
    </row>
    <row r="697" spans="30:30" ht="17.25" customHeight="1">
      <c r="AD697" s="1"/>
    </row>
    <row r="698" spans="30:30" ht="17.25" customHeight="1">
      <c r="AD698" s="1"/>
    </row>
    <row r="699" spans="30:30" ht="17.25" customHeight="1">
      <c r="AD699" s="1"/>
    </row>
    <row r="700" spans="30:30" ht="17.25" customHeight="1">
      <c r="AD700" s="1"/>
    </row>
    <row r="701" spans="30:30" ht="17.25" customHeight="1">
      <c r="AD701" s="1"/>
    </row>
    <row r="702" spans="30:30" ht="17.25" customHeight="1">
      <c r="AD702" s="1"/>
    </row>
    <row r="703" spans="30:30" ht="17.25" customHeight="1">
      <c r="AD703" s="1"/>
    </row>
    <row r="704" spans="30:30" ht="17.25" customHeight="1">
      <c r="AD704" s="1"/>
    </row>
    <row r="705" spans="30:30" ht="17.25" customHeight="1">
      <c r="AD705" s="1"/>
    </row>
    <row r="706" spans="30:30" ht="17.25" customHeight="1">
      <c r="AD706" s="1"/>
    </row>
    <row r="707" spans="30:30" ht="17.25" customHeight="1">
      <c r="AD707" s="1"/>
    </row>
    <row r="708" spans="30:30" ht="17.25" customHeight="1">
      <c r="AD708" s="1"/>
    </row>
    <row r="709" spans="30:30" ht="17.25" customHeight="1">
      <c r="AD709" s="1"/>
    </row>
    <row r="710" spans="30:30" ht="17.25" customHeight="1">
      <c r="AD710" s="1"/>
    </row>
    <row r="711" spans="30:30" ht="17.25" customHeight="1">
      <c r="AD711" s="1"/>
    </row>
    <row r="712" spans="30:30" ht="17.25" customHeight="1">
      <c r="AD712" s="1"/>
    </row>
    <row r="713" spans="30:30" ht="17.25" customHeight="1">
      <c r="AD713" s="1"/>
    </row>
    <row r="714" spans="30:30" ht="17.25" customHeight="1">
      <c r="AD714" s="1"/>
    </row>
    <row r="715" spans="30:30" ht="17.25" customHeight="1">
      <c r="AD715" s="1"/>
    </row>
    <row r="716" spans="30:30" ht="17.25" customHeight="1">
      <c r="AD716" s="1"/>
    </row>
    <row r="717" spans="30:30" ht="17.25" customHeight="1">
      <c r="AD717" s="1"/>
    </row>
    <row r="718" spans="30:30" ht="17.25" customHeight="1">
      <c r="AD718" s="1"/>
    </row>
    <row r="719" spans="30:30" ht="17.25" customHeight="1">
      <c r="AD719" s="1"/>
    </row>
    <row r="720" spans="30:30" ht="17.25" customHeight="1">
      <c r="AD720" s="1"/>
    </row>
    <row r="721" spans="30:30" ht="17.25" customHeight="1">
      <c r="AD721" s="1"/>
    </row>
    <row r="722" spans="30:30" ht="17.25" customHeight="1">
      <c r="AD722" s="1"/>
    </row>
    <row r="723" spans="30:30" ht="17.25" customHeight="1">
      <c r="AD723" s="1"/>
    </row>
    <row r="724" spans="30:30" ht="17.25" customHeight="1">
      <c r="AD724" s="1"/>
    </row>
    <row r="725" spans="30:30" ht="17.25" customHeight="1">
      <c r="AD725" s="1"/>
    </row>
    <row r="726" spans="30:30" ht="17.25" customHeight="1">
      <c r="AD726" s="1"/>
    </row>
    <row r="727" spans="30:30" ht="17.25" customHeight="1">
      <c r="AD727" s="1"/>
    </row>
    <row r="728" spans="30:30" ht="17.25" customHeight="1">
      <c r="AD728" s="1"/>
    </row>
    <row r="729" spans="30:30" ht="17.25" customHeight="1">
      <c r="AD729" s="1"/>
    </row>
    <row r="730" spans="30:30" ht="17.25" customHeight="1">
      <c r="AD730" s="1"/>
    </row>
    <row r="731" spans="30:30" ht="17.25" customHeight="1">
      <c r="AD731" s="1"/>
    </row>
    <row r="732" spans="30:30" ht="17.25" customHeight="1">
      <c r="AD732" s="1"/>
    </row>
    <row r="733" spans="30:30" ht="17.25" customHeight="1">
      <c r="AD733" s="1"/>
    </row>
    <row r="734" spans="30:30" ht="17.25" customHeight="1">
      <c r="AD734" s="1"/>
    </row>
    <row r="735" spans="30:30" ht="17.25" customHeight="1">
      <c r="AD735" s="1"/>
    </row>
    <row r="736" spans="30:30" ht="17.25" customHeight="1">
      <c r="AD736" s="1"/>
    </row>
    <row r="737" spans="30:30" ht="17.25" customHeight="1">
      <c r="AD737" s="1"/>
    </row>
    <row r="738" spans="30:30" ht="17.25" customHeight="1">
      <c r="AD738" s="1"/>
    </row>
    <row r="739" spans="30:30" ht="17.25" customHeight="1">
      <c r="AD739" s="1"/>
    </row>
    <row r="740" spans="30:30" ht="17.25" customHeight="1">
      <c r="AD740" s="1"/>
    </row>
    <row r="741" spans="30:30" ht="17.25" customHeight="1">
      <c r="AD741" s="1"/>
    </row>
    <row r="742" spans="30:30" ht="17.25" customHeight="1">
      <c r="AD742" s="1"/>
    </row>
    <row r="743" spans="30:30" ht="17.25" customHeight="1">
      <c r="AD743" s="1"/>
    </row>
    <row r="744" spans="30:30" ht="17.25" customHeight="1">
      <c r="AD744" s="1"/>
    </row>
    <row r="745" spans="30:30" ht="17.25" customHeight="1">
      <c r="AD745" s="1"/>
    </row>
    <row r="746" spans="30:30" ht="17.25" customHeight="1">
      <c r="AD746" s="1"/>
    </row>
    <row r="747" spans="30:30" ht="17.25" customHeight="1">
      <c r="AD747" s="1"/>
    </row>
    <row r="748" spans="30:30" ht="17.25" customHeight="1">
      <c r="AD748" s="1"/>
    </row>
    <row r="749" spans="30:30" ht="17.25" customHeight="1">
      <c r="AD749" s="1"/>
    </row>
    <row r="750" spans="30:30" ht="17.25" customHeight="1">
      <c r="AD750" s="1"/>
    </row>
    <row r="751" spans="30:30" ht="17.25" customHeight="1">
      <c r="AD751" s="1"/>
    </row>
    <row r="752" spans="30:30" ht="17.25" customHeight="1">
      <c r="AD752" s="1"/>
    </row>
    <row r="753" spans="30:30" ht="17.25" customHeight="1">
      <c r="AD753" s="1"/>
    </row>
    <row r="754" spans="30:30" ht="17.25" customHeight="1">
      <c r="AD754" s="1"/>
    </row>
    <row r="755" spans="30:30" ht="17.25" customHeight="1">
      <c r="AD755" s="1"/>
    </row>
    <row r="756" spans="30:30" ht="17.25" customHeight="1">
      <c r="AD756" s="1"/>
    </row>
    <row r="757" spans="30:30" ht="17.25" customHeight="1">
      <c r="AD757" s="1"/>
    </row>
    <row r="758" spans="30:30" ht="17.25" customHeight="1">
      <c r="AD758" s="1"/>
    </row>
    <row r="759" spans="30:30" ht="17.25" customHeight="1">
      <c r="AD759" s="1"/>
    </row>
    <row r="760" spans="30:30" ht="17.25" customHeight="1">
      <c r="AD760" s="1"/>
    </row>
    <row r="761" spans="30:30" ht="17.25" customHeight="1">
      <c r="AD761" s="1"/>
    </row>
    <row r="762" spans="30:30" ht="17.25" customHeight="1">
      <c r="AD762" s="1"/>
    </row>
    <row r="763" spans="30:30" ht="17.25" customHeight="1">
      <c r="AD763" s="1"/>
    </row>
    <row r="764" spans="30:30" ht="17.25" customHeight="1">
      <c r="AD764" s="1"/>
    </row>
    <row r="765" spans="30:30" ht="17.25" customHeight="1">
      <c r="AD765" s="1"/>
    </row>
    <row r="766" spans="30:30" ht="17.25" customHeight="1">
      <c r="AD766" s="1"/>
    </row>
    <row r="767" spans="30:30" ht="17.25" customHeight="1">
      <c r="AD767" s="1"/>
    </row>
    <row r="768" spans="30:30" ht="17.25" customHeight="1">
      <c r="AD768" s="1"/>
    </row>
    <row r="769" spans="30:30" ht="17.25" customHeight="1">
      <c r="AD769" s="1"/>
    </row>
    <row r="770" spans="30:30" ht="17.25" customHeight="1">
      <c r="AD770" s="1"/>
    </row>
    <row r="771" spans="30:30" ht="17.25" customHeight="1">
      <c r="AD771" s="1"/>
    </row>
    <row r="772" spans="30:30" ht="17.25" customHeight="1">
      <c r="AD772" s="1"/>
    </row>
    <row r="773" spans="30:30" ht="17.25" customHeight="1">
      <c r="AD773" s="1"/>
    </row>
    <row r="774" spans="30:30" ht="17.25" customHeight="1">
      <c r="AD774" s="1"/>
    </row>
    <row r="775" spans="30:30" ht="17.25" customHeight="1">
      <c r="AD775" s="1"/>
    </row>
    <row r="776" spans="30:30" ht="17.25" customHeight="1">
      <c r="AD776" s="1"/>
    </row>
    <row r="777" spans="30:30" ht="17.25" customHeight="1">
      <c r="AD777" s="1"/>
    </row>
    <row r="778" spans="30:30" ht="17.25" customHeight="1">
      <c r="AD778" s="1"/>
    </row>
    <row r="779" spans="30:30" ht="17.25" customHeight="1">
      <c r="AD779" s="1"/>
    </row>
    <row r="780" spans="30:30" ht="17.25" customHeight="1">
      <c r="AD780" s="1"/>
    </row>
    <row r="781" spans="30:30" ht="17.25" customHeight="1">
      <c r="AD781" s="1"/>
    </row>
    <row r="782" spans="30:30" ht="17.25" customHeight="1">
      <c r="AD782" s="1"/>
    </row>
    <row r="783" spans="30:30" ht="17.25" customHeight="1">
      <c r="AD783" s="1"/>
    </row>
    <row r="784" spans="30:30" ht="17.25" customHeight="1">
      <c r="AD784" s="1"/>
    </row>
    <row r="785" spans="30:30" ht="17.25" customHeight="1">
      <c r="AD785" s="1"/>
    </row>
    <row r="786" spans="30:30" ht="17.25" customHeight="1">
      <c r="AD786" s="1"/>
    </row>
    <row r="787" spans="30:30" ht="17.25" customHeight="1">
      <c r="AD787" s="1"/>
    </row>
    <row r="788" spans="30:30" ht="17.25" customHeight="1">
      <c r="AD788" s="1"/>
    </row>
    <row r="789" spans="30:30" ht="17.25" customHeight="1">
      <c r="AD789" s="1"/>
    </row>
    <row r="790" spans="30:30" ht="17.25" customHeight="1">
      <c r="AD790" s="1"/>
    </row>
    <row r="791" spans="30:30" ht="17.25" customHeight="1">
      <c r="AD791" s="1"/>
    </row>
    <row r="792" spans="30:30" ht="17.25" customHeight="1">
      <c r="AD792" s="1"/>
    </row>
    <row r="793" spans="30:30" ht="17.25" customHeight="1">
      <c r="AD793" s="1"/>
    </row>
    <row r="794" spans="30:30" ht="17.25" customHeight="1">
      <c r="AD794" s="1"/>
    </row>
    <row r="795" spans="30:30" ht="17.25" customHeight="1">
      <c r="AD795" s="1"/>
    </row>
    <row r="796" spans="30:30" ht="17.25" customHeight="1">
      <c r="AD796" s="1"/>
    </row>
    <row r="797" spans="30:30" ht="17.25" customHeight="1">
      <c r="AD797" s="1"/>
    </row>
    <row r="798" spans="30:30" ht="17.25" customHeight="1">
      <c r="AD798" s="1"/>
    </row>
    <row r="799" spans="30:30" ht="17.25" customHeight="1">
      <c r="AD799" s="1"/>
    </row>
    <row r="800" spans="30:30" ht="17.25" customHeight="1">
      <c r="AD800" s="1"/>
    </row>
    <row r="801" spans="30:30" ht="17.25" customHeight="1">
      <c r="AD801" s="1"/>
    </row>
    <row r="802" spans="30:30" ht="17.25" customHeight="1">
      <c r="AD802" s="1"/>
    </row>
    <row r="803" spans="30:30" ht="17.25" customHeight="1">
      <c r="AD803" s="1"/>
    </row>
    <row r="804" spans="30:30" ht="17.25" customHeight="1">
      <c r="AD804" s="1"/>
    </row>
    <row r="805" spans="30:30" ht="17.25" customHeight="1">
      <c r="AD805" s="1"/>
    </row>
    <row r="806" spans="30:30" ht="17.25" customHeight="1">
      <c r="AD806" s="1"/>
    </row>
    <row r="807" spans="30:30" ht="17.25" customHeight="1">
      <c r="AD807" s="1"/>
    </row>
    <row r="808" spans="30:30" ht="17.25" customHeight="1">
      <c r="AD808" s="1"/>
    </row>
    <row r="809" spans="30:30" ht="17.25" customHeight="1">
      <c r="AD809" s="1"/>
    </row>
    <row r="810" spans="30:30" ht="17.25" customHeight="1">
      <c r="AD810" s="1"/>
    </row>
    <row r="811" spans="30:30" ht="17.25" customHeight="1">
      <c r="AD811" s="1"/>
    </row>
    <row r="812" spans="30:30" ht="17.25" customHeight="1">
      <c r="AD812" s="1"/>
    </row>
    <row r="813" spans="30:30" ht="17.25" customHeight="1">
      <c r="AD813" s="1"/>
    </row>
    <row r="814" spans="30:30" ht="17.25" customHeight="1">
      <c r="AD814" s="1"/>
    </row>
    <row r="815" spans="30:30" ht="17.25" customHeight="1">
      <c r="AD815" s="1"/>
    </row>
    <row r="816" spans="30:30" ht="17.25" customHeight="1">
      <c r="AD816" s="1"/>
    </row>
    <row r="817" spans="30:30" ht="17.25" customHeight="1">
      <c r="AD817" s="1"/>
    </row>
    <row r="818" spans="30:30" ht="17.25" customHeight="1">
      <c r="AD818" s="1"/>
    </row>
    <row r="819" spans="30:30" ht="17.25" customHeight="1">
      <c r="AD819" s="1"/>
    </row>
    <row r="820" spans="30:30" ht="17.25" customHeight="1">
      <c r="AD820" s="1"/>
    </row>
    <row r="821" spans="30:30" ht="17.25" customHeight="1">
      <c r="AD821" s="1"/>
    </row>
    <row r="822" spans="30:30" ht="17.25" customHeight="1">
      <c r="AD822" s="1"/>
    </row>
    <row r="823" spans="30:30" ht="17.25" customHeight="1">
      <c r="AD823" s="1"/>
    </row>
    <row r="824" spans="30:30" ht="17.25" customHeight="1">
      <c r="AD824" s="1"/>
    </row>
    <row r="825" spans="30:30" ht="17.25" customHeight="1">
      <c r="AD825" s="1"/>
    </row>
    <row r="826" spans="30:30" ht="17.25" customHeight="1">
      <c r="AD826" s="1"/>
    </row>
    <row r="827" spans="30:30" ht="17.25" customHeight="1">
      <c r="AD827" s="1"/>
    </row>
    <row r="828" spans="30:30" ht="17.25" customHeight="1">
      <c r="AD828" s="1"/>
    </row>
    <row r="829" spans="30:30" ht="17.25" customHeight="1">
      <c r="AD829" s="1"/>
    </row>
    <row r="830" spans="30:30" ht="17.25" customHeight="1">
      <c r="AD830" s="1"/>
    </row>
    <row r="831" spans="30:30" ht="17.25" customHeight="1">
      <c r="AD831" s="1"/>
    </row>
    <row r="832" spans="30:30" ht="17.25" customHeight="1">
      <c r="AD832" s="1"/>
    </row>
    <row r="833" spans="30:30" ht="17.25" customHeight="1">
      <c r="AD833" s="1"/>
    </row>
    <row r="834" spans="30:30" ht="17.25" customHeight="1">
      <c r="AD834" s="1"/>
    </row>
    <row r="835" spans="30:30" ht="17.25" customHeight="1">
      <c r="AD835" s="1"/>
    </row>
    <row r="836" spans="30:30" ht="17.25" customHeight="1">
      <c r="AD836" s="1"/>
    </row>
    <row r="837" spans="30:30" ht="17.25" customHeight="1">
      <c r="AD837" s="1"/>
    </row>
    <row r="838" spans="30:30" ht="17.25" customHeight="1">
      <c r="AD838" s="1"/>
    </row>
    <row r="839" spans="30:30" ht="17.25" customHeight="1">
      <c r="AD839" s="1"/>
    </row>
    <row r="840" spans="30:30" ht="17.25" customHeight="1">
      <c r="AD840" s="1"/>
    </row>
    <row r="841" spans="30:30" ht="17.25" customHeight="1">
      <c r="AD841" s="1"/>
    </row>
    <row r="842" spans="30:30" ht="17.25" customHeight="1">
      <c r="AD842" s="1"/>
    </row>
    <row r="843" spans="30:30" ht="17.25" customHeight="1">
      <c r="AD843" s="1"/>
    </row>
    <row r="844" spans="30:30" ht="17.25" customHeight="1">
      <c r="AD844" s="1"/>
    </row>
    <row r="845" spans="30:30" ht="17.25" customHeight="1">
      <c r="AD845" s="1"/>
    </row>
    <row r="846" spans="30:30" ht="17.25" customHeight="1">
      <c r="AD846" s="1"/>
    </row>
    <row r="847" spans="30:30" ht="17.25" customHeight="1">
      <c r="AD847" s="1"/>
    </row>
    <row r="848" spans="30:30" ht="17.25" customHeight="1">
      <c r="AD848" s="1"/>
    </row>
    <row r="849" spans="30:30" ht="17.25" customHeight="1">
      <c r="AD849" s="1"/>
    </row>
    <row r="850" spans="30:30" ht="17.25" customHeight="1">
      <c r="AD850" s="1"/>
    </row>
    <row r="851" spans="30:30" ht="17.25" customHeight="1">
      <c r="AD851" s="1"/>
    </row>
    <row r="852" spans="30:30" ht="17.25" customHeight="1">
      <c r="AD852" s="1"/>
    </row>
    <row r="853" spans="30:30" ht="17.25" customHeight="1">
      <c r="AD853" s="1"/>
    </row>
    <row r="854" spans="30:30" ht="17.25" customHeight="1">
      <c r="AD854" s="1"/>
    </row>
    <row r="855" spans="30:30" ht="17.25" customHeight="1">
      <c r="AD855" s="1"/>
    </row>
    <row r="856" spans="30:30" ht="17.25" customHeight="1">
      <c r="AD856" s="1"/>
    </row>
    <row r="857" spans="30:30" ht="17.25" customHeight="1">
      <c r="AD857" s="1"/>
    </row>
    <row r="858" spans="30:30" ht="17.25" customHeight="1">
      <c r="AD858" s="1"/>
    </row>
    <row r="859" spans="30:30" ht="17.25" customHeight="1">
      <c r="AD859" s="1"/>
    </row>
    <row r="860" spans="30:30" ht="17.25" customHeight="1">
      <c r="AD860" s="1"/>
    </row>
    <row r="861" spans="30:30" ht="17.25" customHeight="1">
      <c r="AD861" s="1"/>
    </row>
    <row r="862" spans="30:30" ht="17.25" customHeight="1">
      <c r="AD862" s="1"/>
    </row>
    <row r="863" spans="30:30" ht="17.25" customHeight="1">
      <c r="AD863" s="1"/>
    </row>
    <row r="864" spans="30:30" ht="17.25" customHeight="1">
      <c r="AD864" s="1"/>
    </row>
    <row r="865" spans="30:30" ht="17.25" customHeight="1">
      <c r="AD865" s="1"/>
    </row>
    <row r="866" spans="30:30" ht="17.25" customHeight="1">
      <c r="AD866" s="1"/>
    </row>
    <row r="867" spans="30:30" ht="17.25" customHeight="1">
      <c r="AD867" s="1"/>
    </row>
    <row r="868" spans="30:30" ht="17.25" customHeight="1">
      <c r="AD868" s="1"/>
    </row>
    <row r="869" spans="30:30" ht="17.25" customHeight="1">
      <c r="AD869" s="1"/>
    </row>
    <row r="870" spans="30:30" ht="17.25" customHeight="1">
      <c r="AD870" s="1"/>
    </row>
    <row r="871" spans="30:30" ht="17.25" customHeight="1">
      <c r="AD871" s="1"/>
    </row>
    <row r="872" spans="30:30" ht="17.25" customHeight="1">
      <c r="AD872" s="1"/>
    </row>
    <row r="873" spans="30:30" ht="17.25" customHeight="1">
      <c r="AD873" s="1"/>
    </row>
    <row r="874" spans="30:30" ht="17.25" customHeight="1">
      <c r="AD874" s="1"/>
    </row>
    <row r="875" spans="30:30" ht="17.25" customHeight="1">
      <c r="AD875" s="1"/>
    </row>
    <row r="876" spans="30:30" ht="17.25" customHeight="1">
      <c r="AD876" s="1"/>
    </row>
    <row r="877" spans="30:30" ht="17.25" customHeight="1">
      <c r="AD877" s="1"/>
    </row>
    <row r="878" spans="30:30" ht="17.25" customHeight="1">
      <c r="AD878" s="1"/>
    </row>
    <row r="879" spans="30:30" ht="17.25" customHeight="1">
      <c r="AD879" s="1"/>
    </row>
    <row r="880" spans="30:30" ht="17.25" customHeight="1">
      <c r="AD880" s="1"/>
    </row>
    <row r="881" spans="30:30" ht="17.25" customHeight="1">
      <c r="AD881" s="1"/>
    </row>
    <row r="882" spans="30:30" ht="17.25" customHeight="1">
      <c r="AD882" s="1"/>
    </row>
    <row r="883" spans="30:30" ht="17.25" customHeight="1">
      <c r="AD883" s="1"/>
    </row>
    <row r="884" spans="30:30" ht="17.25" customHeight="1">
      <c r="AD884" s="1"/>
    </row>
    <row r="885" spans="30:30" ht="17.25" customHeight="1">
      <c r="AD885" s="1"/>
    </row>
    <row r="886" spans="30:30" ht="17.25" customHeight="1">
      <c r="AD886" s="1"/>
    </row>
    <row r="887" spans="30:30" ht="17.25" customHeight="1">
      <c r="AD887" s="1"/>
    </row>
    <row r="888" spans="30:30" ht="17.25" customHeight="1">
      <c r="AD888" s="1"/>
    </row>
    <row r="889" spans="30:30" ht="17.25" customHeight="1">
      <c r="AD889" s="1"/>
    </row>
    <row r="890" spans="30:30" ht="17.25" customHeight="1">
      <c r="AD890" s="1"/>
    </row>
    <row r="891" spans="30:30" ht="17.25" customHeight="1">
      <c r="AD891" s="1"/>
    </row>
    <row r="892" spans="30:30" ht="17.25" customHeight="1">
      <c r="AD892" s="1"/>
    </row>
    <row r="893" spans="30:30" ht="17.25" customHeight="1">
      <c r="AD893" s="1"/>
    </row>
    <row r="894" spans="30:30" ht="17.25" customHeight="1">
      <c r="AD894" s="1"/>
    </row>
    <row r="895" spans="30:30" ht="17.25" customHeight="1">
      <c r="AD895" s="1"/>
    </row>
    <row r="896" spans="30:30" ht="17.25" customHeight="1">
      <c r="AD896" s="1"/>
    </row>
    <row r="897" spans="30:30" ht="17.25" customHeight="1">
      <c r="AD897" s="1"/>
    </row>
    <row r="898" spans="30:30" ht="17.25" customHeight="1">
      <c r="AD898" s="1"/>
    </row>
    <row r="899" spans="30:30" ht="17.25" customHeight="1">
      <c r="AD899" s="1"/>
    </row>
    <row r="900" spans="30:30" ht="17.25" customHeight="1">
      <c r="AD900" s="1"/>
    </row>
    <row r="901" spans="30:30" ht="17.25" customHeight="1">
      <c r="AD901" s="1"/>
    </row>
    <row r="902" spans="30:30" ht="17.25" customHeight="1">
      <c r="AD902" s="1"/>
    </row>
    <row r="903" spans="30:30" ht="17.25" customHeight="1">
      <c r="AD903" s="1"/>
    </row>
    <row r="904" spans="30:30" ht="17.25" customHeight="1">
      <c r="AD904" s="1"/>
    </row>
    <row r="905" spans="30:30" ht="17.25" customHeight="1">
      <c r="AD905" s="1"/>
    </row>
    <row r="906" spans="30:30" ht="17.25" customHeight="1">
      <c r="AD906" s="1"/>
    </row>
    <row r="907" spans="30:30" ht="17.25" customHeight="1">
      <c r="AD907" s="1"/>
    </row>
    <row r="908" spans="30:30" ht="17.25" customHeight="1">
      <c r="AD908" s="1"/>
    </row>
    <row r="909" spans="30:30" ht="17.25" customHeight="1">
      <c r="AD909" s="1"/>
    </row>
    <row r="910" spans="30:30" ht="17.25" customHeight="1">
      <c r="AD910" s="1"/>
    </row>
    <row r="911" spans="30:30" ht="17.25" customHeight="1">
      <c r="AD911" s="1"/>
    </row>
    <row r="912" spans="30:30" ht="17.25" customHeight="1">
      <c r="AD912" s="1"/>
    </row>
    <row r="913" spans="30:30" ht="17.25" customHeight="1">
      <c r="AD913" s="1"/>
    </row>
    <row r="914" spans="30:30" ht="17.25" customHeight="1">
      <c r="AD914" s="1"/>
    </row>
    <row r="915" spans="30:30" ht="17.25" customHeight="1">
      <c r="AD915" s="1"/>
    </row>
    <row r="916" spans="30:30" ht="17.25" customHeight="1">
      <c r="AD916" s="1"/>
    </row>
    <row r="917" spans="30:30" ht="17.25" customHeight="1">
      <c r="AD917" s="1"/>
    </row>
    <row r="918" spans="30:30" ht="17.25" customHeight="1">
      <c r="AD918" s="1"/>
    </row>
    <row r="919" spans="30:30" ht="17.25" customHeight="1">
      <c r="AD919" s="1"/>
    </row>
    <row r="920" spans="30:30" ht="17.25" customHeight="1">
      <c r="AD920" s="1"/>
    </row>
    <row r="921" spans="30:30" ht="17.25" customHeight="1">
      <c r="AD921" s="1"/>
    </row>
    <row r="922" spans="30:30" ht="17.25" customHeight="1">
      <c r="AD922" s="1"/>
    </row>
    <row r="923" spans="30:30" ht="17.25" customHeight="1">
      <c r="AD923" s="1"/>
    </row>
    <row r="924" spans="30:30" ht="17.25" customHeight="1">
      <c r="AD924" s="1"/>
    </row>
    <row r="925" spans="30:30" ht="17.25" customHeight="1">
      <c r="AD925" s="1"/>
    </row>
    <row r="926" spans="30:30" ht="17.25" customHeight="1">
      <c r="AD926" s="1"/>
    </row>
    <row r="927" spans="30:30" ht="17.25" customHeight="1">
      <c r="AD927" s="1"/>
    </row>
    <row r="928" spans="30:30" ht="17.25" customHeight="1">
      <c r="AD928" s="1"/>
    </row>
    <row r="929" spans="30:30" ht="17.25" customHeight="1">
      <c r="AD929" s="1"/>
    </row>
    <row r="930" spans="30:30" ht="17.25" customHeight="1">
      <c r="AD930" s="1"/>
    </row>
    <row r="931" spans="30:30" ht="17.25" customHeight="1">
      <c r="AD931" s="1"/>
    </row>
    <row r="932" spans="30:30" ht="17.25" customHeight="1">
      <c r="AD932" s="1"/>
    </row>
    <row r="933" spans="30:30" ht="17.25" customHeight="1">
      <c r="AD933" s="1"/>
    </row>
    <row r="934" spans="30:30" ht="17.25" customHeight="1">
      <c r="AD934" s="1"/>
    </row>
    <row r="935" spans="30:30" ht="17.25" customHeight="1">
      <c r="AD935" s="1"/>
    </row>
    <row r="936" spans="30:30" ht="17.25" customHeight="1">
      <c r="AD936" s="1"/>
    </row>
    <row r="937" spans="30:30" ht="17.25" customHeight="1">
      <c r="AD937" s="1"/>
    </row>
    <row r="938" spans="30:30" ht="17.25" customHeight="1">
      <c r="AD938" s="1"/>
    </row>
    <row r="939" spans="30:30" ht="17.25" customHeight="1">
      <c r="AD939" s="1"/>
    </row>
    <row r="940" spans="30:30" ht="17.25" customHeight="1">
      <c r="AD940" s="1"/>
    </row>
    <row r="941" spans="30:30" ht="17.25" customHeight="1">
      <c r="AD941" s="1"/>
    </row>
    <row r="942" spans="30:30" ht="17.25" customHeight="1">
      <c r="AD942" s="1"/>
    </row>
    <row r="943" spans="30:30" ht="17.25" customHeight="1">
      <c r="AD943" s="1"/>
    </row>
    <row r="944" spans="30:30" ht="17.25" customHeight="1">
      <c r="AD944" s="1"/>
    </row>
    <row r="945" spans="30:30" ht="17.25" customHeight="1">
      <c r="AD945" s="1"/>
    </row>
    <row r="946" spans="30:30" ht="17.25" customHeight="1">
      <c r="AD946" s="1"/>
    </row>
    <row r="947" spans="30:30" ht="17.25" customHeight="1">
      <c r="AD947" s="1"/>
    </row>
    <row r="948" spans="30:30" ht="17.25" customHeight="1">
      <c r="AD948" s="1"/>
    </row>
    <row r="949" spans="30:30" ht="17.25" customHeight="1">
      <c r="AD949" s="1"/>
    </row>
    <row r="950" spans="30:30" ht="17.25" customHeight="1">
      <c r="AD950" s="1"/>
    </row>
    <row r="951" spans="30:30" ht="17.25" customHeight="1">
      <c r="AD951" s="1"/>
    </row>
    <row r="952" spans="30:30" ht="17.25" customHeight="1">
      <c r="AD952" s="1"/>
    </row>
    <row r="953" spans="30:30" ht="17.25" customHeight="1">
      <c r="AD953" s="1"/>
    </row>
    <row r="954" spans="30:30" ht="17.25" customHeight="1">
      <c r="AD954" s="1"/>
    </row>
    <row r="955" spans="30:30" ht="17.25" customHeight="1">
      <c r="AD955" s="1"/>
    </row>
    <row r="956" spans="30:30" ht="17.25" customHeight="1">
      <c r="AD956" s="1"/>
    </row>
    <row r="957" spans="30:30" ht="17.25" customHeight="1">
      <c r="AD957" s="1"/>
    </row>
    <row r="958" spans="30:30" ht="17.25" customHeight="1">
      <c r="AD958" s="1"/>
    </row>
    <row r="959" spans="30:30" ht="17.25" customHeight="1">
      <c r="AD959" s="1"/>
    </row>
    <row r="960" spans="30:30" ht="17.25" customHeight="1">
      <c r="AD960" s="1"/>
    </row>
    <row r="961" spans="30:30" ht="17.25" customHeight="1">
      <c r="AD961" s="1"/>
    </row>
    <row r="962" spans="30:30" ht="17.25" customHeight="1">
      <c r="AD962" s="1"/>
    </row>
    <row r="963" spans="30:30" ht="17.25" customHeight="1">
      <c r="AD963" s="1"/>
    </row>
    <row r="964" spans="30:30" ht="17.25" customHeight="1">
      <c r="AD964" s="1"/>
    </row>
    <row r="965" spans="30:30" ht="17.25" customHeight="1">
      <c r="AD965" s="1"/>
    </row>
    <row r="966" spans="30:30" ht="17.25" customHeight="1">
      <c r="AD966" s="1"/>
    </row>
    <row r="967" spans="30:30" ht="17.25" customHeight="1">
      <c r="AD967" s="1"/>
    </row>
    <row r="968" spans="30:30" ht="17.25" customHeight="1">
      <c r="AD968" s="1"/>
    </row>
    <row r="969" spans="30:30" ht="17.25" customHeight="1">
      <c r="AD969" s="1"/>
    </row>
    <row r="970" spans="30:30" ht="17.25" customHeight="1">
      <c r="AD970" s="1"/>
    </row>
    <row r="971" spans="30:30" ht="17.25" customHeight="1">
      <c r="AD971" s="1"/>
    </row>
    <row r="972" spans="30:30" ht="17.25" customHeight="1">
      <c r="AD972" s="1"/>
    </row>
    <row r="973" spans="30:30" ht="17.25" customHeight="1">
      <c r="AD973" s="1"/>
    </row>
    <row r="974" spans="30:30" ht="17.25" customHeight="1">
      <c r="AD974" s="1"/>
    </row>
    <row r="975" spans="30:30" ht="17.25" customHeight="1">
      <c r="AD975" s="1"/>
    </row>
    <row r="976" spans="30:30" ht="17.25" customHeight="1">
      <c r="AD976" s="1"/>
    </row>
    <row r="977" spans="30:30" ht="17.25" customHeight="1">
      <c r="AD977" s="1"/>
    </row>
    <row r="978" spans="30:30" ht="17.25" customHeight="1">
      <c r="AD978" s="1"/>
    </row>
    <row r="979" spans="30:30" ht="17.25" customHeight="1">
      <c r="AD979" s="1"/>
    </row>
    <row r="980" spans="30:30" ht="17.25" customHeight="1">
      <c r="AD980" s="1"/>
    </row>
    <row r="981" spans="30:30" ht="17.25" customHeight="1">
      <c r="AD981" s="1"/>
    </row>
    <row r="982" spans="30:30" ht="17.25" customHeight="1">
      <c r="AD982" s="1"/>
    </row>
    <row r="983" spans="30:30" ht="17.25" customHeight="1">
      <c r="AD983" s="1"/>
    </row>
    <row r="984" spans="30:30" ht="17.25" customHeight="1">
      <c r="AD984" s="1"/>
    </row>
    <row r="985" spans="30:30" ht="17.25" customHeight="1">
      <c r="AD985" s="1"/>
    </row>
    <row r="986" spans="30:30" ht="17.25" customHeight="1">
      <c r="AD986" s="1"/>
    </row>
    <row r="987" spans="30:30" ht="17.25" customHeight="1">
      <c r="AD987" s="1"/>
    </row>
    <row r="988" spans="30:30" ht="17.25" customHeight="1">
      <c r="AD988" s="1"/>
    </row>
    <row r="989" spans="30:30" ht="17.25" customHeight="1">
      <c r="AD989" s="1"/>
    </row>
    <row r="990" spans="30:30" ht="17.25" customHeight="1">
      <c r="AD990" s="1"/>
    </row>
    <row r="991" spans="30:30" ht="17.25" customHeight="1">
      <c r="AD991" s="1"/>
    </row>
    <row r="992" spans="30:30" ht="17.25" customHeight="1">
      <c r="AD992" s="1"/>
    </row>
    <row r="993" spans="30:30" ht="17.25" customHeight="1">
      <c r="AD993" s="1"/>
    </row>
    <row r="994" spans="30:30" ht="17.25" customHeight="1">
      <c r="AD994" s="1"/>
    </row>
    <row r="995" spans="30:30" ht="17.25" customHeight="1">
      <c r="AD995" s="1"/>
    </row>
    <row r="996" spans="30:30" ht="17.25" customHeight="1">
      <c r="AD996" s="1"/>
    </row>
    <row r="997" spans="30:30" ht="17.25" customHeight="1">
      <c r="AD997" s="1"/>
    </row>
    <row r="998" spans="30:30" ht="17.25" customHeight="1">
      <c r="AD998" s="1"/>
    </row>
    <row r="999" spans="30:30" ht="17.25" customHeight="1">
      <c r="AD999" s="1"/>
    </row>
    <row r="1000" spans="30:30" ht="17.25" customHeight="1">
      <c r="AD1000" s="1"/>
    </row>
  </sheetData>
  <autoFilter ref="AD1:AD1000" xr:uid="{00000000-0001-0000-0A00-000000000000}">
    <sortState xmlns:xlrd2="http://schemas.microsoft.com/office/spreadsheetml/2017/richdata2" ref="A4:AD1000">
      <sortCondition ref="AD1:AD1000"/>
    </sortState>
  </autoFilter>
  <mergeCells count="12">
    <mergeCell ref="AD1:AD2"/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C2"/>
  </mergeCells>
  <phoneticPr fontId="4" type="noConversion"/>
  <conditionalFormatting sqref="H1:H1048576 L1:L1048576 P1:P1048576 T1:T1048576 X1:X1048576">
    <cfRule type="containsText" dxfId="2" priority="2" operator="containsText" text="1">
      <formula>NOT(ISERROR(SEARCH("1",H1)))</formula>
    </cfRule>
  </conditionalFormatting>
  <conditionalFormatting sqref="H1:H1048576 P1:P1048576 L1:L1048576 T1:T1048576 X1:X1048576">
    <cfRule type="containsText" dxfId="0" priority="1" operator="containsText" text="2">
      <formula>NOT(ISERROR(SEARCH("2",H1)))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H1000"/>
  <sheetViews>
    <sheetView workbookViewId="0">
      <selection activeCell="B2" sqref="B2:H11"/>
    </sheetView>
  </sheetViews>
  <sheetFormatPr defaultColWidth="14.44140625" defaultRowHeight="15" customHeight="1"/>
  <cols>
    <col min="1" max="1" width="1.5546875" customWidth="1"/>
    <col min="2" max="8" width="15.5546875" customWidth="1"/>
    <col min="9" max="26" width="8.6640625" customWidth="1"/>
  </cols>
  <sheetData>
    <row r="1" spans="2:8" ht="7.5" customHeight="1"/>
    <row r="2" spans="2:8" ht="17.25" customHeight="1">
      <c r="B2" s="2" t="s">
        <v>27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4" t="s">
        <v>5</v>
      </c>
    </row>
    <row r="3" spans="2:8" ht="17.25" customHeight="1">
      <c r="B3" s="5" t="s">
        <v>6</v>
      </c>
      <c r="C3" s="6">
        <v>86</v>
      </c>
      <c r="D3" s="6">
        <v>84</v>
      </c>
      <c r="E3" s="7">
        <v>90</v>
      </c>
      <c r="F3" s="6">
        <v>46.5</v>
      </c>
      <c r="G3" s="6">
        <v>42.5</v>
      </c>
      <c r="H3" s="8">
        <v>40</v>
      </c>
    </row>
    <row r="4" spans="2:8" ht="17.25" customHeight="1">
      <c r="B4" s="9" t="s">
        <v>7</v>
      </c>
      <c r="C4" s="10">
        <v>79</v>
      </c>
      <c r="D4" s="10">
        <v>72</v>
      </c>
      <c r="E4" s="11">
        <v>80</v>
      </c>
      <c r="F4" s="10">
        <v>42.5</v>
      </c>
      <c r="G4" s="10">
        <v>38</v>
      </c>
      <c r="H4" s="12">
        <v>35</v>
      </c>
    </row>
    <row r="5" spans="2:8" ht="17.25" customHeight="1">
      <c r="B5" s="9" t="s">
        <v>8</v>
      </c>
      <c r="C5" s="10">
        <v>70</v>
      </c>
      <c r="D5" s="10">
        <v>61</v>
      </c>
      <c r="E5" s="11">
        <v>70</v>
      </c>
      <c r="F5" s="10">
        <v>38</v>
      </c>
      <c r="G5" s="10">
        <v>31.5</v>
      </c>
      <c r="H5" s="12">
        <v>30</v>
      </c>
    </row>
    <row r="6" spans="2:8" ht="17.25" customHeight="1">
      <c r="B6" s="9" t="s">
        <v>9</v>
      </c>
      <c r="C6" s="10">
        <v>60</v>
      </c>
      <c r="D6" s="10">
        <v>50</v>
      </c>
      <c r="E6" s="11">
        <v>60</v>
      </c>
      <c r="F6" s="10">
        <v>32.5</v>
      </c>
      <c r="G6" s="10">
        <v>25.5</v>
      </c>
      <c r="H6" s="12">
        <v>25</v>
      </c>
    </row>
    <row r="7" spans="2:8" ht="17.25" customHeight="1">
      <c r="B7" s="9" t="s">
        <v>10</v>
      </c>
      <c r="C7" s="10">
        <v>48</v>
      </c>
      <c r="D7" s="10">
        <v>38</v>
      </c>
      <c r="E7" s="11">
        <v>50</v>
      </c>
      <c r="F7" s="10">
        <v>25.5</v>
      </c>
      <c r="G7" s="10">
        <v>19</v>
      </c>
      <c r="H7" s="12">
        <v>20</v>
      </c>
    </row>
    <row r="8" spans="2:8" ht="17.25" customHeight="1">
      <c r="B8" s="9" t="s">
        <v>11</v>
      </c>
      <c r="C8" s="11">
        <v>38</v>
      </c>
      <c r="D8" s="11">
        <v>28</v>
      </c>
      <c r="E8" s="11">
        <v>40</v>
      </c>
      <c r="F8" s="10">
        <v>19</v>
      </c>
      <c r="G8" s="10">
        <v>13.5</v>
      </c>
      <c r="H8" s="12">
        <v>15</v>
      </c>
    </row>
    <row r="9" spans="2:8" ht="17.25" customHeight="1">
      <c r="B9" s="9" t="s">
        <v>12</v>
      </c>
      <c r="C9" s="10">
        <v>29</v>
      </c>
      <c r="D9" s="10">
        <v>19</v>
      </c>
      <c r="E9" s="11">
        <v>30</v>
      </c>
      <c r="F9" s="10">
        <v>12.5</v>
      </c>
      <c r="G9" s="10">
        <v>10.5</v>
      </c>
      <c r="H9" s="12">
        <v>10</v>
      </c>
    </row>
    <row r="10" spans="2:8" ht="17.25" customHeight="1">
      <c r="B10" s="9" t="s">
        <v>13</v>
      </c>
      <c r="C10" s="10">
        <v>20</v>
      </c>
      <c r="D10" s="10">
        <v>13</v>
      </c>
      <c r="E10" s="11">
        <v>20</v>
      </c>
      <c r="F10" s="10">
        <v>8</v>
      </c>
      <c r="G10" s="10">
        <v>7</v>
      </c>
      <c r="H10" s="12">
        <v>5</v>
      </c>
    </row>
    <row r="11" spans="2:8" ht="17.25" customHeight="1">
      <c r="B11" s="13" t="s">
        <v>14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5">
        <v>0</v>
      </c>
    </row>
    <row r="12" spans="2:8" ht="17.25" customHeight="1"/>
    <row r="13" spans="2:8" ht="17.25" customHeight="1"/>
    <row r="14" spans="2:8" ht="17.25" customHeight="1"/>
    <row r="15" spans="2:8" ht="17.25" customHeight="1"/>
    <row r="16" spans="2:8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3월 성적 정보</vt:lpstr>
      <vt:lpstr>3월 등급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2026-03-25T05:00:35Z</dcterms:created>
  <dcterms:modified xsi:type="dcterms:W3CDTF">2026-03-25T05:00:35Z</dcterms:modified>
</cp:coreProperties>
</file>