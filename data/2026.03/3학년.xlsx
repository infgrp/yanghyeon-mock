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 3학년 고사관리\가채점\"/>
    </mc:Choice>
  </mc:AlternateContent>
  <xr:revisionPtr revIDLastSave="0" documentId="13_ncr:1_{F3EA4224-68F5-4800-823D-DEFE80E6B8F7}" xr6:coauthVersionLast="36" xr6:coauthVersionMax="36" xr10:uidLastSave="{00000000-0000-0000-0000-000000000000}"/>
  <bookViews>
    <workbookView xWindow="945" yWindow="2745" windowWidth="10275" windowHeight="6450" firstSheet="5" activeTab="6" xr2:uid="{00000000-000D-0000-FFFF-FFFF00000000}"/>
  </bookViews>
  <sheets>
    <sheet name="3-6" sheetId="29" state="hidden" r:id="rId1"/>
    <sheet name="3-7" sheetId="30" state="hidden" r:id="rId2"/>
    <sheet name="3-8" sheetId="31" state="hidden" r:id="rId3"/>
    <sheet name="3-9" sheetId="32" state="hidden" r:id="rId4"/>
    <sheet name="3-10" sheetId="33" state="hidden" r:id="rId5"/>
    <sheet name="예상등급" sheetId="28" r:id="rId6"/>
    <sheet name="예상점수" sheetId="38" r:id="rId7"/>
    <sheet name="06 회 - 6월 16일 부산시교육청_2학년_원점수_석차" sheetId="43" state="hidden" r:id="rId8"/>
    <sheet name="3-2" sheetId="35" state="hidden" r:id="rId9"/>
    <sheet name="3-3" sheetId="36" state="hidden" r:id="rId10"/>
    <sheet name="3-4" sheetId="37" state="hidden" r:id="rId11"/>
    <sheet name="반별성적분포" sheetId="24" state="hidden" r:id="rId12"/>
    <sheet name="예상등급컷" sheetId="40" state="hidden" r:id="rId13"/>
    <sheet name="전체성적변동" sheetId="41" state="hidden" r:id="rId14"/>
  </sheets>
  <externalReferences>
    <externalReference r:id="rId15"/>
    <externalReference r:id="rId16"/>
  </externalReferences>
  <definedNames>
    <definedName name="_xlnm._FilterDatabase" localSheetId="6" hidden="1">예상점수!$A$3:$W$236</definedName>
    <definedName name="_xlnm._FilterDatabase" localSheetId="13" hidden="1">전체성적변동!$A$3:$R$3</definedName>
    <definedName name="n" localSheetId="4">[1]인문!#REF!</definedName>
    <definedName name="n" localSheetId="8">[1]인문!#REF!</definedName>
    <definedName name="n" localSheetId="9">[1]인문!#REF!</definedName>
    <definedName name="n" localSheetId="10">[1]인문!#REF!</definedName>
    <definedName name="n" localSheetId="0">[1]인문!#REF!</definedName>
    <definedName name="n" localSheetId="1">[1]인문!#REF!</definedName>
    <definedName name="n" localSheetId="2">[1]인문!#REF!</definedName>
    <definedName name="n" localSheetId="3">[1]인문!#REF!</definedName>
    <definedName name="n" localSheetId="11">[1]인문!#REF!</definedName>
    <definedName name="n" localSheetId="6">[1]인문!#REF!</definedName>
    <definedName name="n" localSheetId="13">[2]인문!#REF!</definedName>
    <definedName name="n">[1]인문!#REF!</definedName>
    <definedName name="_xlnm.Print_Area" localSheetId="4">'3-10'!$A$1:$S$42</definedName>
    <definedName name="_xlnm.Print_Area" localSheetId="8">'3-2'!$A$1:$S$44</definedName>
    <definedName name="_xlnm.Print_Area" localSheetId="9">'3-3'!$A$1:$S$44</definedName>
    <definedName name="_xlnm.Print_Area" localSheetId="10">'3-4'!$A$1:$S$44</definedName>
    <definedName name="_xlnm.Print_Area" localSheetId="0">'3-6'!$A$1:$S$41</definedName>
    <definedName name="_xlnm.Print_Area" localSheetId="1">'3-7'!$A$1:$S$42</definedName>
    <definedName name="_xlnm.Print_Area" localSheetId="2">'3-8'!$A$1:$S$42</definedName>
    <definedName name="_xlnm.Print_Area" localSheetId="3">'3-9'!$A$1:$R$42</definedName>
    <definedName name="_xlnm.Print_Area" localSheetId="5">예상등급!$A$1:$E$27</definedName>
    <definedName name="_xlnm.Print_Area" localSheetId="6">예상점수!$A$1:$W$236</definedName>
  </definedNames>
  <calcPr calcId="191029"/>
</workbook>
</file>

<file path=xl/calcChain.xml><?xml version="1.0" encoding="utf-8"?>
<calcChain xmlns="http://schemas.openxmlformats.org/spreadsheetml/2006/main">
  <c r="L223" i="38" l="1"/>
  <c r="V223" i="38"/>
  <c r="V24" i="38"/>
  <c r="V116" i="38"/>
  <c r="V187" i="38"/>
  <c r="U66" i="38"/>
  <c r="U63" i="38"/>
  <c r="U44" i="38"/>
  <c r="U4" i="38"/>
  <c r="U183" i="38"/>
  <c r="U175" i="38"/>
  <c r="U188" i="38"/>
  <c r="U101" i="38"/>
  <c r="U79" i="38"/>
  <c r="U151" i="38"/>
  <c r="U117" i="38"/>
  <c r="U214" i="38"/>
  <c r="U122" i="38"/>
  <c r="U149" i="38"/>
  <c r="U198" i="38"/>
  <c r="U11" i="38"/>
  <c r="U18" i="38"/>
  <c r="U132" i="38"/>
  <c r="U43" i="38"/>
  <c r="U41" i="38"/>
  <c r="U73" i="38"/>
  <c r="U222" i="38"/>
  <c r="U92" i="38"/>
  <c r="U19" i="38"/>
  <c r="U225" i="38"/>
  <c r="U145" i="38"/>
  <c r="U208" i="38"/>
  <c r="U108" i="38"/>
  <c r="U48" i="38"/>
  <c r="U221" i="38"/>
  <c r="U185" i="38"/>
  <c r="U235" i="38"/>
  <c r="U77" i="38"/>
  <c r="U32" i="38"/>
  <c r="U233" i="38"/>
  <c r="U236" i="38"/>
  <c r="U227" i="38"/>
  <c r="U202" i="38"/>
  <c r="U103" i="38"/>
  <c r="U110" i="38"/>
  <c r="U95" i="38"/>
  <c r="U93" i="38"/>
  <c r="U224" i="38"/>
  <c r="U182" i="38"/>
  <c r="U54" i="38"/>
  <c r="U223" i="38"/>
  <c r="U75" i="38"/>
  <c r="U53" i="38"/>
  <c r="U129" i="38"/>
  <c r="U156" i="38"/>
  <c r="U118" i="38"/>
  <c r="U199" i="38"/>
  <c r="U83" i="38"/>
  <c r="U189" i="38"/>
  <c r="U138" i="38"/>
  <c r="U38" i="38"/>
  <c r="U119" i="38"/>
  <c r="U24" i="38"/>
  <c r="U23" i="38"/>
  <c r="U133" i="38"/>
  <c r="U8" i="38"/>
  <c r="U37" i="38"/>
  <c r="U148" i="38"/>
  <c r="U176" i="38"/>
  <c r="U67" i="38"/>
  <c r="U84" i="38"/>
  <c r="U30" i="38"/>
  <c r="U14" i="38"/>
  <c r="U112" i="38"/>
  <c r="U50" i="38"/>
  <c r="U6" i="38"/>
  <c r="U81" i="38"/>
  <c r="U146" i="38"/>
  <c r="U59" i="38"/>
  <c r="U144" i="38"/>
  <c r="U139" i="38"/>
  <c r="U7" i="38"/>
  <c r="U140" i="38"/>
  <c r="U96" i="38"/>
  <c r="U13" i="38"/>
  <c r="U166" i="38"/>
  <c r="U25" i="38"/>
  <c r="U60" i="38"/>
  <c r="U141" i="38"/>
  <c r="U64" i="38"/>
  <c r="U142" i="38"/>
  <c r="U162" i="38"/>
  <c r="U28" i="38"/>
  <c r="U186" i="38"/>
  <c r="U33" i="38"/>
  <c r="U105" i="38"/>
  <c r="U109" i="38"/>
  <c r="U76" i="38"/>
  <c r="U135" i="38"/>
  <c r="U203" i="38"/>
  <c r="U71" i="38"/>
  <c r="U226" i="38"/>
  <c r="U212" i="38"/>
  <c r="U153" i="38"/>
  <c r="U180" i="38"/>
  <c r="U217" i="38"/>
  <c r="U61" i="38"/>
  <c r="U158" i="38"/>
  <c r="U143" i="38"/>
  <c r="U12" i="38"/>
  <c r="U172" i="38"/>
  <c r="U163" i="38"/>
  <c r="U207" i="38"/>
  <c r="U56" i="38"/>
  <c r="U206" i="38"/>
  <c r="U157" i="38"/>
  <c r="U52" i="38"/>
  <c r="U94" i="38"/>
  <c r="U15" i="38"/>
  <c r="U195" i="38"/>
  <c r="U115" i="38"/>
  <c r="U72" i="38"/>
  <c r="U91" i="38"/>
  <c r="U49" i="38"/>
  <c r="U216" i="38"/>
  <c r="U39" i="38"/>
  <c r="U137" i="38"/>
  <c r="U62" i="38"/>
  <c r="U124" i="38"/>
  <c r="U218" i="38"/>
  <c r="U191" i="38"/>
  <c r="U20" i="38"/>
  <c r="U42" i="38"/>
  <c r="U68" i="38"/>
  <c r="U116" i="38"/>
  <c r="U159" i="38"/>
  <c r="U51" i="38"/>
  <c r="U111" i="38"/>
  <c r="U26" i="38"/>
  <c r="U35" i="38"/>
  <c r="U167" i="38"/>
  <c r="U192" i="38"/>
  <c r="U5" i="38"/>
  <c r="U102" i="38"/>
  <c r="U65" i="38"/>
  <c r="U113" i="38"/>
  <c r="U169" i="38"/>
  <c r="U120" i="38"/>
  <c r="U34" i="38"/>
  <c r="U78" i="38"/>
  <c r="U31" i="38"/>
  <c r="U21" i="38"/>
  <c r="U232" i="38"/>
  <c r="U160" i="38"/>
  <c r="U58" i="38"/>
  <c r="U134" i="38"/>
  <c r="U55" i="38"/>
  <c r="U40" i="38"/>
  <c r="U27" i="38"/>
  <c r="U9" i="38"/>
  <c r="U90" i="38"/>
  <c r="U164" i="38"/>
  <c r="U127" i="38"/>
  <c r="U215" i="38"/>
  <c r="U114" i="38"/>
  <c r="U200" i="38"/>
  <c r="U69" i="38"/>
  <c r="U190" i="38"/>
  <c r="U201" i="38"/>
  <c r="U177" i="38"/>
  <c r="U154" i="38"/>
  <c r="U174" i="38"/>
  <c r="U213" i="38"/>
  <c r="U106" i="38"/>
  <c r="U184" i="38"/>
  <c r="U17" i="38"/>
  <c r="U46" i="38"/>
  <c r="U98" i="38"/>
  <c r="U130" i="38"/>
  <c r="U209" i="38"/>
  <c r="U88" i="38"/>
  <c r="U220" i="38"/>
  <c r="U165" i="38"/>
  <c r="U97" i="38"/>
  <c r="U36" i="38"/>
  <c r="U123" i="38"/>
  <c r="U121" i="38"/>
  <c r="U211" i="38"/>
  <c r="U234" i="38"/>
  <c r="U178" i="38"/>
  <c r="U231" i="38"/>
  <c r="U173" i="38"/>
  <c r="U87" i="38"/>
  <c r="U197" i="38"/>
  <c r="U10" i="38"/>
  <c r="U170" i="38"/>
  <c r="U230" i="38"/>
  <c r="U150" i="38"/>
  <c r="U219" i="38"/>
  <c r="U147" i="38"/>
  <c r="U22" i="38"/>
  <c r="U99" i="38"/>
  <c r="U125" i="38"/>
  <c r="U161" i="38"/>
  <c r="U194" i="38"/>
  <c r="U16" i="38"/>
  <c r="U187" i="38"/>
  <c r="U100" i="38"/>
  <c r="U168" i="38"/>
  <c r="U45" i="38"/>
  <c r="U70" i="38"/>
  <c r="U181" i="38"/>
  <c r="U85" i="38"/>
  <c r="U155" i="38"/>
  <c r="U82" i="38"/>
  <c r="U136" i="38"/>
  <c r="U229" i="38"/>
  <c r="U86" i="38"/>
  <c r="U152" i="38"/>
  <c r="U89" i="38"/>
  <c r="U104" i="38"/>
  <c r="U196" i="38"/>
  <c r="U80" i="38"/>
  <c r="U179" i="38"/>
  <c r="U210" i="38"/>
  <c r="U204" i="38"/>
  <c r="U205" i="38"/>
  <c r="U228" i="38"/>
  <c r="U171" i="38"/>
  <c r="U57" i="38"/>
  <c r="U29" i="38"/>
  <c r="U128" i="38"/>
  <c r="U107" i="38"/>
  <c r="U126" i="38"/>
  <c r="U193" i="38"/>
  <c r="U47" i="38"/>
  <c r="U131" i="38"/>
  <c r="U74" i="38"/>
  <c r="S66" i="38"/>
  <c r="S63" i="38"/>
  <c r="S44" i="38"/>
  <c r="S4" i="38"/>
  <c r="S183" i="38"/>
  <c r="S175" i="38"/>
  <c r="S188" i="38"/>
  <c r="S101" i="38"/>
  <c r="S79" i="38"/>
  <c r="S151" i="38"/>
  <c r="S117" i="38"/>
  <c r="S214" i="38"/>
  <c r="S122" i="38"/>
  <c r="S149" i="38"/>
  <c r="S198" i="38"/>
  <c r="S11" i="38"/>
  <c r="S18" i="38"/>
  <c r="S132" i="38"/>
  <c r="S43" i="38"/>
  <c r="S41" i="38"/>
  <c r="S73" i="38"/>
  <c r="S222" i="38"/>
  <c r="S92" i="38"/>
  <c r="S19" i="38"/>
  <c r="S225" i="38"/>
  <c r="S145" i="38"/>
  <c r="S208" i="38"/>
  <c r="S108" i="38"/>
  <c r="S48" i="38"/>
  <c r="S221" i="38"/>
  <c r="S185" i="38"/>
  <c r="S235" i="38"/>
  <c r="S77" i="38"/>
  <c r="S32" i="38"/>
  <c r="S233" i="38"/>
  <c r="S236" i="38"/>
  <c r="S227" i="38"/>
  <c r="S202" i="38"/>
  <c r="S103" i="38"/>
  <c r="S110" i="38"/>
  <c r="S95" i="38"/>
  <c r="S93" i="38"/>
  <c r="S224" i="38"/>
  <c r="S182" i="38"/>
  <c r="S54" i="38"/>
  <c r="S223" i="38"/>
  <c r="S75" i="38"/>
  <c r="S53" i="38"/>
  <c r="S129" i="38"/>
  <c r="S156" i="38"/>
  <c r="S118" i="38"/>
  <c r="S199" i="38"/>
  <c r="S83" i="38"/>
  <c r="S189" i="38"/>
  <c r="S138" i="38"/>
  <c r="S38" i="38"/>
  <c r="S119" i="38"/>
  <c r="S24" i="38"/>
  <c r="S23" i="38"/>
  <c r="S133" i="38"/>
  <c r="S8" i="38"/>
  <c r="S37" i="38"/>
  <c r="S148" i="38"/>
  <c r="S176" i="38"/>
  <c r="S67" i="38"/>
  <c r="S84" i="38"/>
  <c r="S30" i="38"/>
  <c r="S14" i="38"/>
  <c r="S112" i="38"/>
  <c r="S50" i="38"/>
  <c r="S6" i="38"/>
  <c r="S81" i="38"/>
  <c r="S146" i="38"/>
  <c r="S59" i="38"/>
  <c r="S144" i="38"/>
  <c r="S139" i="38"/>
  <c r="S7" i="38"/>
  <c r="S140" i="38"/>
  <c r="S96" i="38"/>
  <c r="S13" i="38"/>
  <c r="S166" i="38"/>
  <c r="S25" i="38"/>
  <c r="S60" i="38"/>
  <c r="S141" i="38"/>
  <c r="S64" i="38"/>
  <c r="S142" i="38"/>
  <c r="S162" i="38"/>
  <c r="S28" i="38"/>
  <c r="S186" i="38"/>
  <c r="S33" i="38"/>
  <c r="S105" i="38"/>
  <c r="S109" i="38"/>
  <c r="S76" i="38"/>
  <c r="S135" i="38"/>
  <c r="S203" i="38"/>
  <c r="S71" i="38"/>
  <c r="S226" i="38"/>
  <c r="S212" i="38"/>
  <c r="S153" i="38"/>
  <c r="S180" i="38"/>
  <c r="S217" i="38"/>
  <c r="S61" i="38"/>
  <c r="S158" i="38"/>
  <c r="S143" i="38"/>
  <c r="S12" i="38"/>
  <c r="S172" i="38"/>
  <c r="S163" i="38"/>
  <c r="S207" i="38"/>
  <c r="S56" i="38"/>
  <c r="S206" i="38"/>
  <c r="S157" i="38"/>
  <c r="S52" i="38"/>
  <c r="S94" i="38"/>
  <c r="S15" i="38"/>
  <c r="S195" i="38"/>
  <c r="S115" i="38"/>
  <c r="S72" i="38"/>
  <c r="S91" i="38"/>
  <c r="S49" i="38"/>
  <c r="S216" i="38"/>
  <c r="S39" i="38"/>
  <c r="S137" i="38"/>
  <c r="S62" i="38"/>
  <c r="S124" i="38"/>
  <c r="S218" i="38"/>
  <c r="S191" i="38"/>
  <c r="S20" i="38"/>
  <c r="S42" i="38"/>
  <c r="S68" i="38"/>
  <c r="S116" i="38"/>
  <c r="S159" i="38"/>
  <c r="S51" i="38"/>
  <c r="S111" i="38"/>
  <c r="S26" i="38"/>
  <c r="S35" i="38"/>
  <c r="S167" i="38"/>
  <c r="S192" i="38"/>
  <c r="S5" i="38"/>
  <c r="S102" i="38"/>
  <c r="S65" i="38"/>
  <c r="S113" i="38"/>
  <c r="S169" i="38"/>
  <c r="S120" i="38"/>
  <c r="S34" i="38"/>
  <c r="S78" i="38"/>
  <c r="S31" i="38"/>
  <c r="S21" i="38"/>
  <c r="S232" i="38"/>
  <c r="S160" i="38"/>
  <c r="S58" i="38"/>
  <c r="S134" i="38"/>
  <c r="S55" i="38"/>
  <c r="S40" i="38"/>
  <c r="S27" i="38"/>
  <c r="S9" i="38"/>
  <c r="S90" i="38"/>
  <c r="S164" i="38"/>
  <c r="S127" i="38"/>
  <c r="S215" i="38"/>
  <c r="S114" i="38"/>
  <c r="S200" i="38"/>
  <c r="S69" i="38"/>
  <c r="S190" i="38"/>
  <c r="S201" i="38"/>
  <c r="S177" i="38"/>
  <c r="S154" i="38"/>
  <c r="S174" i="38"/>
  <c r="S213" i="38"/>
  <c r="S106" i="38"/>
  <c r="S184" i="38"/>
  <c r="S17" i="38"/>
  <c r="S46" i="38"/>
  <c r="S98" i="38"/>
  <c r="S130" i="38"/>
  <c r="S209" i="38"/>
  <c r="S88" i="38"/>
  <c r="S220" i="38"/>
  <c r="S165" i="38"/>
  <c r="S97" i="38"/>
  <c r="S36" i="38"/>
  <c r="S123" i="38"/>
  <c r="S121" i="38"/>
  <c r="S211" i="38"/>
  <c r="S234" i="38"/>
  <c r="S178" i="38"/>
  <c r="S231" i="38"/>
  <c r="S173" i="38"/>
  <c r="S87" i="38"/>
  <c r="S197" i="38"/>
  <c r="S10" i="38"/>
  <c r="S170" i="38"/>
  <c r="S230" i="38"/>
  <c r="S150" i="38"/>
  <c r="S219" i="38"/>
  <c r="S147" i="38"/>
  <c r="S22" i="38"/>
  <c r="S99" i="38"/>
  <c r="S125" i="38"/>
  <c r="S161" i="38"/>
  <c r="S194" i="38"/>
  <c r="S16" i="38"/>
  <c r="S187" i="38"/>
  <c r="S100" i="38"/>
  <c r="S168" i="38"/>
  <c r="S45" i="38"/>
  <c r="S70" i="38"/>
  <c r="S181" i="38"/>
  <c r="S85" i="38"/>
  <c r="S155" i="38"/>
  <c r="S82" i="38"/>
  <c r="S136" i="38"/>
  <c r="S229" i="38"/>
  <c r="S86" i="38"/>
  <c r="S152" i="38"/>
  <c r="S89" i="38"/>
  <c r="S104" i="38"/>
  <c r="S196" i="38"/>
  <c r="S80" i="38"/>
  <c r="S179" i="38"/>
  <c r="S210" i="38"/>
  <c r="S204" i="38"/>
  <c r="S205" i="38"/>
  <c r="S228" i="38"/>
  <c r="S171" i="38"/>
  <c r="S57" i="38"/>
  <c r="S29" i="38"/>
  <c r="S128" i="38"/>
  <c r="S107" i="38"/>
  <c r="S126" i="38"/>
  <c r="S193" i="38"/>
  <c r="S47" i="38"/>
  <c r="S131" i="38"/>
  <c r="S74" i="38"/>
  <c r="P66" i="38"/>
  <c r="P63" i="38"/>
  <c r="P44" i="38"/>
  <c r="P4" i="38"/>
  <c r="P183" i="38"/>
  <c r="P175" i="38"/>
  <c r="P188" i="38"/>
  <c r="P101" i="38"/>
  <c r="P79" i="38"/>
  <c r="P151" i="38"/>
  <c r="P117" i="38"/>
  <c r="P214" i="38"/>
  <c r="P122" i="38"/>
  <c r="P149" i="38"/>
  <c r="P198" i="38"/>
  <c r="P11" i="38"/>
  <c r="P18" i="38"/>
  <c r="P132" i="38"/>
  <c r="P43" i="38"/>
  <c r="P41" i="38"/>
  <c r="P73" i="38"/>
  <c r="P222" i="38"/>
  <c r="P92" i="38"/>
  <c r="P19" i="38"/>
  <c r="P225" i="38"/>
  <c r="P145" i="38"/>
  <c r="P208" i="38"/>
  <c r="P108" i="38"/>
  <c r="P48" i="38"/>
  <c r="P221" i="38"/>
  <c r="P185" i="38"/>
  <c r="P235" i="38"/>
  <c r="P77" i="38"/>
  <c r="P32" i="38"/>
  <c r="P233" i="38"/>
  <c r="P236" i="38"/>
  <c r="P227" i="38"/>
  <c r="P202" i="38"/>
  <c r="P103" i="38"/>
  <c r="P110" i="38"/>
  <c r="P95" i="38"/>
  <c r="P93" i="38"/>
  <c r="P224" i="38"/>
  <c r="P182" i="38"/>
  <c r="P54" i="38"/>
  <c r="P223" i="38"/>
  <c r="P75" i="38"/>
  <c r="P53" i="38"/>
  <c r="P129" i="38"/>
  <c r="P156" i="38"/>
  <c r="P118" i="38"/>
  <c r="P199" i="38"/>
  <c r="P83" i="38"/>
  <c r="P189" i="38"/>
  <c r="P138" i="38"/>
  <c r="P38" i="38"/>
  <c r="P119" i="38"/>
  <c r="P24" i="38"/>
  <c r="P23" i="38"/>
  <c r="P133" i="38"/>
  <c r="P8" i="38"/>
  <c r="P37" i="38"/>
  <c r="P148" i="38"/>
  <c r="P176" i="38"/>
  <c r="P67" i="38"/>
  <c r="P84" i="38"/>
  <c r="P30" i="38"/>
  <c r="P14" i="38"/>
  <c r="P112" i="38"/>
  <c r="P50" i="38"/>
  <c r="P6" i="38"/>
  <c r="P81" i="38"/>
  <c r="P146" i="38"/>
  <c r="P59" i="38"/>
  <c r="P144" i="38"/>
  <c r="P139" i="38"/>
  <c r="P7" i="38"/>
  <c r="P140" i="38"/>
  <c r="P96" i="38"/>
  <c r="P13" i="38"/>
  <c r="P166" i="38"/>
  <c r="P25" i="38"/>
  <c r="P60" i="38"/>
  <c r="P141" i="38"/>
  <c r="P64" i="38"/>
  <c r="P142" i="38"/>
  <c r="P162" i="38"/>
  <c r="P28" i="38"/>
  <c r="P186" i="38"/>
  <c r="P33" i="38"/>
  <c r="P105" i="38"/>
  <c r="P109" i="38"/>
  <c r="P76" i="38"/>
  <c r="P135" i="38"/>
  <c r="P203" i="38"/>
  <c r="P71" i="38"/>
  <c r="P226" i="38"/>
  <c r="P212" i="38"/>
  <c r="P153" i="38"/>
  <c r="P180" i="38"/>
  <c r="P217" i="38"/>
  <c r="P61" i="38"/>
  <c r="P158" i="38"/>
  <c r="P143" i="38"/>
  <c r="P12" i="38"/>
  <c r="P172" i="38"/>
  <c r="P163" i="38"/>
  <c r="P207" i="38"/>
  <c r="P56" i="38"/>
  <c r="P206" i="38"/>
  <c r="P157" i="38"/>
  <c r="P52" i="38"/>
  <c r="P94" i="38"/>
  <c r="P15" i="38"/>
  <c r="P195" i="38"/>
  <c r="P115" i="38"/>
  <c r="P72" i="38"/>
  <c r="P91" i="38"/>
  <c r="P49" i="38"/>
  <c r="P216" i="38"/>
  <c r="P39" i="38"/>
  <c r="P137" i="38"/>
  <c r="P62" i="38"/>
  <c r="P124" i="38"/>
  <c r="P218" i="38"/>
  <c r="P191" i="38"/>
  <c r="P20" i="38"/>
  <c r="P42" i="38"/>
  <c r="P68" i="38"/>
  <c r="P116" i="38"/>
  <c r="P159" i="38"/>
  <c r="P51" i="38"/>
  <c r="P111" i="38"/>
  <c r="P26" i="38"/>
  <c r="P35" i="38"/>
  <c r="P167" i="38"/>
  <c r="P192" i="38"/>
  <c r="P5" i="38"/>
  <c r="P102" i="38"/>
  <c r="P65" i="38"/>
  <c r="P113" i="38"/>
  <c r="P169" i="38"/>
  <c r="P120" i="38"/>
  <c r="P34" i="38"/>
  <c r="P78" i="38"/>
  <c r="P31" i="38"/>
  <c r="P21" i="38"/>
  <c r="P232" i="38"/>
  <c r="P160" i="38"/>
  <c r="P58" i="38"/>
  <c r="P134" i="38"/>
  <c r="P55" i="38"/>
  <c r="P40" i="38"/>
  <c r="P27" i="38"/>
  <c r="P9" i="38"/>
  <c r="P90" i="38"/>
  <c r="P164" i="38"/>
  <c r="P127" i="38"/>
  <c r="P215" i="38"/>
  <c r="P114" i="38"/>
  <c r="P200" i="38"/>
  <c r="P69" i="38"/>
  <c r="P190" i="38"/>
  <c r="P201" i="38"/>
  <c r="P177" i="38"/>
  <c r="P154" i="38"/>
  <c r="P174" i="38"/>
  <c r="P213" i="38"/>
  <c r="P106" i="38"/>
  <c r="P184" i="38"/>
  <c r="P17" i="38"/>
  <c r="P46" i="38"/>
  <c r="P98" i="38"/>
  <c r="P130" i="38"/>
  <c r="P209" i="38"/>
  <c r="P88" i="38"/>
  <c r="P220" i="38"/>
  <c r="P165" i="38"/>
  <c r="P97" i="38"/>
  <c r="P36" i="38"/>
  <c r="P123" i="38"/>
  <c r="P121" i="38"/>
  <c r="P211" i="38"/>
  <c r="P234" i="38"/>
  <c r="P178" i="38"/>
  <c r="P231" i="38"/>
  <c r="P173" i="38"/>
  <c r="P87" i="38"/>
  <c r="P197" i="38"/>
  <c r="P10" i="38"/>
  <c r="P170" i="38"/>
  <c r="P230" i="38"/>
  <c r="P150" i="38"/>
  <c r="P219" i="38"/>
  <c r="P147" i="38"/>
  <c r="P22" i="38"/>
  <c r="P99" i="38"/>
  <c r="P125" i="38"/>
  <c r="P161" i="38"/>
  <c r="P194" i="38"/>
  <c r="P16" i="38"/>
  <c r="P187" i="38"/>
  <c r="P100" i="38"/>
  <c r="P168" i="38"/>
  <c r="P45" i="38"/>
  <c r="P70" i="38"/>
  <c r="P181" i="38"/>
  <c r="P85" i="38"/>
  <c r="P155" i="38"/>
  <c r="P82" i="38"/>
  <c r="P136" i="38"/>
  <c r="P229" i="38"/>
  <c r="P86" i="38"/>
  <c r="P152" i="38"/>
  <c r="P89" i="38"/>
  <c r="P104" i="38"/>
  <c r="P196" i="38"/>
  <c r="P80" i="38"/>
  <c r="P179" i="38"/>
  <c r="P210" i="38"/>
  <c r="P204" i="38"/>
  <c r="P205" i="38"/>
  <c r="P228" i="38"/>
  <c r="P171" i="38"/>
  <c r="P57" i="38"/>
  <c r="P29" i="38"/>
  <c r="P128" i="38"/>
  <c r="P107" i="38"/>
  <c r="P126" i="38"/>
  <c r="P193" i="38"/>
  <c r="P47" i="38"/>
  <c r="P131" i="38"/>
  <c r="P74" i="38"/>
  <c r="L66" i="38"/>
  <c r="V66" i="38" s="1"/>
  <c r="L63" i="38"/>
  <c r="V63" i="38" s="1"/>
  <c r="L44" i="38"/>
  <c r="V44" i="38" s="1"/>
  <c r="L4" i="38"/>
  <c r="V4" i="38" s="1"/>
  <c r="L183" i="38"/>
  <c r="V183" i="38" s="1"/>
  <c r="L175" i="38"/>
  <c r="V175" i="38" s="1"/>
  <c r="L188" i="38"/>
  <c r="V188" i="38" s="1"/>
  <c r="L101" i="38"/>
  <c r="V101" i="38" s="1"/>
  <c r="L79" i="38"/>
  <c r="V79" i="38" s="1"/>
  <c r="L151" i="38"/>
  <c r="V151" i="38" s="1"/>
  <c r="L117" i="38"/>
  <c r="V117" i="38" s="1"/>
  <c r="L214" i="38"/>
  <c r="L122" i="38"/>
  <c r="V122" i="38" s="1"/>
  <c r="L149" i="38"/>
  <c r="V149" i="38" s="1"/>
  <c r="L198" i="38"/>
  <c r="V198" i="38" s="1"/>
  <c r="L11" i="38"/>
  <c r="V11" i="38" s="1"/>
  <c r="L18" i="38"/>
  <c r="V18" i="38" s="1"/>
  <c r="L132" i="38"/>
  <c r="V132" i="38" s="1"/>
  <c r="L43" i="38"/>
  <c r="V43" i="38" s="1"/>
  <c r="L41" i="38"/>
  <c r="V41" i="38" s="1"/>
  <c r="L73" i="38"/>
  <c r="V73" i="38" s="1"/>
  <c r="L222" i="38"/>
  <c r="V222" i="38" s="1"/>
  <c r="L92" i="38"/>
  <c r="V92" i="38" s="1"/>
  <c r="L19" i="38"/>
  <c r="L225" i="38"/>
  <c r="V225" i="38" s="1"/>
  <c r="L145" i="38"/>
  <c r="V145" i="38" s="1"/>
  <c r="L208" i="38"/>
  <c r="V208" i="38" s="1"/>
  <c r="L108" i="38"/>
  <c r="V108" i="38" s="1"/>
  <c r="L48" i="38"/>
  <c r="V48" i="38" s="1"/>
  <c r="L221" i="38"/>
  <c r="V221" i="38" s="1"/>
  <c r="L185" i="38"/>
  <c r="V185" i="38" s="1"/>
  <c r="L235" i="38"/>
  <c r="V235" i="38" s="1"/>
  <c r="L77" i="38"/>
  <c r="V77" i="38" s="1"/>
  <c r="L32" i="38"/>
  <c r="V32" i="38" s="1"/>
  <c r="L233" i="38"/>
  <c r="V233" i="38" s="1"/>
  <c r="L236" i="38"/>
  <c r="L227" i="38"/>
  <c r="V227" i="38" s="1"/>
  <c r="L202" i="38"/>
  <c r="V202" i="38" s="1"/>
  <c r="L103" i="38"/>
  <c r="V103" i="38" s="1"/>
  <c r="L110" i="38"/>
  <c r="V110" i="38" s="1"/>
  <c r="L95" i="38"/>
  <c r="V95" i="38" s="1"/>
  <c r="L93" i="38"/>
  <c r="V93" i="38" s="1"/>
  <c r="L224" i="38"/>
  <c r="V224" i="38" s="1"/>
  <c r="L182" i="38"/>
  <c r="V182" i="38" s="1"/>
  <c r="L54" i="38"/>
  <c r="V54" i="38" s="1"/>
  <c r="L75" i="38"/>
  <c r="V75" i="38" s="1"/>
  <c r="L53" i="38"/>
  <c r="L129" i="38"/>
  <c r="V129" i="38" s="1"/>
  <c r="L156" i="38"/>
  <c r="V156" i="38" s="1"/>
  <c r="L118" i="38"/>
  <c r="V118" i="38" s="1"/>
  <c r="L199" i="38"/>
  <c r="V199" i="38" s="1"/>
  <c r="L83" i="38"/>
  <c r="V83" i="38" s="1"/>
  <c r="L189" i="38"/>
  <c r="V189" i="38" s="1"/>
  <c r="L138" i="38"/>
  <c r="V138" i="38" s="1"/>
  <c r="L38" i="38"/>
  <c r="V38" i="38" s="1"/>
  <c r="L119" i="38"/>
  <c r="V119" i="38" s="1"/>
  <c r="L24" i="38"/>
  <c r="L23" i="38"/>
  <c r="V23" i="38" s="1"/>
  <c r="L133" i="38"/>
  <c r="L8" i="38"/>
  <c r="V8" i="38" s="1"/>
  <c r="L37" i="38"/>
  <c r="V37" i="38" s="1"/>
  <c r="L148" i="38"/>
  <c r="V148" i="38" s="1"/>
  <c r="L176" i="38"/>
  <c r="V176" i="38" s="1"/>
  <c r="L67" i="38"/>
  <c r="V67" i="38" s="1"/>
  <c r="L84" i="38"/>
  <c r="V84" i="38" s="1"/>
  <c r="L30" i="38"/>
  <c r="V30" i="38" s="1"/>
  <c r="L14" i="38"/>
  <c r="V14" i="38" s="1"/>
  <c r="L112" i="38"/>
  <c r="V112" i="38" s="1"/>
  <c r="L50" i="38"/>
  <c r="V50" i="38" s="1"/>
  <c r="L6" i="38"/>
  <c r="V6" i="38" s="1"/>
  <c r="L81" i="38"/>
  <c r="L146" i="38"/>
  <c r="V146" i="38" s="1"/>
  <c r="L59" i="38"/>
  <c r="V59" i="38" s="1"/>
  <c r="L144" i="38"/>
  <c r="V144" i="38" s="1"/>
  <c r="L139" i="38"/>
  <c r="V139" i="38" s="1"/>
  <c r="L7" i="38"/>
  <c r="V7" i="38" s="1"/>
  <c r="L140" i="38"/>
  <c r="V140" i="38" s="1"/>
  <c r="L96" i="38"/>
  <c r="V96" i="38" s="1"/>
  <c r="L13" i="38"/>
  <c r="V13" i="38" s="1"/>
  <c r="L166" i="38"/>
  <c r="V166" i="38" s="1"/>
  <c r="L25" i="38"/>
  <c r="V25" i="38" s="1"/>
  <c r="L60" i="38"/>
  <c r="V60" i="38" s="1"/>
  <c r="L141" i="38"/>
  <c r="L64" i="38"/>
  <c r="V64" i="38" s="1"/>
  <c r="L142" i="38"/>
  <c r="V142" i="38" s="1"/>
  <c r="L162" i="38"/>
  <c r="V162" i="38" s="1"/>
  <c r="L28" i="38"/>
  <c r="V28" i="38" s="1"/>
  <c r="L186" i="38"/>
  <c r="V186" i="38" s="1"/>
  <c r="L33" i="38"/>
  <c r="V33" i="38" s="1"/>
  <c r="L105" i="38"/>
  <c r="V105" i="38" s="1"/>
  <c r="L109" i="38"/>
  <c r="V109" i="38" s="1"/>
  <c r="L76" i="38"/>
  <c r="V76" i="38" s="1"/>
  <c r="L135" i="38"/>
  <c r="V135" i="38" s="1"/>
  <c r="L203" i="38"/>
  <c r="V203" i="38" s="1"/>
  <c r="L71" i="38"/>
  <c r="L226" i="38"/>
  <c r="V226" i="38" s="1"/>
  <c r="L212" i="38"/>
  <c r="V212" i="38" s="1"/>
  <c r="L153" i="38"/>
  <c r="V153" i="38" s="1"/>
  <c r="L180" i="38"/>
  <c r="V180" i="38" s="1"/>
  <c r="L217" i="38"/>
  <c r="V217" i="38" s="1"/>
  <c r="L61" i="38"/>
  <c r="V61" i="38" s="1"/>
  <c r="L158" i="38"/>
  <c r="V158" i="38" s="1"/>
  <c r="L143" i="38"/>
  <c r="V143" i="38" s="1"/>
  <c r="L12" i="38"/>
  <c r="V12" i="38" s="1"/>
  <c r="L172" i="38"/>
  <c r="V172" i="38" s="1"/>
  <c r="L163" i="38"/>
  <c r="V163" i="38" s="1"/>
  <c r="L207" i="38"/>
  <c r="L56" i="38"/>
  <c r="V56" i="38" s="1"/>
  <c r="L206" i="38"/>
  <c r="V206" i="38" s="1"/>
  <c r="L157" i="38"/>
  <c r="V157" i="38" s="1"/>
  <c r="L52" i="38"/>
  <c r="V52" i="38" s="1"/>
  <c r="L94" i="38"/>
  <c r="V94" i="38" s="1"/>
  <c r="L15" i="38"/>
  <c r="V15" i="38" s="1"/>
  <c r="L195" i="38"/>
  <c r="V195" i="38" s="1"/>
  <c r="L115" i="38"/>
  <c r="V115" i="38" s="1"/>
  <c r="L72" i="38"/>
  <c r="V72" i="38" s="1"/>
  <c r="L91" i="38"/>
  <c r="V91" i="38" s="1"/>
  <c r="L49" i="38"/>
  <c r="V49" i="38" s="1"/>
  <c r="L216" i="38"/>
  <c r="L39" i="38"/>
  <c r="V39" i="38" s="1"/>
  <c r="L137" i="38"/>
  <c r="V137" i="38" s="1"/>
  <c r="L62" i="38"/>
  <c r="V62" i="38" s="1"/>
  <c r="L124" i="38"/>
  <c r="V124" i="38" s="1"/>
  <c r="L218" i="38"/>
  <c r="V218" i="38" s="1"/>
  <c r="L191" i="38"/>
  <c r="V191" i="38" s="1"/>
  <c r="L20" i="38"/>
  <c r="V20" i="38" s="1"/>
  <c r="L42" i="38"/>
  <c r="V42" i="38" s="1"/>
  <c r="L68" i="38"/>
  <c r="V68" i="38" s="1"/>
  <c r="L116" i="38"/>
  <c r="L159" i="38"/>
  <c r="V159" i="38" s="1"/>
  <c r="L51" i="38"/>
  <c r="L111" i="38"/>
  <c r="V111" i="38" s="1"/>
  <c r="L26" i="38"/>
  <c r="V26" i="38" s="1"/>
  <c r="L35" i="38"/>
  <c r="V35" i="38" s="1"/>
  <c r="L167" i="38"/>
  <c r="V167" i="38" s="1"/>
  <c r="L192" i="38"/>
  <c r="V192" i="38" s="1"/>
  <c r="L5" i="38"/>
  <c r="V5" i="38" s="1"/>
  <c r="L102" i="38"/>
  <c r="V102" i="38" s="1"/>
  <c r="L65" i="38"/>
  <c r="V65" i="38" s="1"/>
  <c r="L113" i="38"/>
  <c r="V113" i="38" s="1"/>
  <c r="L169" i="38"/>
  <c r="V169" i="38" s="1"/>
  <c r="L120" i="38"/>
  <c r="V120" i="38" s="1"/>
  <c r="L34" i="38"/>
  <c r="L78" i="38"/>
  <c r="V78" i="38" s="1"/>
  <c r="L31" i="38"/>
  <c r="V31" i="38" s="1"/>
  <c r="L21" i="38"/>
  <c r="V21" i="38" s="1"/>
  <c r="L232" i="38"/>
  <c r="V232" i="38" s="1"/>
  <c r="L160" i="38"/>
  <c r="V160" i="38" s="1"/>
  <c r="L58" i="38"/>
  <c r="V58" i="38" s="1"/>
  <c r="L134" i="38"/>
  <c r="V134" i="38" s="1"/>
  <c r="L55" i="38"/>
  <c r="V55" i="38" s="1"/>
  <c r="L40" i="38"/>
  <c r="V40" i="38" s="1"/>
  <c r="L27" i="38"/>
  <c r="V27" i="38" s="1"/>
  <c r="L9" i="38"/>
  <c r="V9" i="38" s="1"/>
  <c r="L90" i="38"/>
  <c r="L164" i="38"/>
  <c r="V164" i="38" s="1"/>
  <c r="L127" i="38"/>
  <c r="V127" i="38" s="1"/>
  <c r="L215" i="38"/>
  <c r="V215" i="38" s="1"/>
  <c r="L114" i="38"/>
  <c r="V114" i="38" s="1"/>
  <c r="L200" i="38"/>
  <c r="V200" i="38" s="1"/>
  <c r="L69" i="38"/>
  <c r="V69" i="38" s="1"/>
  <c r="L190" i="38"/>
  <c r="V190" i="38" s="1"/>
  <c r="L201" i="38"/>
  <c r="V201" i="38" s="1"/>
  <c r="L177" i="38"/>
  <c r="V177" i="38" s="1"/>
  <c r="L154" i="38"/>
  <c r="V154" i="38" s="1"/>
  <c r="L174" i="38"/>
  <c r="V174" i="38" s="1"/>
  <c r="L213" i="38"/>
  <c r="L106" i="38"/>
  <c r="V106" i="38" s="1"/>
  <c r="L184" i="38"/>
  <c r="V184" i="38" s="1"/>
  <c r="L17" i="38"/>
  <c r="V17" i="38" s="1"/>
  <c r="L46" i="38"/>
  <c r="V46" i="38" s="1"/>
  <c r="L98" i="38"/>
  <c r="V98" i="38" s="1"/>
  <c r="L130" i="38"/>
  <c r="V130" i="38" s="1"/>
  <c r="L209" i="38"/>
  <c r="V209" i="38" s="1"/>
  <c r="L88" i="38"/>
  <c r="V88" i="38" s="1"/>
  <c r="L220" i="38"/>
  <c r="V220" i="38" s="1"/>
  <c r="L165" i="38"/>
  <c r="V165" i="38" s="1"/>
  <c r="L97" i="38"/>
  <c r="V97" i="38" s="1"/>
  <c r="L36" i="38"/>
  <c r="L123" i="38"/>
  <c r="V123" i="38" s="1"/>
  <c r="L121" i="38"/>
  <c r="V121" i="38" s="1"/>
  <c r="L211" i="38"/>
  <c r="V211" i="38" s="1"/>
  <c r="L234" i="38"/>
  <c r="V234" i="38" s="1"/>
  <c r="L178" i="38"/>
  <c r="V178" i="38" s="1"/>
  <c r="L231" i="38"/>
  <c r="V231" i="38" s="1"/>
  <c r="L173" i="38"/>
  <c r="V173" i="38" s="1"/>
  <c r="L87" i="38"/>
  <c r="V87" i="38" s="1"/>
  <c r="L197" i="38"/>
  <c r="V197" i="38" s="1"/>
  <c r="L10" i="38"/>
  <c r="V10" i="38" s="1"/>
  <c r="L170" i="38"/>
  <c r="V170" i="38" s="1"/>
  <c r="L230" i="38"/>
  <c r="L150" i="38"/>
  <c r="V150" i="38" s="1"/>
  <c r="L219" i="38"/>
  <c r="V219" i="38" s="1"/>
  <c r="L147" i="38"/>
  <c r="V147" i="38" s="1"/>
  <c r="L22" i="38"/>
  <c r="V22" i="38" s="1"/>
  <c r="L99" i="38"/>
  <c r="V99" i="38" s="1"/>
  <c r="L125" i="38"/>
  <c r="V125" i="38" s="1"/>
  <c r="L161" i="38"/>
  <c r="V161" i="38" s="1"/>
  <c r="L194" i="38"/>
  <c r="V194" i="38" s="1"/>
  <c r="L16" i="38"/>
  <c r="V16" i="38" s="1"/>
  <c r="L187" i="38"/>
  <c r="L100" i="38"/>
  <c r="V100" i="38" s="1"/>
  <c r="L168" i="38"/>
  <c r="L45" i="38"/>
  <c r="V45" i="38" s="1"/>
  <c r="L70" i="38"/>
  <c r="V70" i="38" s="1"/>
  <c r="L181" i="38"/>
  <c r="V181" i="38" s="1"/>
  <c r="L85" i="38"/>
  <c r="V85" i="38" s="1"/>
  <c r="L155" i="38"/>
  <c r="V155" i="38" s="1"/>
  <c r="L82" i="38"/>
  <c r="V82" i="38" s="1"/>
  <c r="L136" i="38"/>
  <c r="V136" i="38" s="1"/>
  <c r="L229" i="38"/>
  <c r="V229" i="38" s="1"/>
  <c r="L86" i="38"/>
  <c r="V86" i="38" s="1"/>
  <c r="L152" i="38"/>
  <c r="V152" i="38" s="1"/>
  <c r="L89" i="38"/>
  <c r="V89" i="38" s="1"/>
  <c r="L104" i="38"/>
  <c r="L196" i="38"/>
  <c r="V196" i="38" s="1"/>
  <c r="L80" i="38"/>
  <c r="V80" i="38" s="1"/>
  <c r="L179" i="38"/>
  <c r="V179" i="38" s="1"/>
  <c r="L210" i="38"/>
  <c r="V210" i="38" s="1"/>
  <c r="L204" i="38"/>
  <c r="V204" i="38" s="1"/>
  <c r="L205" i="38"/>
  <c r="V205" i="38" s="1"/>
  <c r="L228" i="38"/>
  <c r="V228" i="38" s="1"/>
  <c r="L171" i="38"/>
  <c r="V171" i="38" s="1"/>
  <c r="L57" i="38"/>
  <c r="V57" i="38" s="1"/>
  <c r="L29" i="38"/>
  <c r="V29" i="38" s="1"/>
  <c r="L128" i="38"/>
  <c r="V128" i="38" s="1"/>
  <c r="L107" i="38"/>
  <c r="L126" i="38"/>
  <c r="V126" i="38" s="1"/>
  <c r="L193" i="38"/>
  <c r="V193" i="38" s="1"/>
  <c r="L47" i="38"/>
  <c r="V47" i="38" s="1"/>
  <c r="L131" i="38"/>
  <c r="V131" i="38" s="1"/>
  <c r="L74" i="38"/>
  <c r="K66" i="38"/>
  <c r="K63" i="38"/>
  <c r="K44" i="38"/>
  <c r="K4" i="38"/>
  <c r="K183" i="38"/>
  <c r="K175" i="38"/>
  <c r="K188" i="38"/>
  <c r="K101" i="38"/>
  <c r="K79" i="38"/>
  <c r="K151" i="38"/>
  <c r="K117" i="38"/>
  <c r="K214" i="38"/>
  <c r="K122" i="38"/>
  <c r="K149" i="38"/>
  <c r="K198" i="38"/>
  <c r="K11" i="38"/>
  <c r="K18" i="38"/>
  <c r="K132" i="38"/>
  <c r="K43" i="38"/>
  <c r="K41" i="38"/>
  <c r="K73" i="38"/>
  <c r="K222" i="38"/>
  <c r="K92" i="38"/>
  <c r="K19" i="38"/>
  <c r="K225" i="38"/>
  <c r="K145" i="38"/>
  <c r="K208" i="38"/>
  <c r="K108" i="38"/>
  <c r="K48" i="38"/>
  <c r="K221" i="38"/>
  <c r="K185" i="38"/>
  <c r="K235" i="38"/>
  <c r="K77" i="38"/>
  <c r="K32" i="38"/>
  <c r="K233" i="38"/>
  <c r="K236" i="38"/>
  <c r="K227" i="38"/>
  <c r="K202" i="38"/>
  <c r="K103" i="38"/>
  <c r="K110" i="38"/>
  <c r="K95" i="38"/>
  <c r="K93" i="38"/>
  <c r="K224" i="38"/>
  <c r="K182" i="38"/>
  <c r="K54" i="38"/>
  <c r="K223" i="38"/>
  <c r="K75" i="38"/>
  <c r="K53" i="38"/>
  <c r="K129" i="38"/>
  <c r="K156" i="38"/>
  <c r="K118" i="38"/>
  <c r="K199" i="38"/>
  <c r="K83" i="38"/>
  <c r="K189" i="38"/>
  <c r="K138" i="38"/>
  <c r="K38" i="38"/>
  <c r="K119" i="38"/>
  <c r="K24" i="38"/>
  <c r="K23" i="38"/>
  <c r="K133" i="38"/>
  <c r="K8" i="38"/>
  <c r="K37" i="38"/>
  <c r="K148" i="38"/>
  <c r="K176" i="38"/>
  <c r="K67" i="38"/>
  <c r="K84" i="38"/>
  <c r="K30" i="38"/>
  <c r="K14" i="38"/>
  <c r="K112" i="38"/>
  <c r="K50" i="38"/>
  <c r="K6" i="38"/>
  <c r="K81" i="38"/>
  <c r="K146" i="38"/>
  <c r="K59" i="38"/>
  <c r="K144" i="38"/>
  <c r="K139" i="38"/>
  <c r="K7" i="38"/>
  <c r="K140" i="38"/>
  <c r="K96" i="38"/>
  <c r="K13" i="38"/>
  <c r="K166" i="38"/>
  <c r="K25" i="38"/>
  <c r="K60" i="38"/>
  <c r="K141" i="38"/>
  <c r="K64" i="38"/>
  <c r="K142" i="38"/>
  <c r="K162" i="38"/>
  <c r="K28" i="38"/>
  <c r="K186" i="38"/>
  <c r="K33" i="38"/>
  <c r="K105" i="38"/>
  <c r="K109" i="38"/>
  <c r="K76" i="38"/>
  <c r="K135" i="38"/>
  <c r="K203" i="38"/>
  <c r="K71" i="38"/>
  <c r="K226" i="38"/>
  <c r="K212" i="38"/>
  <c r="K153" i="38"/>
  <c r="K180" i="38"/>
  <c r="K217" i="38"/>
  <c r="K61" i="38"/>
  <c r="K158" i="38"/>
  <c r="K143" i="38"/>
  <c r="K12" i="38"/>
  <c r="K172" i="38"/>
  <c r="K163" i="38"/>
  <c r="K207" i="38"/>
  <c r="K56" i="38"/>
  <c r="K206" i="38"/>
  <c r="K157" i="38"/>
  <c r="K52" i="38"/>
  <c r="K94" i="38"/>
  <c r="K15" i="38"/>
  <c r="K195" i="38"/>
  <c r="K115" i="38"/>
  <c r="K72" i="38"/>
  <c r="K91" i="38"/>
  <c r="K49" i="38"/>
  <c r="K216" i="38"/>
  <c r="K39" i="38"/>
  <c r="K137" i="38"/>
  <c r="K62" i="38"/>
  <c r="K124" i="38"/>
  <c r="K218" i="38"/>
  <c r="K191" i="38"/>
  <c r="K20" i="38"/>
  <c r="K42" i="38"/>
  <c r="K68" i="38"/>
  <c r="K116" i="38"/>
  <c r="K159" i="38"/>
  <c r="K51" i="38"/>
  <c r="K111" i="38"/>
  <c r="K26" i="38"/>
  <c r="K35" i="38"/>
  <c r="K167" i="38"/>
  <c r="K192" i="38"/>
  <c r="K5" i="38"/>
  <c r="K102" i="38"/>
  <c r="K65" i="38"/>
  <c r="K113" i="38"/>
  <c r="K169" i="38"/>
  <c r="K120" i="38"/>
  <c r="K34" i="38"/>
  <c r="K78" i="38"/>
  <c r="K31" i="38"/>
  <c r="K21" i="38"/>
  <c r="K232" i="38"/>
  <c r="K160" i="38"/>
  <c r="K58" i="38"/>
  <c r="K134" i="38"/>
  <c r="K55" i="38"/>
  <c r="K40" i="38"/>
  <c r="K27" i="38"/>
  <c r="K9" i="38"/>
  <c r="K90" i="38"/>
  <c r="K164" i="38"/>
  <c r="K127" i="38"/>
  <c r="K215" i="38"/>
  <c r="K114" i="38"/>
  <c r="K200" i="38"/>
  <c r="K69" i="38"/>
  <c r="K190" i="38"/>
  <c r="K201" i="38"/>
  <c r="K177" i="38"/>
  <c r="K154" i="38"/>
  <c r="K174" i="38"/>
  <c r="K213" i="38"/>
  <c r="K106" i="38"/>
  <c r="K184" i="38"/>
  <c r="K17" i="38"/>
  <c r="K46" i="38"/>
  <c r="K98" i="38"/>
  <c r="K130" i="38"/>
  <c r="K209" i="38"/>
  <c r="K88" i="38"/>
  <c r="K220" i="38"/>
  <c r="K165" i="38"/>
  <c r="K97" i="38"/>
  <c r="K36" i="38"/>
  <c r="K123" i="38"/>
  <c r="K121" i="38"/>
  <c r="K211" i="38"/>
  <c r="K234" i="38"/>
  <c r="K178" i="38"/>
  <c r="K231" i="38"/>
  <c r="K173" i="38"/>
  <c r="K87" i="38"/>
  <c r="K197" i="38"/>
  <c r="K10" i="38"/>
  <c r="K170" i="38"/>
  <c r="K230" i="38"/>
  <c r="K150" i="38"/>
  <c r="K219" i="38"/>
  <c r="K147" i="38"/>
  <c r="K22" i="38"/>
  <c r="K99" i="38"/>
  <c r="K125" i="38"/>
  <c r="K161" i="38"/>
  <c r="K194" i="38"/>
  <c r="K16" i="38"/>
  <c r="K187" i="38"/>
  <c r="K100" i="38"/>
  <c r="K168" i="38"/>
  <c r="K45" i="38"/>
  <c r="K70" i="38"/>
  <c r="K181" i="38"/>
  <c r="K85" i="38"/>
  <c r="K155" i="38"/>
  <c r="K82" i="38"/>
  <c r="K136" i="38"/>
  <c r="K229" i="38"/>
  <c r="K86" i="38"/>
  <c r="K152" i="38"/>
  <c r="K89" i="38"/>
  <c r="K104" i="38"/>
  <c r="K196" i="38"/>
  <c r="K80" i="38"/>
  <c r="K179" i="38"/>
  <c r="K210" i="38"/>
  <c r="K204" i="38"/>
  <c r="K205" i="38"/>
  <c r="K228" i="38"/>
  <c r="K171" i="38"/>
  <c r="K57" i="38"/>
  <c r="K29" i="38"/>
  <c r="K128" i="38"/>
  <c r="K107" i="38"/>
  <c r="K126" i="38"/>
  <c r="K193" i="38"/>
  <c r="K47" i="38"/>
  <c r="K131" i="38"/>
  <c r="I66" i="38"/>
  <c r="I63" i="38"/>
  <c r="I44" i="38"/>
  <c r="I4" i="38"/>
  <c r="I183" i="38"/>
  <c r="I175" i="38"/>
  <c r="I188" i="38"/>
  <c r="I101" i="38"/>
  <c r="I79" i="38"/>
  <c r="I151" i="38"/>
  <c r="I117" i="38"/>
  <c r="I214" i="38"/>
  <c r="I122" i="38"/>
  <c r="I149" i="38"/>
  <c r="I198" i="38"/>
  <c r="I11" i="38"/>
  <c r="I18" i="38"/>
  <c r="I132" i="38"/>
  <c r="I43" i="38"/>
  <c r="I41" i="38"/>
  <c r="I73" i="38"/>
  <c r="I222" i="38"/>
  <c r="I92" i="38"/>
  <c r="I19" i="38"/>
  <c r="I225" i="38"/>
  <c r="I145" i="38"/>
  <c r="I208" i="38"/>
  <c r="I108" i="38"/>
  <c r="I48" i="38"/>
  <c r="I221" i="38"/>
  <c r="I185" i="38"/>
  <c r="I235" i="38"/>
  <c r="I77" i="38"/>
  <c r="I32" i="38"/>
  <c r="I233" i="38"/>
  <c r="I236" i="38"/>
  <c r="I227" i="38"/>
  <c r="I202" i="38"/>
  <c r="I103" i="38"/>
  <c r="I110" i="38"/>
  <c r="I95" i="38"/>
  <c r="I93" i="38"/>
  <c r="I224" i="38"/>
  <c r="I182" i="38"/>
  <c r="I54" i="38"/>
  <c r="I223" i="38"/>
  <c r="I75" i="38"/>
  <c r="I53" i="38"/>
  <c r="I129" i="38"/>
  <c r="I156" i="38"/>
  <c r="I118" i="38"/>
  <c r="I199" i="38"/>
  <c r="I83" i="38"/>
  <c r="I189" i="38"/>
  <c r="I138" i="38"/>
  <c r="I38" i="38"/>
  <c r="I119" i="38"/>
  <c r="I24" i="38"/>
  <c r="I23" i="38"/>
  <c r="I133" i="38"/>
  <c r="I8" i="38"/>
  <c r="I37" i="38"/>
  <c r="I148" i="38"/>
  <c r="I176" i="38"/>
  <c r="I67" i="38"/>
  <c r="I84" i="38"/>
  <c r="I30" i="38"/>
  <c r="I14" i="38"/>
  <c r="I112" i="38"/>
  <c r="I50" i="38"/>
  <c r="I6" i="38"/>
  <c r="I81" i="38"/>
  <c r="I146" i="38"/>
  <c r="I59" i="38"/>
  <c r="I144" i="38"/>
  <c r="I139" i="38"/>
  <c r="I7" i="38"/>
  <c r="I140" i="38"/>
  <c r="I96" i="38"/>
  <c r="I13" i="38"/>
  <c r="I166" i="38"/>
  <c r="I25" i="38"/>
  <c r="I60" i="38"/>
  <c r="I141" i="38"/>
  <c r="I64" i="38"/>
  <c r="I142" i="38"/>
  <c r="I162" i="38"/>
  <c r="I28" i="38"/>
  <c r="I186" i="38"/>
  <c r="I33" i="38"/>
  <c r="I105" i="38"/>
  <c r="I109" i="38"/>
  <c r="I76" i="38"/>
  <c r="I135" i="38"/>
  <c r="I203" i="38"/>
  <c r="I71" i="38"/>
  <c r="I226" i="38"/>
  <c r="I212" i="38"/>
  <c r="I153" i="38"/>
  <c r="I180" i="38"/>
  <c r="I217" i="38"/>
  <c r="I61" i="38"/>
  <c r="I158" i="38"/>
  <c r="I143" i="38"/>
  <c r="I12" i="38"/>
  <c r="I172" i="38"/>
  <c r="I163" i="38"/>
  <c r="I207" i="38"/>
  <c r="I56" i="38"/>
  <c r="I206" i="38"/>
  <c r="I157" i="38"/>
  <c r="I52" i="38"/>
  <c r="I94" i="38"/>
  <c r="I15" i="38"/>
  <c r="I195" i="38"/>
  <c r="I115" i="38"/>
  <c r="I72" i="38"/>
  <c r="I91" i="38"/>
  <c r="I49" i="38"/>
  <c r="I216" i="38"/>
  <c r="I39" i="38"/>
  <c r="I137" i="38"/>
  <c r="I62" i="38"/>
  <c r="I124" i="38"/>
  <c r="I218" i="38"/>
  <c r="I191" i="38"/>
  <c r="I20" i="38"/>
  <c r="I42" i="38"/>
  <c r="I68" i="38"/>
  <c r="I116" i="38"/>
  <c r="I159" i="38"/>
  <c r="I51" i="38"/>
  <c r="I111" i="38"/>
  <c r="I26" i="38"/>
  <c r="I35" i="38"/>
  <c r="I167" i="38"/>
  <c r="I192" i="38"/>
  <c r="I5" i="38"/>
  <c r="I102" i="38"/>
  <c r="I65" i="38"/>
  <c r="I113" i="38"/>
  <c r="I169" i="38"/>
  <c r="I120" i="38"/>
  <c r="I34" i="38"/>
  <c r="I78" i="38"/>
  <c r="I31" i="38"/>
  <c r="I21" i="38"/>
  <c r="I232" i="38"/>
  <c r="I160" i="38"/>
  <c r="I58" i="38"/>
  <c r="I134" i="38"/>
  <c r="I55" i="38"/>
  <c r="I40" i="38"/>
  <c r="I27" i="38"/>
  <c r="I9" i="38"/>
  <c r="I90" i="38"/>
  <c r="I164" i="38"/>
  <c r="I127" i="38"/>
  <c r="I215" i="38"/>
  <c r="I114" i="38"/>
  <c r="I200" i="38"/>
  <c r="I69" i="38"/>
  <c r="I190" i="38"/>
  <c r="I201" i="38"/>
  <c r="I177" i="38"/>
  <c r="I154" i="38"/>
  <c r="I174" i="38"/>
  <c r="I213" i="38"/>
  <c r="I106" i="38"/>
  <c r="I184" i="38"/>
  <c r="I17" i="38"/>
  <c r="I46" i="38"/>
  <c r="I98" i="38"/>
  <c r="I130" i="38"/>
  <c r="I209" i="38"/>
  <c r="I88" i="38"/>
  <c r="I220" i="38"/>
  <c r="I165" i="38"/>
  <c r="I97" i="38"/>
  <c r="I36" i="38"/>
  <c r="I123" i="38"/>
  <c r="I121" i="38"/>
  <c r="I211" i="38"/>
  <c r="I234" i="38"/>
  <c r="I178" i="38"/>
  <c r="I231" i="38"/>
  <c r="I173" i="38"/>
  <c r="I87" i="38"/>
  <c r="I197" i="38"/>
  <c r="I10" i="38"/>
  <c r="I170" i="38"/>
  <c r="I230" i="38"/>
  <c r="I150" i="38"/>
  <c r="I219" i="38"/>
  <c r="I147" i="38"/>
  <c r="I22" i="38"/>
  <c r="I99" i="38"/>
  <c r="I125" i="38"/>
  <c r="I161" i="38"/>
  <c r="I194" i="38"/>
  <c r="I16" i="38"/>
  <c r="I187" i="38"/>
  <c r="I100" i="38"/>
  <c r="I168" i="38"/>
  <c r="I45" i="38"/>
  <c r="I70" i="38"/>
  <c r="I181" i="38"/>
  <c r="I85" i="38"/>
  <c r="I155" i="38"/>
  <c r="I82" i="38"/>
  <c r="I136" i="38"/>
  <c r="I229" i="38"/>
  <c r="I86" i="38"/>
  <c r="I152" i="38"/>
  <c r="I89" i="38"/>
  <c r="I104" i="38"/>
  <c r="I196" i="38"/>
  <c r="I80" i="38"/>
  <c r="I179" i="38"/>
  <c r="I210" i="38"/>
  <c r="I204" i="38"/>
  <c r="I205" i="38"/>
  <c r="I228" i="38"/>
  <c r="I171" i="38"/>
  <c r="I57" i="38"/>
  <c r="I29" i="38"/>
  <c r="I128" i="38"/>
  <c r="I107" i="38"/>
  <c r="I126" i="38"/>
  <c r="I193" i="38"/>
  <c r="I47" i="38"/>
  <c r="I131" i="38"/>
  <c r="F66" i="38"/>
  <c r="F63" i="38"/>
  <c r="F44" i="38"/>
  <c r="F4" i="38"/>
  <c r="F183" i="38"/>
  <c r="F175" i="38"/>
  <c r="F188" i="38"/>
  <c r="F101" i="38"/>
  <c r="F79" i="38"/>
  <c r="F151" i="38"/>
  <c r="F117" i="38"/>
  <c r="F214" i="38"/>
  <c r="F122" i="38"/>
  <c r="F149" i="38"/>
  <c r="F198" i="38"/>
  <c r="F11" i="38"/>
  <c r="F18" i="38"/>
  <c r="F132" i="38"/>
  <c r="F43" i="38"/>
  <c r="F41" i="38"/>
  <c r="F73" i="38"/>
  <c r="F222" i="38"/>
  <c r="F92" i="38"/>
  <c r="F19" i="38"/>
  <c r="F225" i="38"/>
  <c r="F145" i="38"/>
  <c r="F208" i="38"/>
  <c r="F108" i="38"/>
  <c r="F48" i="38"/>
  <c r="F221" i="38"/>
  <c r="F185" i="38"/>
  <c r="F235" i="38"/>
  <c r="F77" i="38"/>
  <c r="F32" i="38"/>
  <c r="F233" i="38"/>
  <c r="F236" i="38"/>
  <c r="F227" i="38"/>
  <c r="F202" i="38"/>
  <c r="F103" i="38"/>
  <c r="F110" i="38"/>
  <c r="F95" i="38"/>
  <c r="F93" i="38"/>
  <c r="F224" i="38"/>
  <c r="F182" i="38"/>
  <c r="F54" i="38"/>
  <c r="F223" i="38"/>
  <c r="F75" i="38"/>
  <c r="F53" i="38"/>
  <c r="F129" i="38"/>
  <c r="F156" i="38"/>
  <c r="F118" i="38"/>
  <c r="F199" i="38"/>
  <c r="F83" i="38"/>
  <c r="F189" i="38"/>
  <c r="F138" i="38"/>
  <c r="F38" i="38"/>
  <c r="F119" i="38"/>
  <c r="F24" i="38"/>
  <c r="F23" i="38"/>
  <c r="F133" i="38"/>
  <c r="F8" i="38"/>
  <c r="F37" i="38"/>
  <c r="F148" i="38"/>
  <c r="F176" i="38"/>
  <c r="F67" i="38"/>
  <c r="F84" i="38"/>
  <c r="F30" i="38"/>
  <c r="F14" i="38"/>
  <c r="F112" i="38"/>
  <c r="F50" i="38"/>
  <c r="F6" i="38"/>
  <c r="F81" i="38"/>
  <c r="F146" i="38"/>
  <c r="F59" i="38"/>
  <c r="F144" i="38"/>
  <c r="F139" i="38"/>
  <c r="F7" i="38"/>
  <c r="F140" i="38"/>
  <c r="F96" i="38"/>
  <c r="F13" i="38"/>
  <c r="F166" i="38"/>
  <c r="F25" i="38"/>
  <c r="F60" i="38"/>
  <c r="F141" i="38"/>
  <c r="F64" i="38"/>
  <c r="F142" i="38"/>
  <c r="F162" i="38"/>
  <c r="F28" i="38"/>
  <c r="F186" i="38"/>
  <c r="F33" i="38"/>
  <c r="F105" i="38"/>
  <c r="F109" i="38"/>
  <c r="F76" i="38"/>
  <c r="F135" i="38"/>
  <c r="F203" i="38"/>
  <c r="F71" i="38"/>
  <c r="F226" i="38"/>
  <c r="F212" i="38"/>
  <c r="F153" i="38"/>
  <c r="F180" i="38"/>
  <c r="F217" i="38"/>
  <c r="F61" i="38"/>
  <c r="F158" i="38"/>
  <c r="F143" i="38"/>
  <c r="F12" i="38"/>
  <c r="F172" i="38"/>
  <c r="F163" i="38"/>
  <c r="F207" i="38"/>
  <c r="F56" i="38"/>
  <c r="F206" i="38"/>
  <c r="F157" i="38"/>
  <c r="F52" i="38"/>
  <c r="F94" i="38"/>
  <c r="F15" i="38"/>
  <c r="F195" i="38"/>
  <c r="F115" i="38"/>
  <c r="F72" i="38"/>
  <c r="F91" i="38"/>
  <c r="F49" i="38"/>
  <c r="F216" i="38"/>
  <c r="F39" i="38"/>
  <c r="F137" i="38"/>
  <c r="F62" i="38"/>
  <c r="F124" i="38"/>
  <c r="F218" i="38"/>
  <c r="F191" i="38"/>
  <c r="F20" i="38"/>
  <c r="F42" i="38"/>
  <c r="F68" i="38"/>
  <c r="F116" i="38"/>
  <c r="F159" i="38"/>
  <c r="F51" i="38"/>
  <c r="F111" i="38"/>
  <c r="F26" i="38"/>
  <c r="F35" i="38"/>
  <c r="F167" i="38"/>
  <c r="F192" i="38"/>
  <c r="F5" i="38"/>
  <c r="F102" i="38"/>
  <c r="F65" i="38"/>
  <c r="F113" i="38"/>
  <c r="F169" i="38"/>
  <c r="F120" i="38"/>
  <c r="F34" i="38"/>
  <c r="F78" i="38"/>
  <c r="F31" i="38"/>
  <c r="F21" i="38"/>
  <c r="F232" i="38"/>
  <c r="F160" i="38"/>
  <c r="F58" i="38"/>
  <c r="F134" i="38"/>
  <c r="F55" i="38"/>
  <c r="F40" i="38"/>
  <c r="F27" i="38"/>
  <c r="F9" i="38"/>
  <c r="F90" i="38"/>
  <c r="F164" i="38"/>
  <c r="F127" i="38"/>
  <c r="F215" i="38"/>
  <c r="F114" i="38"/>
  <c r="F200" i="38"/>
  <c r="F69" i="38"/>
  <c r="F190" i="38"/>
  <c r="F201" i="38"/>
  <c r="F177" i="38"/>
  <c r="F154" i="38"/>
  <c r="F174" i="38"/>
  <c r="F213" i="38"/>
  <c r="F106" i="38"/>
  <c r="F184" i="38"/>
  <c r="F17" i="38"/>
  <c r="F46" i="38"/>
  <c r="F98" i="38"/>
  <c r="F130" i="38"/>
  <c r="F209" i="38"/>
  <c r="F88" i="38"/>
  <c r="F220" i="38"/>
  <c r="F165" i="38"/>
  <c r="F97" i="38"/>
  <c r="F36" i="38"/>
  <c r="F123" i="38"/>
  <c r="F121" i="38"/>
  <c r="F211" i="38"/>
  <c r="F234" i="38"/>
  <c r="F178" i="38"/>
  <c r="F231" i="38"/>
  <c r="F173" i="38"/>
  <c r="F87" i="38"/>
  <c r="F197" i="38"/>
  <c r="F10" i="38"/>
  <c r="F170" i="38"/>
  <c r="F230" i="38"/>
  <c r="F150" i="38"/>
  <c r="F219" i="38"/>
  <c r="F147" i="38"/>
  <c r="F22" i="38"/>
  <c r="F99" i="38"/>
  <c r="F125" i="38"/>
  <c r="F161" i="38"/>
  <c r="F194" i="38"/>
  <c r="F16" i="38"/>
  <c r="F187" i="38"/>
  <c r="F100" i="38"/>
  <c r="F168" i="38"/>
  <c r="F45" i="38"/>
  <c r="F70" i="38"/>
  <c r="F181" i="38"/>
  <c r="F85" i="38"/>
  <c r="F155" i="38"/>
  <c r="F82" i="38"/>
  <c r="F136" i="38"/>
  <c r="F229" i="38"/>
  <c r="F86" i="38"/>
  <c r="F152" i="38"/>
  <c r="F89" i="38"/>
  <c r="F104" i="38"/>
  <c r="F196" i="38"/>
  <c r="F80" i="38"/>
  <c r="F179" i="38"/>
  <c r="F210" i="38"/>
  <c r="F204" i="38"/>
  <c r="F205" i="38"/>
  <c r="F228" i="38"/>
  <c r="F171" i="38"/>
  <c r="F57" i="38"/>
  <c r="F29" i="38"/>
  <c r="F128" i="38"/>
  <c r="F107" i="38"/>
  <c r="F126" i="38"/>
  <c r="F193" i="38"/>
  <c r="F47" i="38"/>
  <c r="F131" i="38"/>
  <c r="I74" i="38"/>
  <c r="K74" i="38"/>
  <c r="F74" i="38"/>
  <c r="M119" i="38" l="1"/>
  <c r="M236" i="38"/>
  <c r="M19" i="38"/>
  <c r="M214" i="38"/>
  <c r="M107" i="38"/>
  <c r="M168" i="38"/>
  <c r="M230" i="38"/>
  <c r="M36" i="38"/>
  <c r="M213" i="38"/>
  <c r="M90" i="38"/>
  <c r="M34" i="38"/>
  <c r="M51" i="38"/>
  <c r="M216" i="38"/>
  <c r="M207" i="38"/>
  <c r="M71" i="38"/>
  <c r="M141" i="38"/>
  <c r="M81" i="38"/>
  <c r="M133" i="38"/>
  <c r="M53" i="38"/>
  <c r="M233" i="38"/>
  <c r="M92" i="38"/>
  <c r="M128" i="38"/>
  <c r="M100" i="38"/>
  <c r="M97" i="38"/>
  <c r="M9" i="38"/>
  <c r="M159" i="38"/>
  <c r="M49" i="38"/>
  <c r="M163" i="38"/>
  <c r="M203" i="38"/>
  <c r="M6" i="38"/>
  <c r="M23" i="38"/>
  <c r="M75" i="38"/>
  <c r="M104" i="38"/>
  <c r="M89" i="38"/>
  <c r="M170" i="38"/>
  <c r="M174" i="38"/>
  <c r="M120" i="38"/>
  <c r="M60" i="38"/>
  <c r="M187" i="38"/>
  <c r="M25" i="38"/>
  <c r="M16" i="38"/>
  <c r="M68" i="38"/>
  <c r="M79" i="38"/>
  <c r="M117" i="38"/>
  <c r="V107" i="38"/>
  <c r="V104" i="38"/>
  <c r="V168" i="38"/>
  <c r="V230" i="38"/>
  <c r="V36" i="38"/>
  <c r="V213" i="38"/>
  <c r="V90" i="38"/>
  <c r="V34" i="38"/>
  <c r="V51" i="38"/>
  <c r="V216" i="38"/>
  <c r="V207" i="38"/>
  <c r="V71" i="38"/>
  <c r="V141" i="38"/>
  <c r="V81" i="38"/>
  <c r="V133" i="38"/>
  <c r="V53" i="38"/>
  <c r="V236" i="38"/>
  <c r="V19" i="38"/>
  <c r="V214" i="38"/>
  <c r="M29" i="38"/>
  <c r="M116" i="38"/>
  <c r="M32" i="38"/>
  <c r="M220" i="38"/>
  <c r="M12" i="38"/>
  <c r="M171" i="38"/>
  <c r="M229" i="38"/>
  <c r="M194" i="38"/>
  <c r="M87" i="38"/>
  <c r="M88" i="38"/>
  <c r="M201" i="38"/>
  <c r="M55" i="38"/>
  <c r="M65" i="38"/>
  <c r="M42" i="38"/>
  <c r="M115" i="38"/>
  <c r="M143" i="38"/>
  <c r="M109" i="38"/>
  <c r="M13" i="38"/>
  <c r="M14" i="38"/>
  <c r="M38" i="38"/>
  <c r="M182" i="38"/>
  <c r="M235" i="38"/>
  <c r="M41" i="38"/>
  <c r="M101" i="38"/>
  <c r="M10" i="38"/>
  <c r="M172" i="38"/>
  <c r="M151" i="38"/>
  <c r="M112" i="38"/>
  <c r="M228" i="38"/>
  <c r="M136" i="38"/>
  <c r="M161" i="38"/>
  <c r="M173" i="38"/>
  <c r="M209" i="38"/>
  <c r="M190" i="38"/>
  <c r="M134" i="38"/>
  <c r="M102" i="38"/>
  <c r="M20" i="38"/>
  <c r="M195" i="38"/>
  <c r="M158" i="38"/>
  <c r="M105" i="38"/>
  <c r="M96" i="38"/>
  <c r="M30" i="38"/>
  <c r="M138" i="38"/>
  <c r="M224" i="38"/>
  <c r="M185" i="38"/>
  <c r="M43" i="38"/>
  <c r="M188" i="38"/>
  <c r="M152" i="38"/>
  <c r="M135" i="38"/>
  <c r="M177" i="38"/>
  <c r="M54" i="38"/>
  <c r="M205" i="38"/>
  <c r="M82" i="38"/>
  <c r="M125" i="38"/>
  <c r="M231" i="38"/>
  <c r="M130" i="38"/>
  <c r="M69" i="38"/>
  <c r="M58" i="38"/>
  <c r="M5" i="38"/>
  <c r="M191" i="38"/>
  <c r="M15" i="38"/>
  <c r="M61" i="38"/>
  <c r="M33" i="38"/>
  <c r="M140" i="38"/>
  <c r="M84" i="38"/>
  <c r="M189" i="38"/>
  <c r="M93" i="38"/>
  <c r="M221" i="38"/>
  <c r="M132" i="38"/>
  <c r="M175" i="38"/>
  <c r="M74" i="38"/>
  <c r="M165" i="38"/>
  <c r="M91" i="38"/>
  <c r="M50" i="38"/>
  <c r="M222" i="38"/>
  <c r="M57" i="38"/>
  <c r="M113" i="38"/>
  <c r="M77" i="38"/>
  <c r="M204" i="38"/>
  <c r="M155" i="38"/>
  <c r="M99" i="38"/>
  <c r="M178" i="38"/>
  <c r="M98" i="38"/>
  <c r="M200" i="38"/>
  <c r="M160" i="38"/>
  <c r="M192" i="38"/>
  <c r="M218" i="38"/>
  <c r="M94" i="38"/>
  <c r="M217" i="38"/>
  <c r="M186" i="38"/>
  <c r="M7" i="38"/>
  <c r="M67" i="38"/>
  <c r="M83" i="38"/>
  <c r="M95" i="38"/>
  <c r="M48" i="38"/>
  <c r="M18" i="38"/>
  <c r="M183" i="38"/>
  <c r="M166" i="38"/>
  <c r="M131" i="38"/>
  <c r="M210" i="38"/>
  <c r="M85" i="38"/>
  <c r="M22" i="38"/>
  <c r="M234" i="38"/>
  <c r="M46" i="38"/>
  <c r="M114" i="38"/>
  <c r="M232" i="38"/>
  <c r="M167" i="38"/>
  <c r="M124" i="38"/>
  <c r="M52" i="38"/>
  <c r="M180" i="38"/>
  <c r="M28" i="38"/>
  <c r="M139" i="38"/>
  <c r="M176" i="38"/>
  <c r="M199" i="38"/>
  <c r="M110" i="38"/>
  <c r="M108" i="38"/>
  <c r="M11" i="38"/>
  <c r="M4" i="38"/>
  <c r="V74" i="38"/>
  <c r="W74" i="38" s="1"/>
  <c r="M169" i="38"/>
  <c r="M72" i="38"/>
  <c r="M73" i="38"/>
  <c r="M47" i="38"/>
  <c r="M179" i="38"/>
  <c r="M181" i="38"/>
  <c r="M147" i="38"/>
  <c r="M211" i="38"/>
  <c r="M17" i="38"/>
  <c r="M215" i="38"/>
  <c r="M21" i="38"/>
  <c r="M35" i="38"/>
  <c r="M62" i="38"/>
  <c r="M157" i="38"/>
  <c r="M153" i="38"/>
  <c r="M162" i="38"/>
  <c r="M144" i="38"/>
  <c r="M148" i="38"/>
  <c r="M118" i="38"/>
  <c r="M103" i="38"/>
  <c r="M208" i="38"/>
  <c r="M198" i="38"/>
  <c r="M44" i="38"/>
  <c r="M154" i="38"/>
  <c r="M24" i="38"/>
  <c r="M197" i="38"/>
  <c r="M76" i="38"/>
  <c r="M193" i="38"/>
  <c r="M80" i="38"/>
  <c r="M70" i="38"/>
  <c r="M219" i="38"/>
  <c r="M121" i="38"/>
  <c r="M184" i="38"/>
  <c r="M127" i="38"/>
  <c r="M31" i="38"/>
  <c r="M26" i="38"/>
  <c r="M137" i="38"/>
  <c r="M206" i="38"/>
  <c r="M212" i="38"/>
  <c r="M142" i="38"/>
  <c r="M59" i="38"/>
  <c r="M37" i="38"/>
  <c r="M156" i="38"/>
  <c r="M202" i="38"/>
  <c r="M145" i="38"/>
  <c r="M149" i="38"/>
  <c r="M63" i="38"/>
  <c r="M27" i="38"/>
  <c r="M223" i="38"/>
  <c r="M126" i="38"/>
  <c r="M196" i="38"/>
  <c r="M45" i="38"/>
  <c r="M150" i="38"/>
  <c r="M123" i="38"/>
  <c r="M106" i="38"/>
  <c r="M164" i="38"/>
  <c r="M78" i="38"/>
  <c r="M111" i="38"/>
  <c r="M39" i="38"/>
  <c r="M56" i="38"/>
  <c r="M226" i="38"/>
  <c r="M64" i="38"/>
  <c r="M146" i="38"/>
  <c r="M8" i="38"/>
  <c r="M129" i="38"/>
  <c r="M227" i="38"/>
  <c r="M225" i="38"/>
  <c r="M122" i="38"/>
  <c r="M66" i="38"/>
  <c r="M86" i="38"/>
  <c r="M40" i="38"/>
  <c r="AW12" i="38" l="1"/>
  <c r="AS12" i="38"/>
  <c r="AR12" i="38"/>
  <c r="AW11" i="38"/>
  <c r="AS11" i="38"/>
  <c r="AR11" i="38"/>
  <c r="AW10" i="38"/>
  <c r="AS10" i="38"/>
  <c r="AR10" i="38"/>
  <c r="AW9" i="38"/>
  <c r="AS9" i="38"/>
  <c r="AR9" i="38"/>
  <c r="AW8" i="38"/>
  <c r="AS8" i="38"/>
  <c r="AR8" i="38"/>
  <c r="AW7" i="38"/>
  <c r="AS7" i="38"/>
  <c r="AR7" i="38"/>
  <c r="AW6" i="38"/>
  <c r="AS6" i="38"/>
  <c r="AR6" i="38"/>
  <c r="AW5" i="38"/>
  <c r="AS5" i="38"/>
  <c r="AR5" i="38"/>
  <c r="AW4" i="38"/>
  <c r="AS4" i="38"/>
  <c r="AR4" i="38"/>
  <c r="AV10" i="38"/>
  <c r="AT8" i="38"/>
  <c r="AV8" i="38" l="1"/>
  <c r="AU9" i="38"/>
  <c r="AJ19" i="38"/>
  <c r="AL24" i="38"/>
  <c r="AT5" i="38"/>
  <c r="AM11" i="38"/>
  <c r="AG17" i="38"/>
  <c r="AM25" i="38"/>
  <c r="AU5" i="38"/>
  <c r="AK17" i="38"/>
  <c r="AM19" i="38"/>
  <c r="AE24" i="38"/>
  <c r="AF4" i="38"/>
  <c r="AH6" i="38"/>
  <c r="AI17" i="38"/>
  <c r="AF19" i="38"/>
  <c r="AO4" i="38"/>
  <c r="AJ22" i="38"/>
  <c r="AT6" i="38"/>
  <c r="AV6" i="38"/>
  <c r="AF12" i="38"/>
  <c r="AL25" i="38"/>
  <c r="AN12" i="38"/>
  <c r="AM23" i="38"/>
  <c r="AI11" i="38"/>
  <c r="AI21" i="38"/>
  <c r="AU7" i="38"/>
  <c r="AE17" i="38"/>
  <c r="AL4" i="38"/>
  <c r="AT4" i="38"/>
  <c r="AV7" i="38"/>
  <c r="AF17" i="38"/>
  <c r="AV9" i="38"/>
  <c r="AG19" i="38"/>
  <c r="AT7" i="38"/>
  <c r="AU4" i="38"/>
  <c r="AI19" i="38"/>
  <c r="AM12" i="38"/>
  <c r="AQ4" i="38"/>
  <c r="AM4" i="38"/>
  <c r="AJ24" i="38"/>
  <c r="AV4" i="38"/>
  <c r="AH17" i="38"/>
  <c r="AJ23" i="38"/>
  <c r="AN7" i="38"/>
  <c r="AJ21" i="38"/>
  <c r="AV5" i="38"/>
  <c r="AU6" i="38"/>
  <c r="AL10" i="38"/>
  <c r="AN4" i="38"/>
  <c r="AK23" i="38"/>
  <c r="AU8" i="38"/>
  <c r="AL23" i="38"/>
  <c r="AF9" i="38"/>
  <c r="AH11" i="38"/>
  <c r="AI12" i="38"/>
  <c r="AJ17" i="38"/>
  <c r="AL19" i="38"/>
  <c r="AE22" i="38"/>
  <c r="AG24" i="38"/>
  <c r="AH19" i="38"/>
  <c r="AH24" i="38"/>
  <c r="AF7" i="38"/>
  <c r="AH9" i="38"/>
  <c r="AI10" i="38"/>
  <c r="AL17" i="38"/>
  <c r="AE20" i="38"/>
  <c r="AG22" i="38"/>
  <c r="AI24" i="38"/>
  <c r="AF6" i="38"/>
  <c r="AH8" i="38"/>
  <c r="AI9" i="38"/>
  <c r="AL12" i="38"/>
  <c r="AM17" i="38"/>
  <c r="AF20" i="38"/>
  <c r="AH22" i="38"/>
  <c r="AF5" i="38"/>
  <c r="AH7" i="38"/>
  <c r="AI8" i="38"/>
  <c r="AL11" i="38"/>
  <c r="AE18" i="38"/>
  <c r="AG20" i="38"/>
  <c r="AI22" i="38"/>
  <c r="AK24" i="38"/>
  <c r="AL21" i="38"/>
  <c r="AM21" i="38"/>
  <c r="AI7" i="38"/>
  <c r="AH5" i="38"/>
  <c r="AI6" i="38"/>
  <c r="AL9" i="38"/>
  <c r="AM10" i="38"/>
  <c r="AN11" i="38"/>
  <c r="AO12" i="38"/>
  <c r="AG18" i="38"/>
  <c r="AI20" i="38"/>
  <c r="AK22" i="38"/>
  <c r="AM24" i="38"/>
  <c r="AK21" i="38"/>
  <c r="AI5" i="38"/>
  <c r="AL8" i="38"/>
  <c r="AM9" i="38"/>
  <c r="AN10" i="38"/>
  <c r="AO11" i="38"/>
  <c r="AP12" i="38"/>
  <c r="AH18" i="38"/>
  <c r="AJ20" i="38"/>
  <c r="AL22" i="38"/>
  <c r="AE25" i="38"/>
  <c r="AK19" i="38"/>
  <c r="AF22" i="38"/>
  <c r="AL7" i="38"/>
  <c r="AN9" i="38"/>
  <c r="AO10" i="38"/>
  <c r="AP11" i="38"/>
  <c r="AQ12" i="38"/>
  <c r="AI18" i="38"/>
  <c r="AK20" i="38"/>
  <c r="AM22" i="38"/>
  <c r="AF25" i="38"/>
  <c r="AH12" i="38"/>
  <c r="AF8" i="38"/>
  <c r="AF18" i="38"/>
  <c r="AH4" i="38"/>
  <c r="AI4" i="38"/>
  <c r="AM8" i="38"/>
  <c r="AL6" i="38"/>
  <c r="AM7" i="38"/>
  <c r="AN8" i="38"/>
  <c r="AO9" i="38"/>
  <c r="AP10" i="38"/>
  <c r="AQ11" i="38"/>
  <c r="AJ18" i="38"/>
  <c r="AL20" i="38"/>
  <c r="AE23" i="38"/>
  <c r="AG25" i="38"/>
  <c r="AF11" i="38"/>
  <c r="AF10" i="38"/>
  <c r="AH20" i="38"/>
  <c r="AM6" i="38"/>
  <c r="AO8" i="38"/>
  <c r="AP9" i="38"/>
  <c r="AQ10" i="38"/>
  <c r="AK18" i="38"/>
  <c r="AM20" i="38"/>
  <c r="AF23" i="38"/>
  <c r="AH25" i="38"/>
  <c r="AL5" i="38"/>
  <c r="AM5" i="38"/>
  <c r="AN6" i="38"/>
  <c r="AO7" i="38"/>
  <c r="AP8" i="38"/>
  <c r="AQ9" i="38"/>
  <c r="AT12" i="38"/>
  <c r="AL18" i="38"/>
  <c r="AE21" i="38"/>
  <c r="AG23" i="38"/>
  <c r="AI25" i="38"/>
  <c r="AN5" i="38"/>
  <c r="AO6" i="38"/>
  <c r="AP7" i="38"/>
  <c r="AQ8" i="38"/>
  <c r="AT11" i="38"/>
  <c r="AU12" i="38"/>
  <c r="AM18" i="38"/>
  <c r="AF21" i="38"/>
  <c r="AH23" i="38"/>
  <c r="AJ25" i="38"/>
  <c r="AH10" i="38"/>
  <c r="AO5" i="38"/>
  <c r="AP6" i="38"/>
  <c r="AQ7" i="38"/>
  <c r="AT10" i="38"/>
  <c r="AU11" i="38"/>
  <c r="AV12" i="38"/>
  <c r="AE19" i="38"/>
  <c r="AG21" i="38"/>
  <c r="AI23" i="38"/>
  <c r="AK25" i="38"/>
  <c r="AF24" i="38"/>
  <c r="AP5" i="38"/>
  <c r="AQ6" i="38"/>
  <c r="AT9" i="38"/>
  <c r="AU10" i="38"/>
  <c r="AV11" i="38"/>
  <c r="AH21" i="38"/>
  <c r="AP4" i="38"/>
  <c r="AQ5" i="38"/>
  <c r="AU13" i="38" l="1"/>
  <c r="AT13" i="38"/>
  <c r="AV13" i="38"/>
  <c r="AW13" i="38"/>
  <c r="AT14" i="38" l="1"/>
  <c r="AE9" i="38" l="1"/>
  <c r="AE11" i="38"/>
  <c r="AE10" i="38"/>
  <c r="AE12" i="38"/>
  <c r="AE7" i="38"/>
  <c r="AE4" i="38"/>
  <c r="AE5" i="38"/>
  <c r="AE6" i="38"/>
  <c r="AE8" i="38"/>
  <c r="AG9" i="38"/>
  <c r="AG12" i="38"/>
  <c r="AG5" i="38"/>
  <c r="AG11" i="38"/>
  <c r="AG4" i="38"/>
  <c r="AG6" i="38"/>
  <c r="AG7" i="38"/>
  <c r="AG8" i="38"/>
  <c r="AG10" i="38"/>
  <c r="AJ8" i="38"/>
  <c r="AJ4" i="38"/>
  <c r="AJ5" i="38"/>
  <c r="AJ6" i="38"/>
  <c r="AJ7" i="38"/>
  <c r="AJ12" i="38"/>
  <c r="AJ9" i="38"/>
  <c r="AJ10" i="38"/>
  <c r="AJ11" i="38"/>
  <c r="AK4" i="38"/>
  <c r="AK9" i="38"/>
  <c r="AK5" i="38"/>
  <c r="AK6" i="38"/>
  <c r="AK7" i="38"/>
  <c r="AK8" i="38"/>
  <c r="AK10" i="38"/>
  <c r="AK11" i="38"/>
  <c r="AK12" i="38"/>
  <c r="AQ13" i="38"/>
  <c r="W65" i="38" l="1"/>
  <c r="W50" i="38"/>
  <c r="W71" i="38"/>
  <c r="W125" i="38"/>
  <c r="W41" i="38"/>
  <c r="W23" i="38"/>
  <c r="W69" i="38"/>
  <c r="W21" i="38"/>
  <c r="W121" i="38"/>
  <c r="W186" i="38"/>
  <c r="W233" i="38"/>
  <c r="W181" i="38"/>
  <c r="W101" i="38"/>
  <c r="W83" i="38"/>
  <c r="W73" i="38"/>
  <c r="W76" i="38"/>
  <c r="W165" i="38"/>
  <c r="W180" i="38"/>
  <c r="W189" i="38"/>
  <c r="W129" i="38"/>
  <c r="W68" i="38"/>
  <c r="W78" i="38"/>
  <c r="W168" i="38"/>
  <c r="W10" i="38"/>
  <c r="W44" i="38"/>
  <c r="W57" i="38"/>
  <c r="W117" i="38"/>
  <c r="W119" i="38"/>
  <c r="W205" i="38"/>
  <c r="W6" i="38"/>
  <c r="W214" i="38"/>
  <c r="W62" i="38"/>
  <c r="W217" i="38"/>
  <c r="W218" i="38"/>
  <c r="W18" i="38"/>
  <c r="W203" i="38"/>
  <c r="W166" i="38"/>
  <c r="W227" i="38"/>
  <c r="W39" i="38"/>
  <c r="W190" i="38"/>
  <c r="W223" i="38"/>
  <c r="W174" i="38"/>
  <c r="W8" i="38"/>
  <c r="W37" i="38"/>
  <c r="W92" i="38"/>
  <c r="W11" i="38"/>
  <c r="W63" i="38"/>
  <c r="W40" i="38"/>
  <c r="W79" i="38"/>
  <c r="W167" i="38"/>
  <c r="W137" i="38"/>
  <c r="W235" i="38"/>
  <c r="W80" i="38"/>
  <c r="W5" i="38"/>
  <c r="W222" i="38"/>
  <c r="W77" i="38"/>
  <c r="W120" i="38"/>
  <c r="W177" i="38"/>
  <c r="W19" i="38"/>
  <c r="W53" i="38"/>
  <c r="W99" i="38"/>
  <c r="W230" i="38"/>
  <c r="W206" i="38"/>
  <c r="W49" i="38"/>
  <c r="W107" i="38"/>
  <c r="W46" i="38"/>
  <c r="W144" i="38"/>
  <c r="W96" i="38"/>
  <c r="W161" i="38"/>
  <c r="W156" i="38"/>
  <c r="W45" i="38"/>
  <c r="W128" i="38"/>
  <c r="W15" i="38"/>
  <c r="W123" i="38"/>
  <c r="W97" i="38"/>
  <c r="W130" i="38"/>
  <c r="W220" i="38"/>
  <c r="W54" i="38"/>
  <c r="W185" i="38"/>
  <c r="W179" i="38"/>
  <c r="W143" i="38"/>
  <c r="W16" i="38"/>
  <c r="W87" i="38"/>
  <c r="W163" i="38"/>
  <c r="W118" i="38"/>
  <c r="W95" i="38"/>
  <c r="W202" i="38"/>
  <c r="W14" i="38"/>
  <c r="W162" i="38"/>
  <c r="W24" i="38"/>
  <c r="W170" i="38"/>
  <c r="W236" i="38"/>
  <c r="W59" i="38"/>
  <c r="W115" i="38"/>
  <c r="W105" i="38"/>
  <c r="W141" i="38"/>
  <c r="W124" i="38"/>
  <c r="W12" i="38"/>
  <c r="W26" i="38"/>
  <c r="W93" i="38"/>
  <c r="W134" i="38"/>
  <c r="W198" i="38"/>
  <c r="W188" i="38"/>
  <c r="W194" i="38"/>
  <c r="W94" i="38"/>
  <c r="W122" i="38"/>
  <c r="W13" i="38"/>
  <c r="W173" i="38"/>
  <c r="W182" i="38"/>
  <c r="W22" i="38"/>
  <c r="W81" i="38"/>
  <c r="W178" i="38"/>
  <c r="W7" i="38"/>
  <c r="W147" i="38"/>
  <c r="W209" i="38"/>
  <c r="W225" i="38"/>
  <c r="W103" i="38"/>
  <c r="W199" i="38"/>
  <c r="W159" i="38"/>
  <c r="W131" i="38"/>
  <c r="W158" i="38"/>
  <c r="W193" i="38"/>
  <c r="W216" i="38"/>
  <c r="W91" i="38"/>
  <c r="W112" i="38"/>
  <c r="W106" i="38"/>
  <c r="W29" i="38"/>
  <c r="W139" i="38"/>
  <c r="W86" i="38"/>
  <c r="W148" i="38"/>
  <c r="W195" i="38"/>
  <c r="W30" i="38"/>
  <c r="W169" i="38"/>
  <c r="W197" i="38"/>
  <c r="W136" i="38"/>
  <c r="W145" i="38"/>
  <c r="W111" i="38"/>
  <c r="W200" i="38"/>
  <c r="W90" i="38"/>
  <c r="W171" i="38"/>
  <c r="W38" i="38"/>
  <c r="W140" i="38"/>
  <c r="W98" i="38"/>
  <c r="W231" i="38"/>
  <c r="W154" i="38"/>
  <c r="W175" i="38"/>
  <c r="W142" i="38"/>
  <c r="W102" i="38"/>
  <c r="W127" i="38"/>
  <c r="W215" i="38"/>
  <c r="W126" i="38"/>
  <c r="W146" i="38"/>
  <c r="W66" i="38"/>
  <c r="W32" i="38"/>
  <c r="W36" i="38"/>
  <c r="W9" i="38"/>
  <c r="W72" i="38"/>
  <c r="W70" i="38"/>
  <c r="W132" i="38"/>
  <c r="W55" i="38"/>
  <c r="W155" i="38"/>
  <c r="W187" i="38"/>
  <c r="W116" i="38"/>
  <c r="W28" i="38"/>
  <c r="W20" i="38"/>
  <c r="W149" i="38"/>
  <c r="W192" i="38"/>
  <c r="W51" i="38"/>
  <c r="W212" i="38"/>
  <c r="W234" i="38"/>
  <c r="W160" i="38"/>
  <c r="W153" i="38"/>
  <c r="W43" i="38"/>
  <c r="W85" i="38"/>
  <c r="W207" i="38"/>
  <c r="W211" i="38"/>
  <c r="W219" i="38"/>
  <c r="W4" i="38"/>
  <c r="W110" i="38"/>
  <c r="W135" i="38"/>
  <c r="W82" i="38"/>
  <c r="W34" i="38"/>
  <c r="W67" i="38"/>
  <c r="W108" i="38"/>
  <c r="W226" i="38"/>
  <c r="W204" i="38"/>
  <c r="W183" i="38"/>
  <c r="W17" i="38"/>
  <c r="W31" i="38"/>
  <c r="W109" i="38"/>
  <c r="W221" i="38"/>
  <c r="W164" i="38"/>
  <c r="W104" i="38"/>
  <c r="W25" i="38"/>
  <c r="W47" i="38"/>
  <c r="W75" i="38"/>
  <c r="W176" i="38"/>
  <c r="W138" i="38"/>
  <c r="W48" i="38"/>
  <c r="W100" i="38"/>
  <c r="W152" i="38"/>
  <c r="W61" i="38"/>
  <c r="W113" i="38"/>
  <c r="W208" i="38"/>
  <c r="W201" i="38"/>
  <c r="W27" i="38"/>
  <c r="W151" i="38"/>
  <c r="W52" i="38"/>
  <c r="W33" i="38"/>
  <c r="W58" i="38"/>
  <c r="W56" i="38"/>
  <c r="W89" i="38"/>
  <c r="W213" i="38"/>
  <c r="W114" i="38"/>
  <c r="W229" i="38"/>
  <c r="W172" i="38"/>
  <c r="W196" i="38"/>
  <c r="W60" i="38"/>
  <c r="W228" i="38"/>
  <c r="W157" i="38"/>
  <c r="W150" i="38"/>
  <c r="W210" i="38"/>
  <c r="W42" i="38"/>
  <c r="W232" i="38"/>
  <c r="W35" i="38"/>
  <c r="W133" i="38"/>
  <c r="W184" i="38"/>
  <c r="W84" i="38"/>
  <c r="W64" i="38"/>
  <c r="W88" i="38"/>
  <c r="W224" i="38"/>
  <c r="W191" i="38"/>
  <c r="AH13" i="38"/>
  <c r="AI13" i="38"/>
  <c r="AF13" i="38"/>
  <c r="AS13" i="38" l="1"/>
  <c r="AR13" i="38"/>
  <c r="AP13" i="38"/>
  <c r="AL26" i="38"/>
  <c r="AM13" i="38"/>
  <c r="AL13" i="38"/>
  <c r="AI26" i="38"/>
  <c r="AN13" i="38"/>
  <c r="AG26" i="38"/>
  <c r="AJ26" i="38"/>
  <c r="AE26" i="38"/>
  <c r="AM26" i="38"/>
  <c r="AF26" i="38"/>
  <c r="AO13" i="38"/>
  <c r="AH26" i="38"/>
  <c r="AK26" i="38"/>
  <c r="AP14" i="38" l="1"/>
  <c r="AE27" i="38"/>
  <c r="AL14" i="38"/>
  <c r="A315" i="41"/>
  <c r="A295" i="41"/>
  <c r="A311" i="41"/>
  <c r="A111" i="41"/>
  <c r="A339" i="41"/>
  <c r="A338" i="41"/>
  <c r="A318" i="41"/>
  <c r="A329" i="41"/>
  <c r="A309" i="41"/>
  <c r="A328" i="41"/>
  <c r="A319" i="41"/>
  <c r="A147" i="41"/>
  <c r="A327" i="41"/>
  <c r="A320" i="41"/>
  <c r="A336" i="41"/>
  <c r="A166" i="41"/>
  <c r="A321" i="41"/>
  <c r="A335" i="41"/>
  <c r="A326" i="41"/>
  <c r="A325" i="41"/>
  <c r="A322" i="41"/>
  <c r="A332" i="41"/>
  <c r="A303" i="41"/>
  <c r="A324" i="41"/>
  <c r="A83" i="41"/>
  <c r="A323" i="41"/>
  <c r="A331" i="41"/>
  <c r="A305" i="41"/>
  <c r="A337" i="41"/>
  <c r="A340" i="41"/>
  <c r="A330" i="41"/>
  <c r="A273" i="41"/>
  <c r="A251" i="41"/>
  <c r="A287" i="41"/>
  <c r="A281" i="41"/>
  <c r="A267" i="41"/>
  <c r="A334" i="41"/>
  <c r="A308" i="41"/>
  <c r="A176" i="41"/>
  <c r="A314" i="41"/>
  <c r="A317" i="41"/>
  <c r="A274" i="41"/>
  <c r="A238" i="41"/>
  <c r="A277" i="41"/>
  <c r="A316" i="41"/>
  <c r="A254" i="41"/>
  <c r="A282" i="41"/>
  <c r="A299" i="41"/>
  <c r="A270" i="41"/>
  <c r="A268" i="41"/>
  <c r="A221" i="41"/>
  <c r="A304" i="41"/>
  <c r="A250" i="41"/>
  <c r="A313" i="41"/>
  <c r="A269" i="41"/>
  <c r="A232" i="41"/>
  <c r="A271" i="41"/>
  <c r="A252" i="41"/>
  <c r="A302" i="41"/>
  <c r="A235" i="41"/>
  <c r="A265" i="41"/>
  <c r="A242" i="41"/>
  <c r="A298" i="41"/>
  <c r="A185" i="41"/>
  <c r="A263" i="41"/>
  <c r="A246" i="41"/>
  <c r="A266" i="41"/>
  <c r="A241" i="41"/>
  <c r="A206" i="41"/>
  <c r="A158" i="41"/>
  <c r="A243" i="41"/>
  <c r="A71" i="41"/>
  <c r="A312" i="41"/>
  <c r="A59" i="41"/>
  <c r="A223" i="41"/>
  <c r="A310" i="41"/>
  <c r="A226" i="41"/>
  <c r="A286" i="41"/>
  <c r="A275" i="41"/>
  <c r="A219" i="41"/>
  <c r="A262" i="41"/>
  <c r="A341" i="41"/>
  <c r="A280" i="41"/>
  <c r="A257" i="41"/>
  <c r="A204" i="41"/>
  <c r="A253" i="41"/>
  <c r="A278" i="41"/>
  <c r="A240" i="41"/>
  <c r="A212" i="41"/>
  <c r="A78" i="41"/>
  <c r="A247" i="41"/>
  <c r="A261" i="41"/>
  <c r="A233" i="41"/>
  <c r="A296" i="41"/>
  <c r="A207" i="41"/>
  <c r="A107" i="41"/>
  <c r="A186" i="41"/>
  <c r="A294" i="41"/>
  <c r="A216" i="41"/>
  <c r="A141" i="41"/>
  <c r="A264" i="41"/>
  <c r="A151" i="41"/>
  <c r="A211" i="41"/>
  <c r="A150" i="41"/>
  <c r="A285" i="41"/>
  <c r="A293" i="41"/>
  <c r="A260" i="41"/>
  <c r="A244" i="41"/>
  <c r="A153" i="41"/>
  <c r="A301" i="41"/>
  <c r="A291" i="41"/>
  <c r="A144" i="41"/>
  <c r="A236" i="41"/>
  <c r="A276" i="41"/>
  <c r="A68" i="41"/>
  <c r="A306" i="41"/>
  <c r="A194" i="41"/>
  <c r="A284" i="41"/>
  <c r="A231" i="41"/>
  <c r="A290" i="41"/>
  <c r="A209" i="41"/>
  <c r="A255" i="41"/>
  <c r="A230" i="41"/>
  <c r="A39" i="41"/>
  <c r="A297" i="41"/>
  <c r="A202" i="41"/>
  <c r="A272" i="41"/>
  <c r="A188" i="41"/>
  <c r="A72" i="41"/>
  <c r="A279" i="41"/>
  <c r="A307" i="41"/>
  <c r="A234" i="41"/>
  <c r="A180" i="41"/>
  <c r="A173" i="41"/>
  <c r="A110" i="41"/>
  <c r="A138" i="41"/>
  <c r="A114" i="41"/>
  <c r="A193" i="41"/>
  <c r="A289" i="41"/>
  <c r="A49" i="41"/>
  <c r="A162" i="41"/>
  <c r="A148" i="41"/>
  <c r="A245" i="41"/>
  <c r="A163" i="41"/>
  <c r="A218" i="41"/>
  <c r="A258" i="41"/>
  <c r="A183" i="41"/>
  <c r="A300" i="41"/>
  <c r="A43" i="41"/>
  <c r="A172" i="41"/>
  <c r="A164" i="41"/>
  <c r="A124" i="41"/>
  <c r="A215" i="41"/>
  <c r="A131" i="41"/>
  <c r="A288" i="41"/>
  <c r="A228" i="41"/>
  <c r="A224" i="41"/>
  <c r="A214" i="41"/>
  <c r="A199" i="41"/>
  <c r="A120" i="41"/>
  <c r="A222" i="41"/>
  <c r="A343" i="41"/>
  <c r="A116" i="41"/>
  <c r="A69" i="41"/>
  <c r="A127" i="41"/>
  <c r="A213" i="41"/>
  <c r="A237" i="41"/>
  <c r="A177" i="41"/>
  <c r="A178" i="41"/>
  <c r="A259" i="41"/>
  <c r="A168" i="41"/>
  <c r="A82" i="41"/>
  <c r="A333" i="41"/>
  <c r="A292" i="41"/>
  <c r="A229" i="41"/>
  <c r="A239" i="41"/>
  <c r="A182" i="41"/>
  <c r="A165" i="41"/>
  <c r="A184" i="41"/>
  <c r="A155" i="41"/>
  <c r="A200" i="41"/>
  <c r="A225" i="41"/>
  <c r="A197" i="41"/>
  <c r="A117" i="41"/>
  <c r="A92" i="41"/>
  <c r="A170" i="41"/>
  <c r="A179" i="41"/>
  <c r="A189" i="41"/>
  <c r="A134" i="41"/>
  <c r="A201" i="41"/>
  <c r="A174" i="41"/>
  <c r="A198" i="41"/>
  <c r="A169" i="41"/>
  <c r="A248" i="41"/>
  <c r="A40" i="41"/>
  <c r="A342" i="41"/>
  <c r="A97" i="41"/>
  <c r="A125" i="41"/>
  <c r="A123" i="41"/>
  <c r="A136" i="41"/>
  <c r="A157" i="41"/>
  <c r="A249" i="41"/>
  <c r="A109" i="41"/>
  <c r="A108" i="41"/>
  <c r="A220" i="41"/>
  <c r="A175" i="41"/>
  <c r="A203" i="41"/>
  <c r="A160" i="41"/>
  <c r="A122" i="41"/>
  <c r="A139" i="41"/>
  <c r="A190" i="41"/>
  <c r="A133" i="41"/>
  <c r="A130" i="41"/>
  <c r="A191" i="41"/>
  <c r="A149" i="41"/>
  <c r="A210" i="41"/>
  <c r="A119" i="41"/>
  <c r="A156" i="41"/>
  <c r="A80" i="41"/>
  <c r="A152" i="41"/>
  <c r="A106" i="41"/>
  <c r="A23" i="41"/>
  <c r="A135" i="41"/>
  <c r="A74" i="41"/>
  <c r="A87" i="41"/>
  <c r="A154" i="41"/>
  <c r="A137" i="41"/>
  <c r="A227" i="41"/>
  <c r="A161" i="41"/>
  <c r="A146" i="41"/>
  <c r="A95" i="41"/>
  <c r="A118" i="41"/>
  <c r="A195" i="41"/>
  <c r="A112" i="41"/>
  <c r="A98" i="41"/>
  <c r="A75" i="41"/>
  <c r="A217" i="41"/>
  <c r="A113" i="41"/>
  <c r="A65" i="41"/>
  <c r="A100" i="41"/>
  <c r="A67" i="41"/>
  <c r="A121" i="41"/>
  <c r="A88" i="41"/>
  <c r="A20" i="41"/>
  <c r="A103" i="41"/>
  <c r="A91" i="41"/>
  <c r="A99" i="41"/>
  <c r="A96" i="41"/>
  <c r="A70" i="41"/>
  <c r="A126" i="41"/>
  <c r="A143" i="41"/>
  <c r="A187" i="41"/>
  <c r="A24" i="41"/>
  <c r="A4" i="41"/>
  <c r="A129" i="41"/>
  <c r="A128" i="41"/>
  <c r="A181" i="41"/>
  <c r="A21" i="41"/>
  <c r="A94" i="41"/>
  <c r="A159" i="41"/>
  <c r="A79" i="41"/>
  <c r="A102" i="41"/>
  <c r="A145" i="41"/>
  <c r="A34" i="41"/>
  <c r="A84" i="41"/>
  <c r="A56" i="41"/>
  <c r="A256" i="41"/>
  <c r="A167" i="41"/>
  <c r="A115" i="41"/>
  <c r="A36" i="41"/>
  <c r="A171" i="41"/>
  <c r="A64" i="41"/>
  <c r="A89" i="41"/>
  <c r="A192" i="41"/>
  <c r="A30" i="41"/>
  <c r="A85" i="41"/>
  <c r="A142" i="41"/>
  <c r="A81" i="41"/>
  <c r="A132" i="41"/>
  <c r="A77" i="41"/>
  <c r="A62" i="41"/>
  <c r="A205" i="41"/>
  <c r="A104" i="41"/>
  <c r="A46" i="41"/>
  <c r="A42" i="41"/>
  <c r="A283" i="41"/>
  <c r="A208" i="41"/>
  <c r="A22" i="41"/>
  <c r="A35" i="41"/>
  <c r="A90" i="41"/>
  <c r="A61" i="41"/>
  <c r="A26" i="41"/>
  <c r="A60" i="41"/>
  <c r="A31" i="41"/>
  <c r="A48" i="41"/>
  <c r="A140" i="41"/>
  <c r="A105" i="41"/>
  <c r="A50" i="41"/>
  <c r="A38" i="41"/>
  <c r="A7" i="41"/>
  <c r="A66" i="41"/>
  <c r="A52" i="41"/>
  <c r="A16" i="41"/>
  <c r="A58" i="41"/>
  <c r="A196" i="41"/>
  <c r="A63" i="41"/>
  <c r="A51" i="41"/>
  <c r="A14" i="41"/>
  <c r="A55" i="41"/>
  <c r="A28" i="41"/>
  <c r="A25" i="41"/>
  <c r="A19" i="41"/>
  <c r="A86" i="41"/>
  <c r="A76" i="41"/>
  <c r="A57" i="41"/>
  <c r="A53" i="41"/>
  <c r="A93" i="41"/>
  <c r="A101" i="41"/>
  <c r="A45" i="41"/>
  <c r="A15" i="41"/>
  <c r="A12" i="41"/>
  <c r="A37" i="41"/>
  <c r="A44" i="41"/>
  <c r="A10" i="41"/>
  <c r="A33" i="41"/>
  <c r="A29" i="41"/>
  <c r="A47" i="41"/>
  <c r="A54" i="41"/>
  <c r="A8" i="41"/>
  <c r="A27" i="41"/>
  <c r="A41" i="41"/>
  <c r="A5" i="41"/>
  <c r="A18" i="41"/>
  <c r="A73" i="41"/>
  <c r="A17" i="41"/>
  <c r="A11" i="41"/>
  <c r="A32" i="41"/>
  <c r="A9" i="41"/>
  <c r="A6" i="41"/>
  <c r="A13" i="41"/>
  <c r="I43" i="40" l="1"/>
  <c r="H43" i="40"/>
  <c r="I42" i="40"/>
  <c r="H42" i="40"/>
  <c r="I41" i="40"/>
  <c r="H41" i="40"/>
  <c r="I40" i="40"/>
  <c r="H40" i="40"/>
  <c r="I39" i="40"/>
  <c r="H39" i="40"/>
  <c r="I38" i="40"/>
  <c r="H38" i="40"/>
  <c r="I37" i="40"/>
  <c r="H37" i="40"/>
  <c r="I36" i="40"/>
  <c r="H36" i="40"/>
  <c r="I4" i="40" l="1"/>
  <c r="I5" i="40"/>
  <c r="I6" i="40"/>
  <c r="I7" i="40"/>
  <c r="I8" i="40"/>
  <c r="I9" i="40"/>
  <c r="I10" i="40"/>
  <c r="I14" i="40"/>
  <c r="I15" i="40"/>
  <c r="I16" i="40"/>
  <c r="I17" i="40"/>
  <c r="I18" i="40"/>
  <c r="I19" i="40"/>
  <c r="I20" i="40"/>
  <c r="I21" i="40"/>
  <c r="I25" i="40"/>
  <c r="I26" i="40"/>
  <c r="I27" i="40"/>
  <c r="I28" i="40"/>
  <c r="I29" i="40"/>
  <c r="I30" i="40"/>
  <c r="I31" i="40"/>
  <c r="I32" i="40"/>
  <c r="I3" i="40"/>
  <c r="H14" i="40"/>
  <c r="H15" i="40"/>
  <c r="H16" i="40"/>
  <c r="H17" i="40"/>
  <c r="H18" i="40"/>
  <c r="H19" i="40"/>
  <c r="H20" i="40"/>
  <c r="H21" i="40"/>
  <c r="H25" i="40"/>
  <c r="H26" i="40"/>
  <c r="H27" i="40"/>
  <c r="H28" i="40"/>
  <c r="H29" i="40"/>
  <c r="H30" i="40"/>
  <c r="H31" i="40"/>
  <c r="H32" i="40"/>
  <c r="H4" i="40"/>
  <c r="H5" i="40"/>
  <c r="H6" i="40"/>
  <c r="H7" i="40"/>
  <c r="H8" i="40"/>
  <c r="H9" i="40"/>
  <c r="H10" i="40"/>
  <c r="H3" i="40"/>
  <c r="AJ13" i="38" l="1"/>
  <c r="Z23" i="38" l="1"/>
  <c r="Z20" i="38"/>
  <c r="Z21" i="38"/>
  <c r="Z17" i="38"/>
  <c r="Z19" i="38"/>
  <c r="Z22" i="38"/>
  <c r="Z16" i="38"/>
  <c r="Z15" i="38"/>
  <c r="Z18" i="38"/>
  <c r="Z14" i="38"/>
  <c r="Z26" i="38"/>
  <c r="Z10" i="38"/>
  <c r="Z31" i="38"/>
  <c r="Z11" i="38"/>
  <c r="Z8" i="38"/>
  <c r="Z24" i="38"/>
  <c r="Z6" i="38"/>
  <c r="Z36" i="38"/>
  <c r="Z33" i="38"/>
  <c r="Z7" i="38"/>
  <c r="Z13" i="38"/>
  <c r="Y42" i="38"/>
  <c r="Z12" i="38"/>
  <c r="Z25" i="38"/>
  <c r="Y40" i="38"/>
  <c r="Z32" i="38"/>
  <c r="Z5" i="38"/>
  <c r="Z27" i="38"/>
  <c r="Z30" i="38"/>
  <c r="Z28" i="38"/>
  <c r="Z29" i="38"/>
  <c r="Z35" i="38"/>
  <c r="Z9" i="38"/>
  <c r="Z34" i="38"/>
  <c r="E23" i="36"/>
  <c r="D23" i="36"/>
  <c r="H36" i="33"/>
  <c r="G36" i="33"/>
  <c r="H38" i="31"/>
  <c r="G38" i="31"/>
  <c r="E38" i="31"/>
  <c r="D38" i="31"/>
  <c r="H19" i="31"/>
  <c r="G19" i="31"/>
  <c r="H34" i="29"/>
  <c r="G34" i="29"/>
  <c r="H29" i="29"/>
  <c r="G29" i="29"/>
  <c r="E29" i="29"/>
  <c r="D29" i="29"/>
  <c r="H15" i="29"/>
  <c r="G15" i="29"/>
  <c r="AK13" i="38" l="1"/>
  <c r="AE13" i="38"/>
  <c r="AE14" i="38" s="1"/>
  <c r="AG13" i="38"/>
  <c r="AG14" i="38" s="1"/>
  <c r="Z37" i="38"/>
  <c r="D4" i="36"/>
  <c r="E4" i="36"/>
  <c r="G4" i="36"/>
  <c r="H4" i="36"/>
  <c r="J4" i="36"/>
  <c r="K4" i="36"/>
  <c r="L4" i="36"/>
  <c r="D5" i="36"/>
  <c r="E5" i="36"/>
  <c r="G5" i="36"/>
  <c r="H5" i="36"/>
  <c r="J5" i="36"/>
  <c r="K5" i="36"/>
  <c r="L5" i="36"/>
  <c r="D6" i="36"/>
  <c r="E6" i="36"/>
  <c r="G6" i="36"/>
  <c r="H6" i="36"/>
  <c r="J6" i="36"/>
  <c r="K6" i="36"/>
  <c r="L6" i="36"/>
  <c r="D7" i="36"/>
  <c r="E7" i="36"/>
  <c r="G7" i="36"/>
  <c r="H7" i="36"/>
  <c r="J7" i="36"/>
  <c r="K7" i="36"/>
  <c r="L7" i="36"/>
  <c r="D8" i="36"/>
  <c r="E8" i="36"/>
  <c r="G8" i="36"/>
  <c r="H8" i="36"/>
  <c r="J8" i="36"/>
  <c r="K8" i="36"/>
  <c r="L8" i="36"/>
  <c r="D9" i="36"/>
  <c r="E9" i="36"/>
  <c r="G9" i="36"/>
  <c r="H9" i="36"/>
  <c r="J9" i="36"/>
  <c r="K9" i="36"/>
  <c r="L9" i="36"/>
  <c r="D10" i="36"/>
  <c r="E10" i="36"/>
  <c r="G10" i="36"/>
  <c r="H10" i="36"/>
  <c r="J10" i="36"/>
  <c r="K10" i="36"/>
  <c r="L10" i="36"/>
  <c r="D11" i="36"/>
  <c r="E11" i="36"/>
  <c r="G11" i="36"/>
  <c r="H11" i="36"/>
  <c r="J11" i="36"/>
  <c r="K11" i="36"/>
  <c r="L11" i="36"/>
  <c r="D12" i="36"/>
  <c r="E12" i="36"/>
  <c r="G12" i="36"/>
  <c r="H12" i="36"/>
  <c r="J12" i="36"/>
  <c r="K12" i="36"/>
  <c r="L12" i="36"/>
  <c r="D13" i="36"/>
  <c r="E13" i="36"/>
  <c r="G13" i="36"/>
  <c r="H13" i="36"/>
  <c r="J13" i="36"/>
  <c r="K13" i="36"/>
  <c r="L13" i="36"/>
  <c r="D14" i="36"/>
  <c r="E14" i="36"/>
  <c r="G14" i="36"/>
  <c r="H14" i="36"/>
  <c r="J14" i="36"/>
  <c r="K14" i="36"/>
  <c r="L14" i="36"/>
  <c r="D15" i="36"/>
  <c r="E15" i="36"/>
  <c r="G15" i="36"/>
  <c r="H15" i="36"/>
  <c r="J15" i="36"/>
  <c r="K15" i="36"/>
  <c r="L15" i="36"/>
  <c r="D16" i="36"/>
  <c r="E16" i="36"/>
  <c r="G16" i="36"/>
  <c r="H16" i="36"/>
  <c r="J16" i="36"/>
  <c r="K16" i="36"/>
  <c r="L16" i="36"/>
  <c r="D17" i="36"/>
  <c r="E17" i="36"/>
  <c r="G17" i="36"/>
  <c r="H17" i="36"/>
  <c r="J17" i="36"/>
  <c r="K17" i="36"/>
  <c r="L17" i="36"/>
  <c r="D18" i="36"/>
  <c r="E18" i="36"/>
  <c r="G18" i="36"/>
  <c r="H18" i="36"/>
  <c r="J18" i="36"/>
  <c r="K18" i="36"/>
  <c r="L18" i="36"/>
  <c r="D19" i="36"/>
  <c r="E19" i="36"/>
  <c r="G19" i="36"/>
  <c r="H19" i="36"/>
  <c r="J19" i="36"/>
  <c r="K19" i="36"/>
  <c r="L19" i="36"/>
  <c r="D20" i="36"/>
  <c r="E20" i="36"/>
  <c r="G20" i="36"/>
  <c r="H20" i="36"/>
  <c r="J20" i="36"/>
  <c r="K20" i="36"/>
  <c r="L20" i="36"/>
  <c r="D21" i="36"/>
  <c r="E21" i="36"/>
  <c r="G21" i="36"/>
  <c r="H21" i="36"/>
  <c r="J21" i="36"/>
  <c r="K21" i="36"/>
  <c r="L21" i="36"/>
  <c r="D22" i="36"/>
  <c r="E22" i="36"/>
  <c r="G22" i="36"/>
  <c r="H22" i="36"/>
  <c r="J22" i="36"/>
  <c r="K22" i="36"/>
  <c r="L22" i="36"/>
  <c r="G23" i="36"/>
  <c r="H23" i="36"/>
  <c r="J23" i="36"/>
  <c r="K23" i="36"/>
  <c r="L23" i="36"/>
  <c r="D24" i="36"/>
  <c r="E24" i="36"/>
  <c r="G24" i="36"/>
  <c r="H24" i="36"/>
  <c r="J24" i="36"/>
  <c r="K24" i="36"/>
  <c r="L24" i="36"/>
  <c r="D25" i="36"/>
  <c r="E25" i="36"/>
  <c r="G25" i="36"/>
  <c r="H25" i="36"/>
  <c r="J25" i="36"/>
  <c r="K25" i="36"/>
  <c r="L25" i="36"/>
  <c r="D26" i="36"/>
  <c r="E26" i="36"/>
  <c r="G26" i="36"/>
  <c r="H26" i="36"/>
  <c r="J26" i="36"/>
  <c r="K26" i="36"/>
  <c r="L26" i="36"/>
  <c r="D27" i="36"/>
  <c r="E27" i="36"/>
  <c r="G27" i="36"/>
  <c r="H27" i="36"/>
  <c r="J27" i="36"/>
  <c r="K27" i="36"/>
  <c r="L27" i="36"/>
  <c r="D28" i="36"/>
  <c r="E28" i="36"/>
  <c r="G28" i="36"/>
  <c r="H28" i="36"/>
  <c r="J28" i="36"/>
  <c r="K28" i="36"/>
  <c r="L28" i="36"/>
  <c r="D29" i="36"/>
  <c r="E29" i="36"/>
  <c r="G29" i="36"/>
  <c r="H29" i="36"/>
  <c r="J29" i="36"/>
  <c r="K29" i="36"/>
  <c r="L29" i="36"/>
  <c r="D30" i="36"/>
  <c r="E30" i="36"/>
  <c r="G30" i="36"/>
  <c r="H30" i="36"/>
  <c r="J30" i="36"/>
  <c r="K30" i="36"/>
  <c r="L30" i="36"/>
  <c r="D31" i="36"/>
  <c r="E31" i="36"/>
  <c r="G31" i="36"/>
  <c r="H31" i="36"/>
  <c r="J31" i="36"/>
  <c r="K31" i="36"/>
  <c r="L31" i="36"/>
  <c r="D32" i="36"/>
  <c r="E32" i="36"/>
  <c r="G32" i="36"/>
  <c r="H32" i="36"/>
  <c r="J32" i="36"/>
  <c r="K32" i="36"/>
  <c r="L32" i="36"/>
  <c r="D33" i="36"/>
  <c r="E33" i="36"/>
  <c r="G33" i="36"/>
  <c r="H33" i="36"/>
  <c r="J33" i="36"/>
  <c r="K33" i="36"/>
  <c r="L33" i="36"/>
  <c r="D34" i="36"/>
  <c r="E34" i="36"/>
  <c r="G34" i="36"/>
  <c r="H34" i="36"/>
  <c r="J34" i="36"/>
  <c r="K34" i="36"/>
  <c r="L34" i="36"/>
  <c r="D35" i="36"/>
  <c r="E35" i="36"/>
  <c r="G35" i="36"/>
  <c r="H35" i="36"/>
  <c r="J35" i="36"/>
  <c r="K35" i="36"/>
  <c r="L35" i="36"/>
  <c r="D36" i="36"/>
  <c r="E36" i="36"/>
  <c r="G36" i="36"/>
  <c r="H36" i="36"/>
  <c r="J36" i="36"/>
  <c r="K36" i="36"/>
  <c r="L36" i="36"/>
  <c r="D37" i="36"/>
  <c r="E37" i="36"/>
  <c r="G37" i="36"/>
  <c r="H37" i="36"/>
  <c r="J37" i="36"/>
  <c r="K37" i="36"/>
  <c r="L37" i="36"/>
  <c r="D38" i="36"/>
  <c r="E38" i="36"/>
  <c r="G38" i="36"/>
  <c r="H38" i="36"/>
  <c r="J38" i="36"/>
  <c r="K38" i="36"/>
  <c r="L38" i="36"/>
  <c r="D39" i="36"/>
  <c r="E39" i="36"/>
  <c r="G39" i="36"/>
  <c r="H39" i="36"/>
  <c r="J39" i="36"/>
  <c r="K39" i="36"/>
  <c r="L39" i="36"/>
  <c r="D40" i="36"/>
  <c r="E40" i="36"/>
  <c r="G40" i="36"/>
  <c r="H40" i="36"/>
  <c r="J40" i="36"/>
  <c r="K40" i="36"/>
  <c r="L40" i="36"/>
  <c r="D41" i="36"/>
  <c r="E41" i="36"/>
  <c r="G41" i="36"/>
  <c r="H41" i="36"/>
  <c r="J41" i="36"/>
  <c r="K41" i="36"/>
  <c r="L41" i="36"/>
  <c r="D42" i="36"/>
  <c r="E42" i="36"/>
  <c r="G42" i="36"/>
  <c r="H42" i="36"/>
  <c r="J42" i="36"/>
  <c r="K42" i="36"/>
  <c r="L42" i="36"/>
  <c r="N42" i="36" l="1"/>
  <c r="N41" i="36"/>
  <c r="N40" i="36"/>
  <c r="N37" i="36"/>
  <c r="N29" i="36"/>
  <c r="N38" i="36"/>
  <c r="N25" i="36"/>
  <c r="N21" i="36"/>
  <c r="N36" i="36"/>
  <c r="N32" i="36"/>
  <c r="N28" i="36"/>
  <c r="N24" i="36"/>
  <c r="N22" i="36"/>
  <c r="N18" i="36"/>
  <c r="N14" i="36"/>
  <c r="N10" i="36"/>
  <c r="N4" i="36"/>
  <c r="N17" i="36"/>
  <c r="N13" i="36"/>
  <c r="N16" i="36"/>
  <c r="N8" i="36"/>
  <c r="N39" i="36"/>
  <c r="M35" i="36"/>
  <c r="M10" i="36"/>
  <c r="M6" i="36"/>
  <c r="M40" i="36"/>
  <c r="M31" i="36"/>
  <c r="M27" i="36"/>
  <c r="M23" i="36"/>
  <c r="M21" i="36"/>
  <c r="M17" i="36"/>
  <c r="M13" i="36"/>
  <c r="M8" i="36"/>
  <c r="M41" i="36"/>
  <c r="M36" i="36"/>
  <c r="M28" i="36"/>
  <c r="M22" i="36"/>
  <c r="M18" i="36"/>
  <c r="M14" i="36"/>
  <c r="M9" i="36"/>
  <c r="M4" i="36"/>
  <c r="M42" i="36"/>
  <c r="M32" i="36"/>
  <c r="M24" i="36"/>
  <c r="M39" i="36"/>
  <c r="M30" i="36"/>
  <c r="M26" i="36"/>
  <c r="M20" i="36"/>
  <c r="M16" i="36"/>
  <c r="M12" i="36"/>
  <c r="M7" i="36"/>
  <c r="M37" i="36"/>
  <c r="M33" i="36"/>
  <c r="M29" i="36"/>
  <c r="M25" i="36"/>
  <c r="M19" i="36"/>
  <c r="M15" i="36"/>
  <c r="M11" i="36"/>
  <c r="M5" i="36"/>
  <c r="M34" i="36"/>
  <c r="M38" i="36"/>
  <c r="N35" i="36"/>
  <c r="N31" i="36"/>
  <c r="N27" i="36"/>
  <c r="N23" i="36"/>
  <c r="N19" i="36"/>
  <c r="N15" i="36"/>
  <c r="N11" i="36"/>
  <c r="N7" i="36"/>
  <c r="N34" i="36"/>
  <c r="N30" i="36"/>
  <c r="N26" i="36"/>
  <c r="N6" i="36"/>
  <c r="N9" i="36"/>
  <c r="N5" i="36"/>
  <c r="N33" i="36"/>
  <c r="N20" i="36"/>
  <c r="N12" i="36"/>
  <c r="H39" i="32"/>
  <c r="G39" i="32"/>
  <c r="E39" i="32"/>
  <c r="D39" i="32"/>
  <c r="H29" i="32"/>
  <c r="G29" i="32"/>
  <c r="E29" i="32"/>
  <c r="D29" i="32"/>
  <c r="H13" i="32"/>
  <c r="G13" i="32"/>
  <c r="E13" i="32"/>
  <c r="D13" i="32"/>
  <c r="H14" i="33"/>
  <c r="G14" i="33"/>
  <c r="E14" i="33"/>
  <c r="D14" i="33"/>
  <c r="H6" i="31"/>
  <c r="G6" i="31"/>
  <c r="E6" i="31"/>
  <c r="D6" i="31"/>
  <c r="H37" i="29"/>
  <c r="G37" i="29"/>
  <c r="E37" i="29"/>
  <c r="D37" i="29"/>
  <c r="H14" i="29"/>
  <c r="G14" i="29"/>
  <c r="E14" i="29"/>
  <c r="D14" i="29"/>
  <c r="H18" i="32"/>
  <c r="G18" i="32"/>
  <c r="E18" i="32"/>
  <c r="H17" i="32"/>
  <c r="G17" i="32"/>
  <c r="E17" i="32"/>
  <c r="D18" i="32"/>
  <c r="D17" i="32"/>
  <c r="F41" i="33"/>
  <c r="I41" i="33"/>
  <c r="O41" i="33"/>
  <c r="P41" i="33"/>
  <c r="F42" i="33"/>
  <c r="I42" i="33"/>
  <c r="O42" i="33"/>
  <c r="P42" i="33"/>
  <c r="C41" i="33"/>
  <c r="F41" i="32"/>
  <c r="I41" i="32"/>
  <c r="O41" i="32"/>
  <c r="P41" i="32"/>
  <c r="F42" i="32"/>
  <c r="I42" i="32"/>
  <c r="O42" i="32"/>
  <c r="P42" i="32"/>
  <c r="C41" i="32"/>
  <c r="F41" i="31"/>
  <c r="I41" i="31"/>
  <c r="O41" i="31"/>
  <c r="P41" i="31"/>
  <c r="F42" i="31"/>
  <c r="I42" i="31"/>
  <c r="O42" i="31"/>
  <c r="P42" i="31"/>
  <c r="C41" i="31"/>
  <c r="F41" i="30"/>
  <c r="I41" i="30"/>
  <c r="O41" i="30"/>
  <c r="P41" i="30"/>
  <c r="F42" i="30"/>
  <c r="I42" i="30"/>
  <c r="O42" i="30"/>
  <c r="P42" i="30"/>
  <c r="C41" i="30"/>
  <c r="F40" i="29"/>
  <c r="I40" i="29"/>
  <c r="O40" i="29"/>
  <c r="P40" i="29"/>
  <c r="F41" i="29"/>
  <c r="I41" i="29"/>
  <c r="O41" i="29"/>
  <c r="P41" i="29"/>
  <c r="C40" i="29"/>
  <c r="F43" i="35"/>
  <c r="I43" i="35"/>
  <c r="O43" i="35"/>
  <c r="P43" i="35"/>
  <c r="F44" i="35"/>
  <c r="I44" i="35"/>
  <c r="O44" i="35"/>
  <c r="P44" i="35"/>
  <c r="F43" i="36"/>
  <c r="I43" i="36"/>
  <c r="O43" i="36"/>
  <c r="P43" i="36"/>
  <c r="F44" i="36"/>
  <c r="I44" i="36"/>
  <c r="O44" i="36"/>
  <c r="P44" i="36"/>
  <c r="F43" i="37"/>
  <c r="I43" i="37"/>
  <c r="O43" i="37"/>
  <c r="P43" i="37"/>
  <c r="F44" i="37"/>
  <c r="I44" i="37"/>
  <c r="O44" i="37"/>
  <c r="P44" i="37"/>
  <c r="C43" i="37"/>
  <c r="C43" i="36"/>
  <c r="C43" i="35"/>
  <c r="N4" i="24"/>
  <c r="M4" i="24"/>
  <c r="L4" i="24"/>
  <c r="K4" i="24"/>
  <c r="J4" i="24"/>
  <c r="F4" i="24"/>
  <c r="E4" i="24"/>
  <c r="D4" i="24"/>
  <c r="C4" i="24"/>
  <c r="G4" i="24" s="1"/>
  <c r="H4" i="24" s="1"/>
  <c r="K42" i="37"/>
  <c r="J42" i="37"/>
  <c r="H42" i="37"/>
  <c r="G42" i="37"/>
  <c r="E42" i="37"/>
  <c r="D42" i="37"/>
  <c r="K41" i="37"/>
  <c r="J41" i="37"/>
  <c r="H41" i="37"/>
  <c r="G41" i="37"/>
  <c r="E41" i="37"/>
  <c r="D41" i="37"/>
  <c r="K40" i="37"/>
  <c r="J40" i="37"/>
  <c r="H40" i="37"/>
  <c r="G40" i="37"/>
  <c r="E40" i="37"/>
  <c r="D40" i="37"/>
  <c r="K39" i="37"/>
  <c r="J39" i="37"/>
  <c r="H39" i="37"/>
  <c r="G39" i="37"/>
  <c r="E39" i="37"/>
  <c r="D39" i="37"/>
  <c r="K38" i="37"/>
  <c r="J38" i="37"/>
  <c r="H38" i="37"/>
  <c r="G38" i="37"/>
  <c r="E38" i="37"/>
  <c r="D38" i="37"/>
  <c r="K37" i="37"/>
  <c r="J37" i="37"/>
  <c r="H37" i="37"/>
  <c r="G37" i="37"/>
  <c r="E37" i="37"/>
  <c r="D37" i="37"/>
  <c r="K36" i="37"/>
  <c r="J36" i="37"/>
  <c r="H36" i="37"/>
  <c r="G36" i="37"/>
  <c r="E36" i="37"/>
  <c r="D36" i="37"/>
  <c r="K35" i="37"/>
  <c r="J35" i="37"/>
  <c r="H35" i="37"/>
  <c r="G35" i="37"/>
  <c r="E35" i="37"/>
  <c r="D35" i="37"/>
  <c r="K34" i="37"/>
  <c r="J34" i="37"/>
  <c r="H34" i="37"/>
  <c r="G34" i="37"/>
  <c r="E34" i="37"/>
  <c r="D34" i="37"/>
  <c r="K33" i="37"/>
  <c r="J33" i="37"/>
  <c r="H33" i="37"/>
  <c r="G33" i="37"/>
  <c r="E33" i="37"/>
  <c r="D33" i="37"/>
  <c r="K32" i="37"/>
  <c r="J32" i="37"/>
  <c r="H32" i="37"/>
  <c r="G32" i="37"/>
  <c r="E32" i="37"/>
  <c r="D32" i="37"/>
  <c r="K31" i="37"/>
  <c r="J31" i="37"/>
  <c r="H31" i="37"/>
  <c r="G31" i="37"/>
  <c r="E31" i="37"/>
  <c r="D31" i="37"/>
  <c r="K30" i="37"/>
  <c r="J30" i="37"/>
  <c r="H30" i="37"/>
  <c r="G30" i="37"/>
  <c r="E30" i="37"/>
  <c r="D30" i="37"/>
  <c r="K29" i="37"/>
  <c r="J29" i="37"/>
  <c r="H29" i="37"/>
  <c r="G29" i="37"/>
  <c r="E29" i="37"/>
  <c r="D29" i="37"/>
  <c r="K28" i="37"/>
  <c r="J28" i="37"/>
  <c r="H28" i="37"/>
  <c r="G28" i="37"/>
  <c r="E28" i="37"/>
  <c r="D28" i="37"/>
  <c r="K27" i="37"/>
  <c r="J27" i="37"/>
  <c r="H27" i="37"/>
  <c r="G27" i="37"/>
  <c r="E27" i="37"/>
  <c r="D27" i="37"/>
  <c r="K26" i="37"/>
  <c r="J26" i="37"/>
  <c r="H26" i="37"/>
  <c r="G26" i="37"/>
  <c r="E26" i="37"/>
  <c r="D26" i="37"/>
  <c r="K25" i="37"/>
  <c r="J25" i="37"/>
  <c r="H25" i="37"/>
  <c r="G25" i="37"/>
  <c r="E25" i="37"/>
  <c r="D25" i="37"/>
  <c r="K24" i="37"/>
  <c r="J24" i="37"/>
  <c r="H24" i="37"/>
  <c r="G24" i="37"/>
  <c r="E24" i="37"/>
  <c r="D24" i="37"/>
  <c r="K23" i="37"/>
  <c r="J23" i="37"/>
  <c r="H23" i="37"/>
  <c r="G23" i="37"/>
  <c r="E23" i="37"/>
  <c r="D23" i="37"/>
  <c r="K22" i="37"/>
  <c r="J22" i="37"/>
  <c r="H22" i="37"/>
  <c r="G22" i="37"/>
  <c r="E22" i="37"/>
  <c r="D22" i="37"/>
  <c r="K21" i="37"/>
  <c r="J21" i="37"/>
  <c r="H21" i="37"/>
  <c r="G21" i="37"/>
  <c r="E21" i="37"/>
  <c r="D21" i="37"/>
  <c r="K20" i="37"/>
  <c r="J20" i="37"/>
  <c r="H20" i="37"/>
  <c r="G20" i="37"/>
  <c r="E20" i="37"/>
  <c r="D20" i="37"/>
  <c r="K19" i="37"/>
  <c r="J19" i="37"/>
  <c r="H19" i="37"/>
  <c r="G19" i="37"/>
  <c r="E19" i="37"/>
  <c r="D19" i="37"/>
  <c r="K18" i="37"/>
  <c r="J18" i="37"/>
  <c r="H18" i="37"/>
  <c r="G18" i="37"/>
  <c r="E18" i="37"/>
  <c r="D18" i="37"/>
  <c r="K17" i="37"/>
  <c r="J17" i="37"/>
  <c r="H17" i="37"/>
  <c r="G17" i="37"/>
  <c r="E17" i="37"/>
  <c r="D17" i="37"/>
  <c r="K16" i="37"/>
  <c r="J16" i="37"/>
  <c r="H16" i="37"/>
  <c r="G16" i="37"/>
  <c r="E16" i="37"/>
  <c r="D16" i="37"/>
  <c r="K15" i="37"/>
  <c r="J15" i="37"/>
  <c r="H15" i="37"/>
  <c r="G15" i="37"/>
  <c r="E15" i="37"/>
  <c r="D15" i="37"/>
  <c r="K14" i="37"/>
  <c r="J14" i="37"/>
  <c r="H14" i="37"/>
  <c r="G14" i="37"/>
  <c r="E14" i="37"/>
  <c r="D14" i="37"/>
  <c r="K13" i="37"/>
  <c r="J13" i="37"/>
  <c r="H13" i="37"/>
  <c r="G13" i="37"/>
  <c r="E13" i="37"/>
  <c r="D13" i="37"/>
  <c r="K12" i="37"/>
  <c r="J12" i="37"/>
  <c r="H12" i="37"/>
  <c r="G12" i="37"/>
  <c r="E12" i="37"/>
  <c r="D12" i="37"/>
  <c r="K11" i="37"/>
  <c r="J11" i="37"/>
  <c r="H11" i="37"/>
  <c r="G11" i="37"/>
  <c r="E11" i="37"/>
  <c r="D11" i="37"/>
  <c r="K10" i="37"/>
  <c r="J10" i="37"/>
  <c r="H10" i="37"/>
  <c r="G10" i="37"/>
  <c r="E10" i="37"/>
  <c r="D10" i="37"/>
  <c r="K9" i="37"/>
  <c r="J9" i="37"/>
  <c r="H9" i="37"/>
  <c r="G9" i="37"/>
  <c r="E9" i="37"/>
  <c r="D9" i="37"/>
  <c r="K8" i="37"/>
  <c r="J8" i="37"/>
  <c r="H8" i="37"/>
  <c r="G8" i="37"/>
  <c r="E8" i="37"/>
  <c r="D8" i="37"/>
  <c r="K7" i="37"/>
  <c r="J7" i="37"/>
  <c r="H7" i="37"/>
  <c r="G7" i="37"/>
  <c r="E7" i="37"/>
  <c r="D7" i="37"/>
  <c r="K6" i="37"/>
  <c r="J6" i="37"/>
  <c r="H6" i="37"/>
  <c r="G6" i="37"/>
  <c r="E6" i="37"/>
  <c r="D6" i="37"/>
  <c r="K5" i="37"/>
  <c r="J5" i="37"/>
  <c r="H5" i="37"/>
  <c r="G5" i="37"/>
  <c r="E5" i="37"/>
  <c r="D5" i="37"/>
  <c r="K4" i="37"/>
  <c r="J4" i="37"/>
  <c r="H4" i="37"/>
  <c r="G4" i="37"/>
  <c r="E4" i="37"/>
  <c r="D4" i="37"/>
  <c r="K43" i="36"/>
  <c r="K42" i="35"/>
  <c r="J42" i="35"/>
  <c r="H42" i="35"/>
  <c r="G42" i="35"/>
  <c r="E42" i="35"/>
  <c r="D42" i="35"/>
  <c r="K41" i="35"/>
  <c r="J41" i="35"/>
  <c r="H41" i="35"/>
  <c r="G41" i="35"/>
  <c r="E41" i="35"/>
  <c r="D41" i="35"/>
  <c r="K40" i="35"/>
  <c r="J40" i="35"/>
  <c r="H40" i="35"/>
  <c r="G40" i="35"/>
  <c r="E40" i="35"/>
  <c r="D40" i="35"/>
  <c r="K39" i="35"/>
  <c r="J39" i="35"/>
  <c r="H39" i="35"/>
  <c r="G39" i="35"/>
  <c r="E39" i="35"/>
  <c r="D39" i="35"/>
  <c r="K38" i="35"/>
  <c r="J38" i="35"/>
  <c r="H38" i="35"/>
  <c r="G38" i="35"/>
  <c r="E38" i="35"/>
  <c r="D38" i="35"/>
  <c r="K37" i="35"/>
  <c r="J37" i="35"/>
  <c r="H37" i="35"/>
  <c r="G37" i="35"/>
  <c r="E37" i="35"/>
  <c r="D37" i="35"/>
  <c r="K36" i="35"/>
  <c r="J36" i="35"/>
  <c r="H36" i="35"/>
  <c r="G36" i="35"/>
  <c r="E36" i="35"/>
  <c r="D36" i="35"/>
  <c r="K35" i="35"/>
  <c r="J35" i="35"/>
  <c r="H35" i="35"/>
  <c r="G35" i="35"/>
  <c r="E35" i="35"/>
  <c r="D35" i="35"/>
  <c r="K34" i="35"/>
  <c r="J34" i="35"/>
  <c r="H34" i="35"/>
  <c r="G34" i="35"/>
  <c r="E34" i="35"/>
  <c r="D34" i="35"/>
  <c r="K33" i="35"/>
  <c r="J33" i="35"/>
  <c r="H33" i="35"/>
  <c r="G33" i="35"/>
  <c r="E33" i="35"/>
  <c r="D33" i="35"/>
  <c r="K32" i="35"/>
  <c r="J32" i="35"/>
  <c r="H32" i="35"/>
  <c r="G32" i="35"/>
  <c r="E32" i="35"/>
  <c r="D32" i="35"/>
  <c r="K31" i="35"/>
  <c r="J31" i="35"/>
  <c r="H31" i="35"/>
  <c r="G31" i="35"/>
  <c r="E31" i="35"/>
  <c r="D31" i="35"/>
  <c r="K30" i="35"/>
  <c r="J30" i="35"/>
  <c r="H30" i="35"/>
  <c r="G30" i="35"/>
  <c r="E30" i="35"/>
  <c r="D30" i="35"/>
  <c r="K29" i="35"/>
  <c r="J29" i="35"/>
  <c r="H29" i="35"/>
  <c r="G29" i="35"/>
  <c r="E29" i="35"/>
  <c r="D29" i="35"/>
  <c r="K28" i="35"/>
  <c r="J28" i="35"/>
  <c r="H28" i="35"/>
  <c r="G28" i="35"/>
  <c r="E28" i="35"/>
  <c r="D28" i="35"/>
  <c r="K27" i="35"/>
  <c r="J27" i="35"/>
  <c r="H27" i="35"/>
  <c r="G27" i="35"/>
  <c r="E27" i="35"/>
  <c r="D27" i="35"/>
  <c r="K26" i="35"/>
  <c r="J26" i="35"/>
  <c r="H26" i="35"/>
  <c r="G26" i="35"/>
  <c r="E26" i="35"/>
  <c r="D26" i="35"/>
  <c r="K25" i="35"/>
  <c r="J25" i="35"/>
  <c r="H25" i="35"/>
  <c r="G25" i="35"/>
  <c r="E25" i="35"/>
  <c r="D25" i="35"/>
  <c r="K24" i="35"/>
  <c r="J24" i="35"/>
  <c r="H24" i="35"/>
  <c r="G24" i="35"/>
  <c r="E24" i="35"/>
  <c r="D24" i="35"/>
  <c r="K23" i="35"/>
  <c r="J23" i="35"/>
  <c r="H23" i="35"/>
  <c r="G23" i="35"/>
  <c r="E23" i="35"/>
  <c r="D23" i="35"/>
  <c r="K22" i="35"/>
  <c r="J22" i="35"/>
  <c r="H22" i="35"/>
  <c r="G22" i="35"/>
  <c r="E22" i="35"/>
  <c r="D22" i="35"/>
  <c r="K21" i="35"/>
  <c r="J21" i="35"/>
  <c r="H21" i="35"/>
  <c r="G21" i="35"/>
  <c r="E21" i="35"/>
  <c r="D21" i="35"/>
  <c r="K20" i="35"/>
  <c r="J20" i="35"/>
  <c r="H20" i="35"/>
  <c r="G20" i="35"/>
  <c r="E20" i="35"/>
  <c r="D20" i="35"/>
  <c r="K19" i="35"/>
  <c r="J19" i="35"/>
  <c r="H19" i="35"/>
  <c r="G19" i="35"/>
  <c r="E19" i="35"/>
  <c r="D19" i="35"/>
  <c r="K18" i="35"/>
  <c r="J18" i="35"/>
  <c r="H18" i="35"/>
  <c r="G18" i="35"/>
  <c r="E18" i="35"/>
  <c r="D18" i="35"/>
  <c r="K17" i="35"/>
  <c r="J17" i="35"/>
  <c r="H17" i="35"/>
  <c r="G17" i="35"/>
  <c r="E17" i="35"/>
  <c r="D17" i="35"/>
  <c r="K16" i="35"/>
  <c r="J16" i="35"/>
  <c r="H16" i="35"/>
  <c r="G16" i="35"/>
  <c r="E16" i="35"/>
  <c r="D16" i="35"/>
  <c r="K15" i="35"/>
  <c r="J15" i="35"/>
  <c r="H15" i="35"/>
  <c r="G15" i="35"/>
  <c r="E15" i="35"/>
  <c r="D15" i="35"/>
  <c r="K14" i="35"/>
  <c r="J14" i="35"/>
  <c r="H14" i="35"/>
  <c r="G14" i="35"/>
  <c r="E14" i="35"/>
  <c r="D14" i="35"/>
  <c r="K13" i="35"/>
  <c r="J13" i="35"/>
  <c r="H13" i="35"/>
  <c r="G13" i="35"/>
  <c r="E13" i="35"/>
  <c r="D13" i="35"/>
  <c r="K12" i="35"/>
  <c r="J12" i="35"/>
  <c r="H12" i="35"/>
  <c r="G12" i="35"/>
  <c r="E12" i="35"/>
  <c r="D12" i="35"/>
  <c r="K11" i="35"/>
  <c r="J11" i="35"/>
  <c r="H11" i="35"/>
  <c r="G11" i="35"/>
  <c r="E11" i="35"/>
  <c r="D11" i="35"/>
  <c r="K10" i="35"/>
  <c r="J10" i="35"/>
  <c r="H10" i="35"/>
  <c r="G10" i="35"/>
  <c r="E10" i="35"/>
  <c r="D10" i="35"/>
  <c r="K9" i="35"/>
  <c r="J9" i="35"/>
  <c r="H9" i="35"/>
  <c r="G9" i="35"/>
  <c r="E9" i="35"/>
  <c r="D9" i="35"/>
  <c r="K8" i="35"/>
  <c r="J8" i="35"/>
  <c r="H8" i="35"/>
  <c r="G8" i="35"/>
  <c r="E8" i="35"/>
  <c r="D8" i="35"/>
  <c r="K7" i="35"/>
  <c r="J7" i="35"/>
  <c r="H7" i="35"/>
  <c r="G7" i="35"/>
  <c r="E7" i="35"/>
  <c r="D7" i="35"/>
  <c r="K6" i="35"/>
  <c r="J6" i="35"/>
  <c r="H6" i="35"/>
  <c r="G6" i="35"/>
  <c r="E6" i="35"/>
  <c r="D6" i="35"/>
  <c r="K5" i="35"/>
  <c r="J5" i="35"/>
  <c r="H5" i="35"/>
  <c r="G5" i="35"/>
  <c r="E5" i="35"/>
  <c r="D5" i="35"/>
  <c r="K4" i="35"/>
  <c r="J4" i="35"/>
  <c r="H4" i="35"/>
  <c r="G4" i="35"/>
  <c r="E4" i="35"/>
  <c r="D4" i="35"/>
  <c r="C44" i="37"/>
  <c r="Q42" i="37"/>
  <c r="R42" i="37" s="1"/>
  <c r="L42" i="37"/>
  <c r="Q41" i="37"/>
  <c r="L41" i="37"/>
  <c r="Q40" i="37"/>
  <c r="L40" i="37"/>
  <c r="Q39" i="37"/>
  <c r="L39" i="37"/>
  <c r="Q38" i="37"/>
  <c r="L38" i="37"/>
  <c r="N38" i="37" s="1"/>
  <c r="Q37" i="37"/>
  <c r="L37" i="37"/>
  <c r="Q36" i="37"/>
  <c r="R36" i="37" s="1"/>
  <c r="L36" i="37"/>
  <c r="Q35" i="37"/>
  <c r="L35" i="37"/>
  <c r="Q34" i="37"/>
  <c r="L34" i="37"/>
  <c r="Q33" i="37"/>
  <c r="L33" i="37"/>
  <c r="Q32" i="37"/>
  <c r="L32" i="37"/>
  <c r="N32" i="37" s="1"/>
  <c r="Q31" i="37"/>
  <c r="L31" i="37"/>
  <c r="Q30" i="37"/>
  <c r="R30" i="37" s="1"/>
  <c r="L30" i="37"/>
  <c r="Q29" i="37"/>
  <c r="L29" i="37"/>
  <c r="Q28" i="37"/>
  <c r="L28" i="37"/>
  <c r="Q27" i="37"/>
  <c r="L27" i="37"/>
  <c r="R27" i="37" s="1"/>
  <c r="Q26" i="37"/>
  <c r="L26" i="37"/>
  <c r="N26" i="37" s="1"/>
  <c r="Q25" i="37"/>
  <c r="L25" i="37"/>
  <c r="Q24" i="37"/>
  <c r="R24" i="37" s="1"/>
  <c r="L24" i="37"/>
  <c r="Q23" i="37"/>
  <c r="L23" i="37"/>
  <c r="Q22" i="37"/>
  <c r="L22" i="37"/>
  <c r="Q21" i="37"/>
  <c r="L21" i="37"/>
  <c r="Q20" i="37"/>
  <c r="L20" i="37"/>
  <c r="Q19" i="37"/>
  <c r="L19" i="37"/>
  <c r="Q18" i="37"/>
  <c r="R18" i="37" s="1"/>
  <c r="L18" i="37"/>
  <c r="Q17" i="37"/>
  <c r="L17" i="37"/>
  <c r="Q16" i="37"/>
  <c r="R16" i="37" s="1"/>
  <c r="L16" i="37"/>
  <c r="Q15" i="37"/>
  <c r="L15" i="37"/>
  <c r="Q14" i="37"/>
  <c r="L14" i="37"/>
  <c r="N14" i="37" s="1"/>
  <c r="Q13" i="37"/>
  <c r="L13" i="37"/>
  <c r="Q12" i="37"/>
  <c r="R12" i="37" s="1"/>
  <c r="L12" i="37"/>
  <c r="Q11" i="37"/>
  <c r="L11" i="37"/>
  <c r="Q10" i="37"/>
  <c r="R10" i="37" s="1"/>
  <c r="L10" i="37"/>
  <c r="Q9" i="37"/>
  <c r="L9" i="37"/>
  <c r="Q8" i="37"/>
  <c r="L8" i="37"/>
  <c r="N27" i="37" s="1"/>
  <c r="Q7" i="37"/>
  <c r="L7" i="37"/>
  <c r="Q6" i="37"/>
  <c r="R6" i="37" s="1"/>
  <c r="L6" i="37"/>
  <c r="Q5" i="37"/>
  <c r="L5" i="37"/>
  <c r="Q4" i="37"/>
  <c r="L4" i="37"/>
  <c r="C44" i="36"/>
  <c r="Q42" i="36"/>
  <c r="R42" i="36" s="1"/>
  <c r="Q41" i="36"/>
  <c r="Q40" i="36"/>
  <c r="Q39" i="36"/>
  <c r="Q38" i="36"/>
  <c r="Q37" i="36"/>
  <c r="R37" i="36" s="1"/>
  <c r="Q36" i="36"/>
  <c r="Q35" i="36"/>
  <c r="Q34" i="36"/>
  <c r="Q33" i="36"/>
  <c r="Q32" i="36"/>
  <c r="Q31" i="36"/>
  <c r="Q30" i="36"/>
  <c r="Q29" i="36"/>
  <c r="Q28" i="36"/>
  <c r="R28" i="36" s="1"/>
  <c r="Q27" i="36"/>
  <c r="Q26" i="36"/>
  <c r="Q25" i="36"/>
  <c r="Q24" i="36"/>
  <c r="Q23" i="36"/>
  <c r="Q22" i="36"/>
  <c r="Q21" i="36"/>
  <c r="Q20" i="36"/>
  <c r="Q19" i="36"/>
  <c r="Q18" i="36"/>
  <c r="Q17" i="36"/>
  <c r="Q16" i="36"/>
  <c r="R16" i="36" s="1"/>
  <c r="Q15" i="36"/>
  <c r="R15" i="36" s="1"/>
  <c r="Q14" i="36"/>
  <c r="Q13" i="36"/>
  <c r="Q12" i="36"/>
  <c r="Q11" i="36"/>
  <c r="Q10" i="36"/>
  <c r="Q9" i="36"/>
  <c r="Q8" i="36"/>
  <c r="Q7" i="36"/>
  <c r="Q6" i="36"/>
  <c r="Q5" i="36"/>
  <c r="Q4" i="36"/>
  <c r="C44" i="35"/>
  <c r="Q42" i="35"/>
  <c r="L42" i="35"/>
  <c r="R42" i="35" s="1"/>
  <c r="Q41" i="35"/>
  <c r="L41" i="35"/>
  <c r="Q40" i="35"/>
  <c r="L40" i="35"/>
  <c r="R40" i="35" s="1"/>
  <c r="Q39" i="35"/>
  <c r="L39" i="35"/>
  <c r="Q38" i="35"/>
  <c r="L38" i="35"/>
  <c r="R38" i="35" s="1"/>
  <c r="Q37" i="35"/>
  <c r="R37" i="35" s="1"/>
  <c r="L37" i="35"/>
  <c r="Q36" i="35"/>
  <c r="L36" i="35"/>
  <c r="Q35" i="35"/>
  <c r="L35" i="35"/>
  <c r="Q34" i="35"/>
  <c r="L34" i="35"/>
  <c r="R34" i="35" s="1"/>
  <c r="Q33" i="35"/>
  <c r="L33" i="35"/>
  <c r="Q32" i="35"/>
  <c r="L32" i="35"/>
  <c r="R32" i="35" s="1"/>
  <c r="Q31" i="35"/>
  <c r="L31" i="35"/>
  <c r="Q30" i="35"/>
  <c r="L30" i="35"/>
  <c r="Q29" i="35"/>
  <c r="L29" i="35"/>
  <c r="Q28" i="35"/>
  <c r="L28" i="35"/>
  <c r="R28" i="35" s="1"/>
  <c r="Q27" i="35"/>
  <c r="L27" i="35"/>
  <c r="Q26" i="35"/>
  <c r="L26" i="35"/>
  <c r="Q25" i="35"/>
  <c r="R25" i="35" s="1"/>
  <c r="L25" i="35"/>
  <c r="Q24" i="35"/>
  <c r="L24" i="35"/>
  <c r="R24" i="35" s="1"/>
  <c r="Q23" i="35"/>
  <c r="L23" i="35"/>
  <c r="Q22" i="35"/>
  <c r="L22" i="35"/>
  <c r="Q21" i="35"/>
  <c r="L21" i="35"/>
  <c r="Q20" i="35"/>
  <c r="L20" i="35"/>
  <c r="Q19" i="35"/>
  <c r="R19" i="35" s="1"/>
  <c r="L19" i="35"/>
  <c r="Q18" i="35"/>
  <c r="L18" i="35"/>
  <c r="R18" i="35" s="1"/>
  <c r="Q17" i="35"/>
  <c r="L17" i="35"/>
  <c r="Q16" i="35"/>
  <c r="L16" i="35"/>
  <c r="Q15" i="35"/>
  <c r="L15" i="35"/>
  <c r="Q14" i="35"/>
  <c r="L14" i="35"/>
  <c r="Q13" i="35"/>
  <c r="L13" i="35"/>
  <c r="Q12" i="35"/>
  <c r="L12" i="35"/>
  <c r="R12" i="35" s="1"/>
  <c r="Q11" i="35"/>
  <c r="L11" i="35"/>
  <c r="Q10" i="35"/>
  <c r="L10" i="35"/>
  <c r="Q9" i="35"/>
  <c r="L9" i="35"/>
  <c r="Q8" i="35"/>
  <c r="L8" i="35"/>
  <c r="R8" i="35" s="1"/>
  <c r="Q7" i="35"/>
  <c r="Q44" i="35" s="1"/>
  <c r="L7" i="35"/>
  <c r="Q6" i="35"/>
  <c r="L6" i="35"/>
  <c r="R6" i="35" s="1"/>
  <c r="Q5" i="35"/>
  <c r="L5" i="35"/>
  <c r="Q4" i="35"/>
  <c r="L4" i="35"/>
  <c r="C42" i="33"/>
  <c r="Q40" i="33"/>
  <c r="L40" i="33"/>
  <c r="K40" i="33"/>
  <c r="J40" i="33"/>
  <c r="H40" i="33"/>
  <c r="G40" i="33"/>
  <c r="E40" i="33"/>
  <c r="D40" i="33"/>
  <c r="Q39" i="33"/>
  <c r="L39" i="33"/>
  <c r="K39" i="33"/>
  <c r="J39" i="33"/>
  <c r="H39" i="33"/>
  <c r="G39" i="33"/>
  <c r="E39" i="33"/>
  <c r="D39" i="33"/>
  <c r="Q38" i="33"/>
  <c r="L38" i="33"/>
  <c r="K38" i="33"/>
  <c r="J38" i="33"/>
  <c r="H38" i="33"/>
  <c r="G38" i="33"/>
  <c r="E38" i="33"/>
  <c r="D38" i="33"/>
  <c r="Q37" i="33"/>
  <c r="L37" i="33"/>
  <c r="K37" i="33"/>
  <c r="J37" i="33"/>
  <c r="H37" i="33"/>
  <c r="G37" i="33"/>
  <c r="E37" i="33"/>
  <c r="D37" i="33"/>
  <c r="Q36" i="33"/>
  <c r="L36" i="33"/>
  <c r="K36" i="33"/>
  <c r="J36" i="33"/>
  <c r="E36" i="33"/>
  <c r="D36" i="33"/>
  <c r="Q35" i="33"/>
  <c r="L35" i="33"/>
  <c r="N35" i="33" s="1"/>
  <c r="K35" i="33"/>
  <c r="J35" i="33"/>
  <c r="H35" i="33"/>
  <c r="G35" i="33"/>
  <c r="E35" i="33"/>
  <c r="D35" i="33"/>
  <c r="Q34" i="33"/>
  <c r="L34" i="33"/>
  <c r="K34" i="33"/>
  <c r="J34" i="33"/>
  <c r="H34" i="33"/>
  <c r="G34" i="33"/>
  <c r="E34" i="33"/>
  <c r="D34" i="33"/>
  <c r="Q33" i="33"/>
  <c r="R33" i="33" s="1"/>
  <c r="L33" i="33"/>
  <c r="K33" i="33"/>
  <c r="J33" i="33"/>
  <c r="H33" i="33"/>
  <c r="G33" i="33"/>
  <c r="E33" i="33"/>
  <c r="M33" i="33" s="1"/>
  <c r="D33" i="33"/>
  <c r="Q32" i="33"/>
  <c r="L32" i="33"/>
  <c r="N32" i="33" s="1"/>
  <c r="K32" i="33"/>
  <c r="J32" i="33"/>
  <c r="H32" i="33"/>
  <c r="G32" i="33"/>
  <c r="E32" i="33"/>
  <c r="M32" i="33" s="1"/>
  <c r="D32" i="33"/>
  <c r="Q31" i="33"/>
  <c r="R31" i="33" s="1"/>
  <c r="L31" i="33"/>
  <c r="K31" i="33"/>
  <c r="J31" i="33"/>
  <c r="H31" i="33"/>
  <c r="G31" i="33"/>
  <c r="E31" i="33"/>
  <c r="D31" i="33"/>
  <c r="Q30" i="33"/>
  <c r="L30" i="33"/>
  <c r="K30" i="33"/>
  <c r="J30" i="33"/>
  <c r="H30" i="33"/>
  <c r="G30" i="33"/>
  <c r="E30" i="33"/>
  <c r="D30" i="33"/>
  <c r="Q29" i="33"/>
  <c r="L29" i="33"/>
  <c r="R29" i="33" s="1"/>
  <c r="K29" i="33"/>
  <c r="J29" i="33"/>
  <c r="H29" i="33"/>
  <c r="G29" i="33"/>
  <c r="E29" i="33"/>
  <c r="M29" i="33" s="1"/>
  <c r="D29" i="33"/>
  <c r="Q28" i="33"/>
  <c r="R28" i="33" s="1"/>
  <c r="L28" i="33"/>
  <c r="K28" i="33"/>
  <c r="J28" i="33"/>
  <c r="H28" i="33"/>
  <c r="G28" i="33"/>
  <c r="E28" i="33"/>
  <c r="D28" i="33"/>
  <c r="Q27" i="33"/>
  <c r="L27" i="33"/>
  <c r="K27" i="33"/>
  <c r="J27" i="33"/>
  <c r="H27" i="33"/>
  <c r="G27" i="33"/>
  <c r="E27" i="33"/>
  <c r="D27" i="33"/>
  <c r="Q26" i="33"/>
  <c r="L26" i="33"/>
  <c r="N26" i="33" s="1"/>
  <c r="K26" i="33"/>
  <c r="J26" i="33"/>
  <c r="H26" i="33"/>
  <c r="G26" i="33"/>
  <c r="E26" i="33"/>
  <c r="M26" i="33" s="1"/>
  <c r="D26" i="33"/>
  <c r="Q25" i="33"/>
  <c r="R25" i="33" s="1"/>
  <c r="L25" i="33"/>
  <c r="K25" i="33"/>
  <c r="J25" i="33"/>
  <c r="H25" i="33"/>
  <c r="G25" i="33"/>
  <c r="E25" i="33"/>
  <c r="D25" i="33"/>
  <c r="Q24" i="33"/>
  <c r="L24" i="33"/>
  <c r="K24" i="33"/>
  <c r="J24" i="33"/>
  <c r="H24" i="33"/>
  <c r="G24" i="33"/>
  <c r="E24" i="33"/>
  <c r="D24" i="33"/>
  <c r="Q23" i="33"/>
  <c r="L23" i="33"/>
  <c r="N23" i="33" s="1"/>
  <c r="K23" i="33"/>
  <c r="J23" i="33"/>
  <c r="H23" i="33"/>
  <c r="G23" i="33"/>
  <c r="E23" i="33"/>
  <c r="D23" i="33"/>
  <c r="Q22" i="33"/>
  <c r="L22" i="33"/>
  <c r="K22" i="33"/>
  <c r="J22" i="33"/>
  <c r="H22" i="33"/>
  <c r="G22" i="33"/>
  <c r="E22" i="33"/>
  <c r="D22" i="33"/>
  <c r="Q21" i="33"/>
  <c r="R21" i="33" s="1"/>
  <c r="L21" i="33"/>
  <c r="K21" i="33"/>
  <c r="J21" i="33"/>
  <c r="H21" i="33"/>
  <c r="G21" i="33"/>
  <c r="E21" i="33"/>
  <c r="M21" i="33" s="1"/>
  <c r="D21" i="33"/>
  <c r="Q20" i="33"/>
  <c r="L20" i="33"/>
  <c r="N20" i="33" s="1"/>
  <c r="K20" i="33"/>
  <c r="J20" i="33"/>
  <c r="H20" i="33"/>
  <c r="G20" i="33"/>
  <c r="E20" i="33"/>
  <c r="D20" i="33"/>
  <c r="Q19" i="33"/>
  <c r="L19" i="33"/>
  <c r="K19" i="33"/>
  <c r="J19" i="33"/>
  <c r="H19" i="33"/>
  <c r="G19" i="33"/>
  <c r="E19" i="33"/>
  <c r="D19" i="33"/>
  <c r="Q18" i="33"/>
  <c r="L18" i="33"/>
  <c r="K18" i="33"/>
  <c r="J18" i="33"/>
  <c r="H18" i="33"/>
  <c r="G18" i="33"/>
  <c r="E18" i="33"/>
  <c r="D18" i="33"/>
  <c r="Q17" i="33"/>
  <c r="L17" i="33"/>
  <c r="N17" i="33" s="1"/>
  <c r="K17" i="33"/>
  <c r="J17" i="33"/>
  <c r="H17" i="33"/>
  <c r="G17" i="33"/>
  <c r="E17" i="33"/>
  <c r="D17" i="33"/>
  <c r="Q16" i="33"/>
  <c r="R16" i="33" s="1"/>
  <c r="L16" i="33"/>
  <c r="K16" i="33"/>
  <c r="J16" i="33"/>
  <c r="H16" i="33"/>
  <c r="G16" i="33"/>
  <c r="E16" i="33"/>
  <c r="D16" i="33"/>
  <c r="Q15" i="33"/>
  <c r="L15" i="33"/>
  <c r="K15" i="33"/>
  <c r="J15" i="33"/>
  <c r="H15" i="33"/>
  <c r="G15" i="33"/>
  <c r="E15" i="33"/>
  <c r="D15" i="33"/>
  <c r="Q14" i="33"/>
  <c r="L14" i="33"/>
  <c r="N14" i="33" s="1"/>
  <c r="K14" i="33"/>
  <c r="J14" i="33"/>
  <c r="Q13" i="33"/>
  <c r="R13" i="33" s="1"/>
  <c r="L13" i="33"/>
  <c r="K13" i="33"/>
  <c r="J13" i="33"/>
  <c r="H13" i="33"/>
  <c r="G13" i="33"/>
  <c r="E13" i="33"/>
  <c r="D13" i="33"/>
  <c r="Q12" i="33"/>
  <c r="L12" i="33"/>
  <c r="N12" i="33" s="1"/>
  <c r="K12" i="33"/>
  <c r="J12" i="33"/>
  <c r="H12" i="33"/>
  <c r="G12" i="33"/>
  <c r="E12" i="33"/>
  <c r="D12" i="33"/>
  <c r="Q11" i="33"/>
  <c r="R11" i="33" s="1"/>
  <c r="L11" i="33"/>
  <c r="K11" i="33"/>
  <c r="J11" i="33"/>
  <c r="H11" i="33"/>
  <c r="G11" i="33"/>
  <c r="E11" i="33"/>
  <c r="M11" i="33" s="1"/>
  <c r="D11" i="33"/>
  <c r="Q10" i="33"/>
  <c r="R10" i="33" s="1"/>
  <c r="L10" i="33"/>
  <c r="K10" i="33"/>
  <c r="J10" i="33"/>
  <c r="H10" i="33"/>
  <c r="G10" i="33"/>
  <c r="E10" i="33"/>
  <c r="M10" i="33" s="1"/>
  <c r="D10" i="33"/>
  <c r="Q9" i="33"/>
  <c r="L9" i="33"/>
  <c r="N9" i="33" s="1"/>
  <c r="K9" i="33"/>
  <c r="J9" i="33"/>
  <c r="H9" i="33"/>
  <c r="G9" i="33"/>
  <c r="E9" i="33"/>
  <c r="M9" i="33" s="1"/>
  <c r="D9" i="33"/>
  <c r="Q8" i="33"/>
  <c r="R8" i="33" s="1"/>
  <c r="L8" i="33"/>
  <c r="K8" i="33"/>
  <c r="J8" i="33"/>
  <c r="H8" i="33"/>
  <c r="G8" i="33"/>
  <c r="E8" i="33"/>
  <c r="D8" i="33"/>
  <c r="Q7" i="33"/>
  <c r="R7" i="33" s="1"/>
  <c r="L7" i="33"/>
  <c r="K7" i="33"/>
  <c r="J7" i="33"/>
  <c r="H7" i="33"/>
  <c r="G7" i="33"/>
  <c r="E7" i="33"/>
  <c r="M7" i="33" s="1"/>
  <c r="D7" i="33"/>
  <c r="Q6" i="33"/>
  <c r="L6" i="33"/>
  <c r="N5" i="33" s="1"/>
  <c r="K6" i="33"/>
  <c r="J6" i="33"/>
  <c r="H6" i="33"/>
  <c r="G6" i="33"/>
  <c r="E6" i="33"/>
  <c r="M6" i="33" s="1"/>
  <c r="D6" i="33"/>
  <c r="Q5" i="33"/>
  <c r="L5" i="33"/>
  <c r="K5" i="33"/>
  <c r="J5" i="33"/>
  <c r="H5" i="33"/>
  <c r="G5" i="33"/>
  <c r="E5" i="33"/>
  <c r="M5" i="33" s="1"/>
  <c r="D5" i="33"/>
  <c r="Q4" i="33"/>
  <c r="Q42" i="33" s="1"/>
  <c r="L4" i="33"/>
  <c r="K4" i="33"/>
  <c r="J4" i="33"/>
  <c r="H4" i="33"/>
  <c r="G4" i="33"/>
  <c r="E4" i="33"/>
  <c r="M4" i="33" s="1"/>
  <c r="D4" i="33"/>
  <c r="C42" i="32"/>
  <c r="Q40" i="32"/>
  <c r="L40" i="32"/>
  <c r="K40" i="32"/>
  <c r="J40" i="32"/>
  <c r="H40" i="32"/>
  <c r="G40" i="32"/>
  <c r="E40" i="32"/>
  <c r="D40" i="32"/>
  <c r="Q39" i="32"/>
  <c r="L39" i="32"/>
  <c r="K39" i="32"/>
  <c r="J39" i="32"/>
  <c r="Q38" i="32"/>
  <c r="L38" i="32"/>
  <c r="K38" i="32"/>
  <c r="J38" i="32"/>
  <c r="H38" i="32"/>
  <c r="G38" i="32"/>
  <c r="E38" i="32"/>
  <c r="D38" i="32"/>
  <c r="Q37" i="32"/>
  <c r="L37" i="32"/>
  <c r="K37" i="32"/>
  <c r="J37" i="32"/>
  <c r="H37" i="32"/>
  <c r="G37" i="32"/>
  <c r="E37" i="32"/>
  <c r="D37" i="32"/>
  <c r="Q36" i="32"/>
  <c r="L36" i="32"/>
  <c r="K36" i="32"/>
  <c r="J36" i="32"/>
  <c r="H36" i="32"/>
  <c r="G36" i="32"/>
  <c r="E36" i="32"/>
  <c r="D36" i="32"/>
  <c r="Q35" i="32"/>
  <c r="L35" i="32"/>
  <c r="K35" i="32"/>
  <c r="J35" i="32"/>
  <c r="H35" i="32"/>
  <c r="G35" i="32"/>
  <c r="E35" i="32"/>
  <c r="D35" i="32"/>
  <c r="Q34" i="32"/>
  <c r="L34" i="32"/>
  <c r="K34" i="32"/>
  <c r="J34" i="32"/>
  <c r="H34" i="32"/>
  <c r="G34" i="32"/>
  <c r="E34" i="32"/>
  <c r="D34" i="32"/>
  <c r="Q33" i="32"/>
  <c r="L33" i="32"/>
  <c r="K33" i="32"/>
  <c r="J33" i="32"/>
  <c r="H33" i="32"/>
  <c r="G33" i="32"/>
  <c r="E33" i="32"/>
  <c r="D33" i="32"/>
  <c r="Q32" i="32"/>
  <c r="R32" i="32" s="1"/>
  <c r="L32" i="32"/>
  <c r="K32" i="32"/>
  <c r="J32" i="32"/>
  <c r="H32" i="32"/>
  <c r="G32" i="32"/>
  <c r="E32" i="32"/>
  <c r="D32" i="32"/>
  <c r="Q31" i="32"/>
  <c r="L31" i="32"/>
  <c r="K31" i="32"/>
  <c r="J31" i="32"/>
  <c r="H31" i="32"/>
  <c r="G31" i="32"/>
  <c r="E31" i="32"/>
  <c r="M31" i="32" s="1"/>
  <c r="D31" i="32"/>
  <c r="Q30" i="32"/>
  <c r="L30" i="32"/>
  <c r="K30" i="32"/>
  <c r="J30" i="32"/>
  <c r="H30" i="32"/>
  <c r="G30" i="32"/>
  <c r="E30" i="32"/>
  <c r="D30" i="32"/>
  <c r="Q29" i="32"/>
  <c r="R29" i="32" s="1"/>
  <c r="L29" i="32"/>
  <c r="K29" i="32"/>
  <c r="J29" i="32"/>
  <c r="Q28" i="32"/>
  <c r="L28" i="32"/>
  <c r="K28" i="32"/>
  <c r="J28" i="32"/>
  <c r="H28" i="32"/>
  <c r="G28" i="32"/>
  <c r="E28" i="32"/>
  <c r="D28" i="32"/>
  <c r="Q27" i="32"/>
  <c r="L27" i="32"/>
  <c r="K27" i="32"/>
  <c r="J27" i="32"/>
  <c r="H27" i="32"/>
  <c r="G27" i="32"/>
  <c r="E27" i="32"/>
  <c r="D27" i="32"/>
  <c r="Q26" i="32"/>
  <c r="L26" i="32"/>
  <c r="K26" i="32"/>
  <c r="J26" i="32"/>
  <c r="H26" i="32"/>
  <c r="G26" i="32"/>
  <c r="E26" i="32"/>
  <c r="D26" i="32"/>
  <c r="Q25" i="32"/>
  <c r="L25" i="32"/>
  <c r="K25" i="32"/>
  <c r="J25" i="32"/>
  <c r="H25" i="32"/>
  <c r="G25" i="32"/>
  <c r="E25" i="32"/>
  <c r="D25" i="32"/>
  <c r="Q24" i="32"/>
  <c r="L24" i="32"/>
  <c r="K24" i="32"/>
  <c r="J24" i="32"/>
  <c r="H24" i="32"/>
  <c r="G24" i="32"/>
  <c r="E24" i="32"/>
  <c r="D24" i="32"/>
  <c r="Q23" i="32"/>
  <c r="L23" i="32"/>
  <c r="R23" i="32" s="1"/>
  <c r="K23" i="32"/>
  <c r="J23" i="32"/>
  <c r="H23" i="32"/>
  <c r="G23" i="32"/>
  <c r="E23" i="32"/>
  <c r="D23" i="32"/>
  <c r="Q22" i="32"/>
  <c r="L22" i="32"/>
  <c r="R22" i="32" s="1"/>
  <c r="K22" i="32"/>
  <c r="J22" i="32"/>
  <c r="H22" i="32"/>
  <c r="G22" i="32"/>
  <c r="E22" i="32"/>
  <c r="D22" i="32"/>
  <c r="Q21" i="32"/>
  <c r="L21" i="32"/>
  <c r="K21" i="32"/>
  <c r="J21" i="32"/>
  <c r="H21" i="32"/>
  <c r="G21" i="32"/>
  <c r="E21" i="32"/>
  <c r="D21" i="32"/>
  <c r="Q20" i="32"/>
  <c r="L20" i="32"/>
  <c r="K20" i="32"/>
  <c r="J20" i="32"/>
  <c r="H20" i="32"/>
  <c r="G20" i="32"/>
  <c r="E20" i="32"/>
  <c r="D20" i="32"/>
  <c r="Q19" i="32"/>
  <c r="L19" i="32"/>
  <c r="K19" i="32"/>
  <c r="J19" i="32"/>
  <c r="H19" i="32"/>
  <c r="G19" i="32"/>
  <c r="E19" i="32"/>
  <c r="D19" i="32"/>
  <c r="Q18" i="32"/>
  <c r="L18" i="32"/>
  <c r="K18" i="32"/>
  <c r="J18" i="32"/>
  <c r="Q17" i="32"/>
  <c r="L17" i="32"/>
  <c r="R17" i="32" s="1"/>
  <c r="K17" i="32"/>
  <c r="J17" i="32"/>
  <c r="Q16" i="32"/>
  <c r="L16" i="32"/>
  <c r="R16" i="32" s="1"/>
  <c r="K16" i="32"/>
  <c r="J16" i="32"/>
  <c r="H16" i="32"/>
  <c r="G16" i="32"/>
  <c r="E16" i="32"/>
  <c r="D16" i="32"/>
  <c r="Q15" i="32"/>
  <c r="L15" i="32"/>
  <c r="R15" i="32" s="1"/>
  <c r="K15" i="32"/>
  <c r="J15" i="32"/>
  <c r="H15" i="32"/>
  <c r="G15" i="32"/>
  <c r="E15" i="32"/>
  <c r="M15" i="32" s="1"/>
  <c r="D15" i="32"/>
  <c r="Q14" i="32"/>
  <c r="R14" i="32" s="1"/>
  <c r="L14" i="32"/>
  <c r="K14" i="32"/>
  <c r="J14" i="32"/>
  <c r="H14" i="32"/>
  <c r="G14" i="32"/>
  <c r="E14" i="32"/>
  <c r="D14" i="32"/>
  <c r="Q13" i="32"/>
  <c r="L13" i="32"/>
  <c r="K13" i="32"/>
  <c r="J13" i="32"/>
  <c r="Q12" i="32"/>
  <c r="L12" i="32"/>
  <c r="K12" i="32"/>
  <c r="J12" i="32"/>
  <c r="H12" i="32"/>
  <c r="G12" i="32"/>
  <c r="E12" i="32"/>
  <c r="M12" i="32" s="1"/>
  <c r="D12" i="32"/>
  <c r="Q11" i="32"/>
  <c r="L11" i="32"/>
  <c r="R11" i="32" s="1"/>
  <c r="K11" i="32"/>
  <c r="J11" i="32"/>
  <c r="H11" i="32"/>
  <c r="G11" i="32"/>
  <c r="E11" i="32"/>
  <c r="D11" i="32"/>
  <c r="Q10" i="32"/>
  <c r="L10" i="32"/>
  <c r="K10" i="32"/>
  <c r="J10" i="32"/>
  <c r="H10" i="32"/>
  <c r="G10" i="32"/>
  <c r="E10" i="32"/>
  <c r="M10" i="32" s="1"/>
  <c r="D10" i="32"/>
  <c r="Q9" i="32"/>
  <c r="R9" i="32" s="1"/>
  <c r="L9" i="32"/>
  <c r="K9" i="32"/>
  <c r="J9" i="32"/>
  <c r="H9" i="32"/>
  <c r="G9" i="32"/>
  <c r="E9" i="32"/>
  <c r="D9" i="32"/>
  <c r="Q8" i="32"/>
  <c r="L8" i="32"/>
  <c r="K8" i="32"/>
  <c r="J8" i="32"/>
  <c r="H8" i="32"/>
  <c r="G8" i="32"/>
  <c r="E8" i="32"/>
  <c r="D8" i="32"/>
  <c r="Q7" i="32"/>
  <c r="L7" i="32"/>
  <c r="K7" i="32"/>
  <c r="J7" i="32"/>
  <c r="H7" i="32"/>
  <c r="G7" i="32"/>
  <c r="E7" i="32"/>
  <c r="D7" i="32"/>
  <c r="Q6" i="32"/>
  <c r="L6" i="32"/>
  <c r="K6" i="32"/>
  <c r="J6" i="32"/>
  <c r="H6" i="32"/>
  <c r="G6" i="32"/>
  <c r="E6" i="32"/>
  <c r="D6" i="32"/>
  <c r="Q5" i="32"/>
  <c r="L5" i="32"/>
  <c r="K5" i="32"/>
  <c r="J5" i="32"/>
  <c r="H5" i="32"/>
  <c r="G5" i="32"/>
  <c r="E5" i="32"/>
  <c r="M5" i="32" s="1"/>
  <c r="D5" i="32"/>
  <c r="Q4" i="32"/>
  <c r="L4" i="32"/>
  <c r="K4" i="32"/>
  <c r="J4" i="32"/>
  <c r="H4" i="32"/>
  <c r="G4" i="32"/>
  <c r="E4" i="32"/>
  <c r="M4" i="32" s="1"/>
  <c r="D4" i="32"/>
  <c r="C42" i="31"/>
  <c r="Q40" i="31"/>
  <c r="L40" i="31"/>
  <c r="K40" i="31"/>
  <c r="J40" i="31"/>
  <c r="H40" i="31"/>
  <c r="G40" i="31"/>
  <c r="E40" i="31"/>
  <c r="D40" i="31"/>
  <c r="Q39" i="31"/>
  <c r="L39" i="31"/>
  <c r="K39" i="31"/>
  <c r="J39" i="31"/>
  <c r="H39" i="31"/>
  <c r="G39" i="31"/>
  <c r="E39" i="31"/>
  <c r="D39" i="31"/>
  <c r="Q38" i="31"/>
  <c r="L38" i="31"/>
  <c r="K38" i="31"/>
  <c r="J38" i="31"/>
  <c r="Q37" i="31"/>
  <c r="L37" i="31"/>
  <c r="K37" i="31"/>
  <c r="J37" i="31"/>
  <c r="H37" i="31"/>
  <c r="G37" i="31"/>
  <c r="E37" i="31"/>
  <c r="D37" i="31"/>
  <c r="Q36" i="31"/>
  <c r="L36" i="31"/>
  <c r="K36" i="31"/>
  <c r="J36" i="31"/>
  <c r="H36" i="31"/>
  <c r="G36" i="31"/>
  <c r="E36" i="31"/>
  <c r="D36" i="31"/>
  <c r="Q35" i="31"/>
  <c r="L35" i="31"/>
  <c r="K35" i="31"/>
  <c r="J35" i="31"/>
  <c r="H35" i="31"/>
  <c r="G35" i="31"/>
  <c r="E35" i="31"/>
  <c r="D35" i="31"/>
  <c r="Q34" i="31"/>
  <c r="L34" i="31"/>
  <c r="K34" i="31"/>
  <c r="J34" i="31"/>
  <c r="H34" i="31"/>
  <c r="G34" i="31"/>
  <c r="E34" i="31"/>
  <c r="D34" i="31"/>
  <c r="Q33" i="31"/>
  <c r="L33" i="31"/>
  <c r="K33" i="31"/>
  <c r="J33" i="31"/>
  <c r="H33" i="31"/>
  <c r="G33" i="31"/>
  <c r="E33" i="31"/>
  <c r="D33" i="31"/>
  <c r="Q32" i="31"/>
  <c r="L32" i="31"/>
  <c r="K32" i="31"/>
  <c r="J32" i="31"/>
  <c r="H32" i="31"/>
  <c r="G32" i="31"/>
  <c r="E32" i="31"/>
  <c r="D32" i="31"/>
  <c r="Q31" i="31"/>
  <c r="L31" i="31"/>
  <c r="K31" i="31"/>
  <c r="J31" i="31"/>
  <c r="H31" i="31"/>
  <c r="G31" i="31"/>
  <c r="E31" i="31"/>
  <c r="D31" i="31"/>
  <c r="Q30" i="31"/>
  <c r="L30" i="31"/>
  <c r="K30" i="31"/>
  <c r="J30" i="31"/>
  <c r="H30" i="31"/>
  <c r="G30" i="31"/>
  <c r="E30" i="31"/>
  <c r="M30" i="31" s="1"/>
  <c r="D30" i="31"/>
  <c r="Q29" i="31"/>
  <c r="L29" i="31"/>
  <c r="K29" i="31"/>
  <c r="J29" i="31"/>
  <c r="H29" i="31"/>
  <c r="G29" i="31"/>
  <c r="E29" i="31"/>
  <c r="D29" i="31"/>
  <c r="Q28" i="31"/>
  <c r="L28" i="31"/>
  <c r="K28" i="31"/>
  <c r="J28" i="31"/>
  <c r="H28" i="31"/>
  <c r="G28" i="31"/>
  <c r="E28" i="31"/>
  <c r="D28" i="31"/>
  <c r="Q27" i="31"/>
  <c r="L27" i="31"/>
  <c r="K27" i="31"/>
  <c r="J27" i="31"/>
  <c r="H27" i="31"/>
  <c r="G27" i="31"/>
  <c r="E27" i="31"/>
  <c r="D27" i="31"/>
  <c r="Q26" i="31"/>
  <c r="L26" i="31"/>
  <c r="K26" i="31"/>
  <c r="J26" i="31"/>
  <c r="H26" i="31"/>
  <c r="G26" i="31"/>
  <c r="E26" i="31"/>
  <c r="D26" i="31"/>
  <c r="Q25" i="31"/>
  <c r="L25" i="31"/>
  <c r="K25" i="31"/>
  <c r="J25" i="31"/>
  <c r="H25" i="31"/>
  <c r="G25" i="31"/>
  <c r="E25" i="31"/>
  <c r="D25" i="31"/>
  <c r="Q24" i="31"/>
  <c r="L24" i="31"/>
  <c r="K24" i="31"/>
  <c r="J24" i="31"/>
  <c r="H24" i="31"/>
  <c r="G24" i="31"/>
  <c r="E24" i="31"/>
  <c r="D24" i="31"/>
  <c r="Q23" i="31"/>
  <c r="L23" i="31"/>
  <c r="K23" i="31"/>
  <c r="J23" i="31"/>
  <c r="H23" i="31"/>
  <c r="G23" i="31"/>
  <c r="E23" i="31"/>
  <c r="D23" i="31"/>
  <c r="Q22" i="31"/>
  <c r="L22" i="31"/>
  <c r="K22" i="31"/>
  <c r="J22" i="31"/>
  <c r="H22" i="31"/>
  <c r="G22" i="31"/>
  <c r="E22" i="31"/>
  <c r="D22" i="31"/>
  <c r="Q21" i="31"/>
  <c r="L21" i="31"/>
  <c r="K21" i="31"/>
  <c r="J21" i="31"/>
  <c r="H21" i="31"/>
  <c r="G21" i="31"/>
  <c r="E21" i="31"/>
  <c r="M21" i="31" s="1"/>
  <c r="D21" i="31"/>
  <c r="Q20" i="31"/>
  <c r="L20" i="31"/>
  <c r="K20" i="31"/>
  <c r="J20" i="31"/>
  <c r="H20" i="31"/>
  <c r="G20" i="31"/>
  <c r="E20" i="31"/>
  <c r="D20" i="31"/>
  <c r="Q19" i="31"/>
  <c r="L19" i="31"/>
  <c r="K19" i="31"/>
  <c r="J19" i="31"/>
  <c r="E19" i="31"/>
  <c r="D19" i="31"/>
  <c r="Q18" i="31"/>
  <c r="L18" i="31"/>
  <c r="K18" i="31"/>
  <c r="J18" i="31"/>
  <c r="H18" i="31"/>
  <c r="G18" i="31"/>
  <c r="E18" i="31"/>
  <c r="D18" i="31"/>
  <c r="Q17" i="31"/>
  <c r="L17" i="31"/>
  <c r="N17" i="31" s="1"/>
  <c r="K17" i="31"/>
  <c r="J17" i="31"/>
  <c r="H17" i="31"/>
  <c r="G17" i="31"/>
  <c r="E17" i="31"/>
  <c r="D17" i="31"/>
  <c r="Q16" i="31"/>
  <c r="R16" i="31" s="1"/>
  <c r="L16" i="31"/>
  <c r="K16" i="31"/>
  <c r="J16" i="31"/>
  <c r="H16" i="31"/>
  <c r="G16" i="31"/>
  <c r="E16" i="31"/>
  <c r="D16" i="31"/>
  <c r="Q15" i="31"/>
  <c r="R15" i="31" s="1"/>
  <c r="L15" i="31"/>
  <c r="K15" i="31"/>
  <c r="J15" i="31"/>
  <c r="H15" i="31"/>
  <c r="G15" i="31"/>
  <c r="E15" i="31"/>
  <c r="D15" i="31"/>
  <c r="Q14" i="31"/>
  <c r="L14" i="31"/>
  <c r="N14" i="31" s="1"/>
  <c r="K14" i="31"/>
  <c r="J14" i="31"/>
  <c r="H14" i="31"/>
  <c r="G14" i="31"/>
  <c r="E14" i="31"/>
  <c r="D14" i="31"/>
  <c r="Q13" i="31"/>
  <c r="L13" i="31"/>
  <c r="K13" i="31"/>
  <c r="J13" i="31"/>
  <c r="H13" i="31"/>
  <c r="G13" i="31"/>
  <c r="E13" i="31"/>
  <c r="D13" i="31"/>
  <c r="Q12" i="31"/>
  <c r="L12" i="31"/>
  <c r="K12" i="31"/>
  <c r="J12" i="31"/>
  <c r="H12" i="31"/>
  <c r="G12" i="31"/>
  <c r="E12" i="31"/>
  <c r="D12" i="31"/>
  <c r="Q11" i="31"/>
  <c r="L11" i="31"/>
  <c r="N11" i="31" s="1"/>
  <c r="K11" i="31"/>
  <c r="J11" i="31"/>
  <c r="H11" i="31"/>
  <c r="G11" i="31"/>
  <c r="E11" i="31"/>
  <c r="D11" i="31"/>
  <c r="Q10" i="31"/>
  <c r="R10" i="31" s="1"/>
  <c r="L10" i="31"/>
  <c r="K10" i="31"/>
  <c r="J10" i="31"/>
  <c r="H10" i="31"/>
  <c r="G10" i="31"/>
  <c r="E10" i="31"/>
  <c r="D10" i="31"/>
  <c r="Q9" i="31"/>
  <c r="R9" i="31" s="1"/>
  <c r="L9" i="31"/>
  <c r="K9" i="31"/>
  <c r="J9" i="31"/>
  <c r="H9" i="31"/>
  <c r="G9" i="31"/>
  <c r="E9" i="31"/>
  <c r="D9" i="31"/>
  <c r="Q8" i="31"/>
  <c r="L8" i="31"/>
  <c r="N9" i="31" s="1"/>
  <c r="K8" i="31"/>
  <c r="J8" i="31"/>
  <c r="H8" i="31"/>
  <c r="G8" i="31"/>
  <c r="E8" i="31"/>
  <c r="D8" i="31"/>
  <c r="Q7" i="31"/>
  <c r="R7" i="31" s="1"/>
  <c r="L7" i="31"/>
  <c r="K7" i="31"/>
  <c r="J7" i="31"/>
  <c r="H7" i="31"/>
  <c r="G7" i="31"/>
  <c r="E7" i="31"/>
  <c r="M7" i="31" s="1"/>
  <c r="D7" i="31"/>
  <c r="Q6" i="31"/>
  <c r="L6" i="31"/>
  <c r="K6" i="31"/>
  <c r="J6" i="31"/>
  <c r="Q5" i="31"/>
  <c r="L5" i="31"/>
  <c r="K5" i="31"/>
  <c r="J5" i="31"/>
  <c r="H5" i="31"/>
  <c r="G5" i="31"/>
  <c r="E5" i="31"/>
  <c r="D5" i="31"/>
  <c r="Q4" i="31"/>
  <c r="R4" i="31" s="1"/>
  <c r="L4" i="31"/>
  <c r="K4" i="31"/>
  <c r="J4" i="31"/>
  <c r="H4" i="31"/>
  <c r="G4" i="31"/>
  <c r="E4" i="31"/>
  <c r="D4" i="31"/>
  <c r="C42" i="30"/>
  <c r="Q40" i="30"/>
  <c r="L40" i="30"/>
  <c r="K40" i="30"/>
  <c r="J40" i="30"/>
  <c r="H40" i="30"/>
  <c r="G40" i="30"/>
  <c r="E40" i="30"/>
  <c r="M40" i="30" s="1"/>
  <c r="D40" i="30"/>
  <c r="Q39" i="30"/>
  <c r="L39" i="30"/>
  <c r="K39" i="30"/>
  <c r="J39" i="30"/>
  <c r="H39" i="30"/>
  <c r="G39" i="30"/>
  <c r="E39" i="30"/>
  <c r="D39" i="30"/>
  <c r="Q38" i="30"/>
  <c r="L38" i="30"/>
  <c r="K38" i="30"/>
  <c r="J38" i="30"/>
  <c r="H38" i="30"/>
  <c r="G38" i="30"/>
  <c r="E38" i="30"/>
  <c r="M38" i="30" s="1"/>
  <c r="D38" i="30"/>
  <c r="Q37" i="30"/>
  <c r="L37" i="30"/>
  <c r="K37" i="30"/>
  <c r="J37" i="30"/>
  <c r="H37" i="30"/>
  <c r="G37" i="30"/>
  <c r="E37" i="30"/>
  <c r="D37" i="30"/>
  <c r="Q36" i="30"/>
  <c r="L36" i="30"/>
  <c r="K36" i="30"/>
  <c r="J36" i="30"/>
  <c r="H36" i="30"/>
  <c r="G36" i="30"/>
  <c r="E36" i="30"/>
  <c r="D36" i="30"/>
  <c r="Q35" i="30"/>
  <c r="L35" i="30"/>
  <c r="K35" i="30"/>
  <c r="J35" i="30"/>
  <c r="H35" i="30"/>
  <c r="G35" i="30"/>
  <c r="E35" i="30"/>
  <c r="D35" i="30"/>
  <c r="Q34" i="30"/>
  <c r="R34" i="30" s="1"/>
  <c r="L34" i="30"/>
  <c r="K34" i="30"/>
  <c r="J34" i="30"/>
  <c r="H34" i="30"/>
  <c r="G34" i="30"/>
  <c r="E34" i="30"/>
  <c r="D34" i="30"/>
  <c r="Q33" i="30"/>
  <c r="L33" i="30"/>
  <c r="K33" i="30"/>
  <c r="J33" i="30"/>
  <c r="H33" i="30"/>
  <c r="G33" i="30"/>
  <c r="E33" i="30"/>
  <c r="D33" i="30"/>
  <c r="Q32" i="30"/>
  <c r="L32" i="30"/>
  <c r="K32" i="30"/>
  <c r="J32" i="30"/>
  <c r="H32" i="30"/>
  <c r="G32" i="30"/>
  <c r="E32" i="30"/>
  <c r="D32" i="30"/>
  <c r="Q31" i="30"/>
  <c r="R31" i="30" s="1"/>
  <c r="L31" i="30"/>
  <c r="K31" i="30"/>
  <c r="J31" i="30"/>
  <c r="H31" i="30"/>
  <c r="G31" i="30"/>
  <c r="E31" i="30"/>
  <c r="D31" i="30"/>
  <c r="Q30" i="30"/>
  <c r="L30" i="30"/>
  <c r="K30" i="30"/>
  <c r="J30" i="30"/>
  <c r="H30" i="30"/>
  <c r="G30" i="30"/>
  <c r="E30" i="30"/>
  <c r="D30" i="30"/>
  <c r="Q29" i="30"/>
  <c r="L29" i="30"/>
  <c r="K29" i="30"/>
  <c r="J29" i="30"/>
  <c r="H29" i="30"/>
  <c r="G29" i="30"/>
  <c r="E29" i="30"/>
  <c r="D29" i="30"/>
  <c r="Q28" i="30"/>
  <c r="L28" i="30"/>
  <c r="K28" i="30"/>
  <c r="J28" i="30"/>
  <c r="H28" i="30"/>
  <c r="G28" i="30"/>
  <c r="E28" i="30"/>
  <c r="D28" i="30"/>
  <c r="Q27" i="30"/>
  <c r="L27" i="30"/>
  <c r="K27" i="30"/>
  <c r="J27" i="30"/>
  <c r="H27" i="30"/>
  <c r="G27" i="30"/>
  <c r="E27" i="30"/>
  <c r="D27" i="30"/>
  <c r="Q26" i="30"/>
  <c r="L26" i="30"/>
  <c r="K26" i="30"/>
  <c r="J26" i="30"/>
  <c r="H26" i="30"/>
  <c r="G26" i="30"/>
  <c r="E26" i="30"/>
  <c r="D26" i="30"/>
  <c r="Q25" i="30"/>
  <c r="R25" i="30" s="1"/>
  <c r="L25" i="30"/>
  <c r="K25" i="30"/>
  <c r="J25" i="30"/>
  <c r="H25" i="30"/>
  <c r="G25" i="30"/>
  <c r="E25" i="30"/>
  <c r="D25" i="30"/>
  <c r="Q24" i="30"/>
  <c r="L24" i="30"/>
  <c r="K24" i="30"/>
  <c r="J24" i="30"/>
  <c r="H24" i="30"/>
  <c r="G24" i="30"/>
  <c r="E24" i="30"/>
  <c r="D24" i="30"/>
  <c r="Q23" i="30"/>
  <c r="L23" i="30"/>
  <c r="K23" i="30"/>
  <c r="J23" i="30"/>
  <c r="H23" i="30"/>
  <c r="G23" i="30"/>
  <c r="E23" i="30"/>
  <c r="D23" i="30"/>
  <c r="Q22" i="30"/>
  <c r="R22" i="30" s="1"/>
  <c r="L22" i="30"/>
  <c r="K22" i="30"/>
  <c r="J22" i="30"/>
  <c r="H22" i="30"/>
  <c r="G22" i="30"/>
  <c r="E22" i="30"/>
  <c r="D22" i="30"/>
  <c r="Q21" i="30"/>
  <c r="L21" i="30"/>
  <c r="K21" i="30"/>
  <c r="J21" i="30"/>
  <c r="H21" i="30"/>
  <c r="G21" i="30"/>
  <c r="E21" i="30"/>
  <c r="M21" i="30" s="1"/>
  <c r="D21" i="30"/>
  <c r="Q20" i="30"/>
  <c r="L20" i="30"/>
  <c r="K20" i="30"/>
  <c r="J20" i="30"/>
  <c r="H20" i="30"/>
  <c r="G20" i="30"/>
  <c r="E20" i="30"/>
  <c r="M20" i="30" s="1"/>
  <c r="D20" i="30"/>
  <c r="Q19" i="30"/>
  <c r="L19" i="30"/>
  <c r="K19" i="30"/>
  <c r="J19" i="30"/>
  <c r="H19" i="30"/>
  <c r="G19" i="30"/>
  <c r="E19" i="30"/>
  <c r="D19" i="30"/>
  <c r="Q18" i="30"/>
  <c r="L18" i="30"/>
  <c r="K18" i="30"/>
  <c r="J18" i="30"/>
  <c r="H18" i="30"/>
  <c r="G18" i="30"/>
  <c r="E18" i="30"/>
  <c r="D18" i="30"/>
  <c r="Q17" i="30"/>
  <c r="L17" i="30"/>
  <c r="K17" i="30"/>
  <c r="J17" i="30"/>
  <c r="H17" i="30"/>
  <c r="G17" i="30"/>
  <c r="E17" i="30"/>
  <c r="M17" i="30" s="1"/>
  <c r="D17" i="30"/>
  <c r="Q16" i="30"/>
  <c r="R16" i="30" s="1"/>
  <c r="L16" i="30"/>
  <c r="K16" i="30"/>
  <c r="J16" i="30"/>
  <c r="H16" i="30"/>
  <c r="G16" i="30"/>
  <c r="E16" i="30"/>
  <c r="D16" i="30"/>
  <c r="Q15" i="30"/>
  <c r="L15" i="30"/>
  <c r="K15" i="30"/>
  <c r="J15" i="30"/>
  <c r="H15" i="30"/>
  <c r="G15" i="30"/>
  <c r="E15" i="30"/>
  <c r="D15" i="30"/>
  <c r="Q14" i="30"/>
  <c r="L14" i="30"/>
  <c r="K14" i="30"/>
  <c r="J14" i="30"/>
  <c r="H14" i="30"/>
  <c r="G14" i="30"/>
  <c r="E14" i="30"/>
  <c r="D14" i="30"/>
  <c r="Q13" i="30"/>
  <c r="L13" i="30"/>
  <c r="K13" i="30"/>
  <c r="J13" i="30"/>
  <c r="H13" i="30"/>
  <c r="G13" i="30"/>
  <c r="E13" i="30"/>
  <c r="D13" i="30"/>
  <c r="Q12" i="30"/>
  <c r="L12" i="30"/>
  <c r="K12" i="30"/>
  <c r="J12" i="30"/>
  <c r="H12" i="30"/>
  <c r="G12" i="30"/>
  <c r="E12" i="30"/>
  <c r="D12" i="30"/>
  <c r="Q11" i="30"/>
  <c r="L11" i="30"/>
  <c r="R11" i="30" s="1"/>
  <c r="K11" i="30"/>
  <c r="J11" i="30"/>
  <c r="H11" i="30"/>
  <c r="G11" i="30"/>
  <c r="E11" i="30"/>
  <c r="D11" i="30"/>
  <c r="Q10" i="30"/>
  <c r="L10" i="30"/>
  <c r="K10" i="30"/>
  <c r="J10" i="30"/>
  <c r="H10" i="30"/>
  <c r="G10" i="30"/>
  <c r="E10" i="30"/>
  <c r="D10" i="30"/>
  <c r="Q9" i="30"/>
  <c r="L9" i="30"/>
  <c r="K9" i="30"/>
  <c r="J9" i="30"/>
  <c r="H9" i="30"/>
  <c r="G9" i="30"/>
  <c r="E9" i="30"/>
  <c r="M9" i="30" s="1"/>
  <c r="D9" i="30"/>
  <c r="Q8" i="30"/>
  <c r="L8" i="30"/>
  <c r="K8" i="30"/>
  <c r="J8" i="30"/>
  <c r="H8" i="30"/>
  <c r="G8" i="30"/>
  <c r="E8" i="30"/>
  <c r="D8" i="30"/>
  <c r="Q7" i="30"/>
  <c r="R7" i="30" s="1"/>
  <c r="L7" i="30"/>
  <c r="K7" i="30"/>
  <c r="J7" i="30"/>
  <c r="H7" i="30"/>
  <c r="G7" i="30"/>
  <c r="E7" i="30"/>
  <c r="D7" i="30"/>
  <c r="Q6" i="30"/>
  <c r="L6" i="30"/>
  <c r="K6" i="30"/>
  <c r="J6" i="30"/>
  <c r="H6" i="30"/>
  <c r="G6" i="30"/>
  <c r="E6" i="30"/>
  <c r="D6" i="30"/>
  <c r="Q5" i="30"/>
  <c r="L5" i="30"/>
  <c r="K5" i="30"/>
  <c r="J5" i="30"/>
  <c r="H5" i="30"/>
  <c r="G5" i="30"/>
  <c r="E5" i="30"/>
  <c r="D5" i="30"/>
  <c r="Q4" i="30"/>
  <c r="Q41" i="30" s="1"/>
  <c r="L4" i="30"/>
  <c r="K4" i="30"/>
  <c r="J4" i="30"/>
  <c r="H4" i="30"/>
  <c r="G4" i="30"/>
  <c r="E4" i="30"/>
  <c r="D4" i="30"/>
  <c r="C41" i="29"/>
  <c r="Q39" i="29"/>
  <c r="L39" i="29"/>
  <c r="K39" i="29"/>
  <c r="J39" i="29"/>
  <c r="H39" i="29"/>
  <c r="G39" i="29"/>
  <c r="E39" i="29"/>
  <c r="M39" i="29" s="1"/>
  <c r="D39" i="29"/>
  <c r="Q38" i="29"/>
  <c r="L38" i="29"/>
  <c r="K38" i="29"/>
  <c r="J38" i="29"/>
  <c r="H38" i="29"/>
  <c r="G38" i="29"/>
  <c r="E38" i="29"/>
  <c r="D38" i="29"/>
  <c r="Q37" i="29"/>
  <c r="L37" i="29"/>
  <c r="K37" i="29"/>
  <c r="J37" i="29"/>
  <c r="Q36" i="29"/>
  <c r="L36" i="29"/>
  <c r="K36" i="29"/>
  <c r="J36" i="29"/>
  <c r="H36" i="29"/>
  <c r="G36" i="29"/>
  <c r="E36" i="29"/>
  <c r="D36" i="29"/>
  <c r="Q35" i="29"/>
  <c r="L35" i="29"/>
  <c r="K35" i="29"/>
  <c r="J35" i="29"/>
  <c r="H35" i="29"/>
  <c r="G35" i="29"/>
  <c r="E35" i="29"/>
  <c r="M35" i="29" s="1"/>
  <c r="D35" i="29"/>
  <c r="Q34" i="29"/>
  <c r="L34" i="29"/>
  <c r="K34" i="29"/>
  <c r="J34" i="29"/>
  <c r="E34" i="29"/>
  <c r="M34" i="29" s="1"/>
  <c r="D34" i="29"/>
  <c r="Q33" i="29"/>
  <c r="L33" i="29"/>
  <c r="K33" i="29"/>
  <c r="J33" i="29"/>
  <c r="H33" i="29"/>
  <c r="G33" i="29"/>
  <c r="E33" i="29"/>
  <c r="D33" i="29"/>
  <c r="Q32" i="29"/>
  <c r="L32" i="29"/>
  <c r="N32" i="29" s="1"/>
  <c r="K32" i="29"/>
  <c r="J32" i="29"/>
  <c r="H32" i="29"/>
  <c r="G32" i="29"/>
  <c r="E32" i="29"/>
  <c r="D32" i="29"/>
  <c r="Q31" i="29"/>
  <c r="R31" i="29" s="1"/>
  <c r="L31" i="29"/>
  <c r="K31" i="29"/>
  <c r="J31" i="29"/>
  <c r="H31" i="29"/>
  <c r="G31" i="29"/>
  <c r="E31" i="29"/>
  <c r="D31" i="29"/>
  <c r="Q30" i="29"/>
  <c r="R30" i="29" s="1"/>
  <c r="L30" i="29"/>
  <c r="K30" i="29"/>
  <c r="J30" i="29"/>
  <c r="H30" i="29"/>
  <c r="G30" i="29"/>
  <c r="E30" i="29"/>
  <c r="D30" i="29"/>
  <c r="Q29" i="29"/>
  <c r="L29" i="29"/>
  <c r="N29" i="29" s="1"/>
  <c r="K29" i="29"/>
  <c r="J29" i="29"/>
  <c r="Q28" i="29"/>
  <c r="L28" i="29"/>
  <c r="K28" i="29"/>
  <c r="J28" i="29"/>
  <c r="H28" i="29"/>
  <c r="G28" i="29"/>
  <c r="E28" i="29"/>
  <c r="M28" i="29" s="1"/>
  <c r="D28" i="29"/>
  <c r="Q27" i="29"/>
  <c r="L27" i="29"/>
  <c r="N27" i="29" s="1"/>
  <c r="K27" i="29"/>
  <c r="J27" i="29"/>
  <c r="H27" i="29"/>
  <c r="G27" i="29"/>
  <c r="E27" i="29"/>
  <c r="D27" i="29"/>
  <c r="Q26" i="29"/>
  <c r="L26" i="29"/>
  <c r="K26" i="29"/>
  <c r="J26" i="29"/>
  <c r="H26" i="29"/>
  <c r="G26" i="29"/>
  <c r="E26" i="29"/>
  <c r="D26" i="29"/>
  <c r="Q25" i="29"/>
  <c r="L25" i="29"/>
  <c r="K25" i="29"/>
  <c r="J25" i="29"/>
  <c r="H25" i="29"/>
  <c r="G25" i="29"/>
  <c r="E25" i="29"/>
  <c r="D25" i="29"/>
  <c r="Q24" i="29"/>
  <c r="L24" i="29"/>
  <c r="N24" i="29" s="1"/>
  <c r="K24" i="29"/>
  <c r="J24" i="29"/>
  <c r="H24" i="29"/>
  <c r="G24" i="29"/>
  <c r="E24" i="29"/>
  <c r="D24" i="29"/>
  <c r="Q23" i="29"/>
  <c r="L23" i="29"/>
  <c r="K23" i="29"/>
  <c r="J23" i="29"/>
  <c r="H23" i="29"/>
  <c r="G23" i="29"/>
  <c r="E23" i="29"/>
  <c r="D23" i="29"/>
  <c r="Q22" i="29"/>
  <c r="L22" i="29"/>
  <c r="K22" i="29"/>
  <c r="J22" i="29"/>
  <c r="H22" i="29"/>
  <c r="G22" i="29"/>
  <c r="E22" i="29"/>
  <c r="D22" i="29"/>
  <c r="Q21" i="29"/>
  <c r="L21" i="29"/>
  <c r="N21" i="29" s="1"/>
  <c r="K21" i="29"/>
  <c r="J21" i="29"/>
  <c r="H21" i="29"/>
  <c r="G21" i="29"/>
  <c r="E21" i="29"/>
  <c r="D21" i="29"/>
  <c r="Q20" i="29"/>
  <c r="L20" i="29"/>
  <c r="K20" i="29"/>
  <c r="J20" i="29"/>
  <c r="H20" i="29"/>
  <c r="G20" i="29"/>
  <c r="E20" i="29"/>
  <c r="D20" i="29"/>
  <c r="Q19" i="29"/>
  <c r="R19" i="29" s="1"/>
  <c r="L19" i="29"/>
  <c r="K19" i="29"/>
  <c r="J19" i="29"/>
  <c r="H19" i="29"/>
  <c r="G19" i="29"/>
  <c r="E19" i="29"/>
  <c r="D19" i="29"/>
  <c r="Q18" i="29"/>
  <c r="L18" i="29"/>
  <c r="N18" i="29" s="1"/>
  <c r="K18" i="29"/>
  <c r="J18" i="29"/>
  <c r="H18" i="29"/>
  <c r="G18" i="29"/>
  <c r="E18" i="29"/>
  <c r="D18" i="29"/>
  <c r="Q17" i="29"/>
  <c r="L17" i="29"/>
  <c r="K17" i="29"/>
  <c r="J17" i="29"/>
  <c r="H17" i="29"/>
  <c r="G17" i="29"/>
  <c r="E17" i="29"/>
  <c r="D17" i="29"/>
  <c r="Q16" i="29"/>
  <c r="R16" i="29" s="1"/>
  <c r="L16" i="29"/>
  <c r="K16" i="29"/>
  <c r="J16" i="29"/>
  <c r="H16" i="29"/>
  <c r="G16" i="29"/>
  <c r="E16" i="29"/>
  <c r="D16" i="29"/>
  <c r="Q15" i="29"/>
  <c r="L15" i="29"/>
  <c r="N10" i="29" s="1"/>
  <c r="K15" i="29"/>
  <c r="J15" i="29"/>
  <c r="E15" i="29"/>
  <c r="D15" i="29"/>
  <c r="Q14" i="29"/>
  <c r="L14" i="29"/>
  <c r="K14" i="29"/>
  <c r="J14" i="29"/>
  <c r="Q13" i="29"/>
  <c r="L13" i="29"/>
  <c r="K13" i="29"/>
  <c r="J13" i="29"/>
  <c r="H13" i="29"/>
  <c r="G13" i="29"/>
  <c r="E13" i="29"/>
  <c r="M13" i="29" s="1"/>
  <c r="D13" i="29"/>
  <c r="Q12" i="29"/>
  <c r="L12" i="29"/>
  <c r="K12" i="29"/>
  <c r="J12" i="29"/>
  <c r="H12" i="29"/>
  <c r="G12" i="29"/>
  <c r="E12" i="29"/>
  <c r="D12" i="29"/>
  <c r="Q11" i="29"/>
  <c r="L11" i="29"/>
  <c r="K11" i="29"/>
  <c r="J11" i="29"/>
  <c r="H11" i="29"/>
  <c r="G11" i="29"/>
  <c r="E11" i="29"/>
  <c r="D11" i="29"/>
  <c r="Q10" i="29"/>
  <c r="L10" i="29"/>
  <c r="K10" i="29"/>
  <c r="J10" i="29"/>
  <c r="H10" i="29"/>
  <c r="G10" i="29"/>
  <c r="E10" i="29"/>
  <c r="D10" i="29"/>
  <c r="Q9" i="29"/>
  <c r="L9" i="29"/>
  <c r="K9" i="29"/>
  <c r="J9" i="29"/>
  <c r="H9" i="29"/>
  <c r="G9" i="29"/>
  <c r="E9" i="29"/>
  <c r="D9" i="29"/>
  <c r="Q8" i="29"/>
  <c r="L8" i="29"/>
  <c r="K8" i="29"/>
  <c r="J8" i="29"/>
  <c r="H8" i="29"/>
  <c r="G8" i="29"/>
  <c r="E8" i="29"/>
  <c r="D8" i="29"/>
  <c r="Q7" i="29"/>
  <c r="L7" i="29"/>
  <c r="K7" i="29"/>
  <c r="J7" i="29"/>
  <c r="H7" i="29"/>
  <c r="G7" i="29"/>
  <c r="E7" i="29"/>
  <c r="D7" i="29"/>
  <c r="Q6" i="29"/>
  <c r="L6" i="29"/>
  <c r="K6" i="29"/>
  <c r="J6" i="29"/>
  <c r="H6" i="29"/>
  <c r="G6" i="29"/>
  <c r="E6" i="29"/>
  <c r="D6" i="29"/>
  <c r="Q5" i="29"/>
  <c r="L5" i="29"/>
  <c r="K5" i="29"/>
  <c r="J5" i="29"/>
  <c r="H5" i="29"/>
  <c r="G5" i="29"/>
  <c r="E5" i="29"/>
  <c r="D5" i="29"/>
  <c r="Q4" i="29"/>
  <c r="L4" i="29"/>
  <c r="K4" i="29"/>
  <c r="J4" i="29"/>
  <c r="H4" i="29"/>
  <c r="G4" i="29"/>
  <c r="E4" i="29"/>
  <c r="D4" i="29"/>
  <c r="I4" i="24"/>
  <c r="O4" i="24" s="1"/>
  <c r="P4" i="24" s="1"/>
  <c r="M8" i="30"/>
  <c r="R6" i="31"/>
  <c r="R18" i="31"/>
  <c r="R19" i="31"/>
  <c r="R20" i="31"/>
  <c r="R21" i="31"/>
  <c r="R35" i="31"/>
  <c r="R24" i="31"/>
  <c r="R25" i="31"/>
  <c r="R38" i="31"/>
  <c r="R34" i="31"/>
  <c r="M38" i="29"/>
  <c r="R23" i="31"/>
  <c r="N22" i="37"/>
  <c r="R5" i="37"/>
  <c r="R9" i="37"/>
  <c r="R21" i="37"/>
  <c r="R23" i="37"/>
  <c r="R25" i="37"/>
  <c r="R28" i="37"/>
  <c r="R29" i="37"/>
  <c r="R33" i="37"/>
  <c r="R39" i="37"/>
  <c r="R40" i="37"/>
  <c r="R41" i="37"/>
  <c r="J44" i="36"/>
  <c r="R13" i="36"/>
  <c r="R24" i="36"/>
  <c r="R30" i="36"/>
  <c r="Q43" i="35"/>
  <c r="N42" i="35"/>
  <c r="R15" i="35"/>
  <c r="R17" i="35"/>
  <c r="R22" i="35"/>
  <c r="R23" i="35"/>
  <c r="R26" i="35"/>
  <c r="R27" i="35"/>
  <c r="R29" i="35"/>
  <c r="R30" i="35"/>
  <c r="R33" i="35"/>
  <c r="R35" i="35"/>
  <c r="R41" i="35"/>
  <c r="M28" i="31"/>
  <c r="J43" i="36"/>
  <c r="G44" i="36"/>
  <c r="E44" i="36"/>
  <c r="G43" i="36"/>
  <c r="M28" i="33"/>
  <c r="R18" i="33"/>
  <c r="R30" i="33"/>
  <c r="R39" i="33"/>
  <c r="N18" i="33"/>
  <c r="N39" i="33"/>
  <c r="R24" i="33"/>
  <c r="R38" i="33"/>
  <c r="R40" i="33"/>
  <c r="N16" i="33"/>
  <c r="R15" i="33"/>
  <c r="R37" i="33"/>
  <c r="N32" i="32"/>
  <c r="R8" i="32"/>
  <c r="R20" i="32"/>
  <c r="R25" i="32"/>
  <c r="R28" i="32"/>
  <c r="R36" i="32"/>
  <c r="Q42" i="31"/>
  <c r="R22" i="31"/>
  <c r="R31" i="31"/>
  <c r="N20" i="31"/>
  <c r="R27" i="31"/>
  <c r="R28" i="31"/>
  <c r="R29" i="31"/>
  <c r="R39" i="31"/>
  <c r="L41" i="31"/>
  <c r="R15" i="30"/>
  <c r="N26" i="30"/>
  <c r="R6" i="30"/>
  <c r="N21" i="30"/>
  <c r="R14" i="30"/>
  <c r="N15" i="30"/>
  <c r="R26" i="30"/>
  <c r="R35" i="30"/>
  <c r="N37" i="30"/>
  <c r="R5" i="30"/>
  <c r="R9" i="30"/>
  <c r="R17" i="30"/>
  <c r="R33" i="30"/>
  <c r="N4" i="30"/>
  <c r="R24" i="30"/>
  <c r="R32" i="30"/>
  <c r="R35" i="29"/>
  <c r="R5" i="29"/>
  <c r="R8" i="29"/>
  <c r="R12" i="29"/>
  <c r="R20" i="29"/>
  <c r="R4" i="29"/>
  <c r="R33" i="29"/>
  <c r="R36" i="33"/>
  <c r="R26" i="32"/>
  <c r="R30" i="32"/>
  <c r="R37" i="31"/>
  <c r="R12" i="31"/>
  <c r="R30" i="30"/>
  <c r="N6" i="30"/>
  <c r="R26" i="29"/>
  <c r="R37" i="29"/>
  <c r="R13" i="29"/>
  <c r="R13" i="31"/>
  <c r="R8" i="30"/>
  <c r="R23" i="30"/>
  <c r="R11" i="29"/>
  <c r="R23" i="29"/>
  <c r="R7" i="29"/>
  <c r="R38" i="29"/>
  <c r="R17" i="29"/>
  <c r="R39" i="29"/>
  <c r="N31" i="29"/>
  <c r="N4" i="29"/>
  <c r="R9" i="29"/>
  <c r="N23" i="29"/>
  <c r="R17" i="37"/>
  <c r="R13" i="37"/>
  <c r="R11" i="36"/>
  <c r="R19" i="36"/>
  <c r="R11" i="35"/>
  <c r="D44" i="36"/>
  <c r="E43" i="36"/>
  <c r="H44" i="36"/>
  <c r="H43" i="36"/>
  <c r="R37" i="37"/>
  <c r="R7" i="37"/>
  <c r="N12" i="37"/>
  <c r="R15" i="37"/>
  <c r="N4" i="37"/>
  <c r="N27" i="35"/>
  <c r="N35" i="35"/>
  <c r="N30" i="31"/>
  <c r="R33" i="31"/>
  <c r="R30" i="31"/>
  <c r="N22" i="31"/>
  <c r="R26" i="31"/>
  <c r="N4" i="31"/>
  <c r="R27" i="30"/>
  <c r="R10" i="29"/>
  <c r="N13" i="31" l="1"/>
  <c r="N40" i="37"/>
  <c r="N18" i="37"/>
  <c r="N5" i="29"/>
  <c r="R32" i="29"/>
  <c r="N4" i="33"/>
  <c r="N40" i="33"/>
  <c r="N11" i="37"/>
  <c r="Q42" i="30"/>
  <c r="N28" i="31"/>
  <c r="R7" i="35"/>
  <c r="N19" i="37"/>
  <c r="N34" i="37"/>
  <c r="N12" i="29"/>
  <c r="N14" i="29"/>
  <c r="N16" i="29"/>
  <c r="R9" i="33"/>
  <c r="N38" i="33"/>
  <c r="N20" i="37"/>
  <c r="N23" i="31"/>
  <c r="N29" i="31"/>
  <c r="N36" i="37"/>
  <c r="N35" i="37"/>
  <c r="N9" i="37"/>
  <c r="L44" i="37"/>
  <c r="N28" i="29"/>
  <c r="N38" i="29"/>
  <c r="N6" i="33"/>
  <c r="N30" i="33"/>
  <c r="N10" i="33"/>
  <c r="N25" i="33"/>
  <c r="R14" i="37"/>
  <c r="N16" i="37"/>
  <c r="N30" i="35"/>
  <c r="Q43" i="37"/>
  <c r="L41" i="33"/>
  <c r="N26" i="31"/>
  <c r="N35" i="31"/>
  <c r="N16" i="31"/>
  <c r="N39" i="31"/>
  <c r="N31" i="37"/>
  <c r="N25" i="37"/>
  <c r="N7" i="29"/>
  <c r="N25" i="31"/>
  <c r="N28" i="33"/>
  <c r="N36" i="33"/>
  <c r="N24" i="33"/>
  <c r="N18" i="31"/>
  <c r="N10" i="37"/>
  <c r="N41" i="37"/>
  <c r="N34" i="29"/>
  <c r="N36" i="29"/>
  <c r="N36" i="31"/>
  <c r="L42" i="33"/>
  <c r="N34" i="33"/>
  <c r="R8" i="37"/>
  <c r="N31" i="31"/>
  <c r="N30" i="37"/>
  <c r="N34" i="31"/>
  <c r="N40" i="31"/>
  <c r="N15" i="31"/>
  <c r="N5" i="37"/>
  <c r="N20" i="29"/>
  <c r="L40" i="29"/>
  <c r="N6" i="29"/>
  <c r="N24" i="31"/>
  <c r="N7" i="33"/>
  <c r="N21" i="33"/>
  <c r="N29" i="33"/>
  <c r="N13" i="33"/>
  <c r="N5" i="31"/>
  <c r="N42" i="37"/>
  <c r="N25" i="29"/>
  <c r="N8" i="29"/>
  <c r="N37" i="31"/>
  <c r="N31" i="33"/>
  <c r="N19" i="33"/>
  <c r="N27" i="33"/>
  <c r="N11" i="33"/>
  <c r="N29" i="37"/>
  <c r="N27" i="31"/>
  <c r="N21" i="37"/>
  <c r="N19" i="31"/>
  <c r="N38" i="31"/>
  <c r="N6" i="31"/>
  <c r="N17" i="37"/>
  <c r="N13" i="29"/>
  <c r="N30" i="29"/>
  <c r="N33" i="29"/>
  <c r="N22" i="29"/>
  <c r="N21" i="31"/>
  <c r="N22" i="33"/>
  <c r="N13" i="37"/>
  <c r="N10" i="31"/>
  <c r="N26" i="29"/>
  <c r="N7" i="31"/>
  <c r="N33" i="31"/>
  <c r="N33" i="37"/>
  <c r="L43" i="37"/>
  <c r="N17" i="29"/>
  <c r="N37" i="29"/>
  <c r="N39" i="29"/>
  <c r="N11" i="29"/>
  <c r="N32" i="31"/>
  <c r="N8" i="33"/>
  <c r="N15" i="33"/>
  <c r="R19" i="30"/>
  <c r="R38" i="32"/>
  <c r="R40" i="32"/>
  <c r="L42" i="31"/>
  <c r="N28" i="37"/>
  <c r="L41" i="29"/>
  <c r="N35" i="29"/>
  <c r="N15" i="29"/>
  <c r="N9" i="29"/>
  <c r="N12" i="31"/>
  <c r="N8" i="31"/>
  <c r="N37" i="33"/>
  <c r="N6" i="37"/>
  <c r="R15" i="29"/>
  <c r="R24" i="29"/>
  <c r="R27" i="29"/>
  <c r="R29" i="29"/>
  <c r="R8" i="31"/>
  <c r="R14" i="31"/>
  <c r="R17" i="31"/>
  <c r="R6" i="33"/>
  <c r="R12" i="33"/>
  <c r="R14" i="33"/>
  <c r="R17" i="33"/>
  <c r="R20" i="33"/>
  <c r="V14" i="33" s="1"/>
  <c r="N14" i="24" s="1"/>
  <c r="R23" i="33"/>
  <c r="S38" i="33" s="1"/>
  <c r="R32" i="33"/>
  <c r="R35" i="33"/>
  <c r="N20" i="35"/>
  <c r="R20" i="37"/>
  <c r="R32" i="37"/>
  <c r="R38" i="37"/>
  <c r="N8" i="37"/>
  <c r="N24" i="37"/>
  <c r="N39" i="37"/>
  <c r="N19" i="29"/>
  <c r="N33" i="33"/>
  <c r="N29" i="35"/>
  <c r="R20" i="35"/>
  <c r="N23" i="35"/>
  <c r="Q44" i="37"/>
  <c r="R4" i="33"/>
  <c r="Q40" i="29"/>
  <c r="N41" i="35"/>
  <c r="N33" i="35"/>
  <c r="R4" i="37"/>
  <c r="R34" i="37"/>
  <c r="M14" i="37"/>
  <c r="M13" i="37"/>
  <c r="M35" i="37"/>
  <c r="M37" i="37"/>
  <c r="R40" i="31"/>
  <c r="N7" i="32"/>
  <c r="N18" i="32"/>
  <c r="R39" i="35"/>
  <c r="R25" i="29"/>
  <c r="R22" i="33"/>
  <c r="R27" i="33"/>
  <c r="M16" i="35"/>
  <c r="M22" i="35"/>
  <c r="K44" i="35"/>
  <c r="M12" i="35"/>
  <c r="M25" i="35"/>
  <c r="M32" i="35"/>
  <c r="M40" i="35"/>
  <c r="J44" i="35"/>
  <c r="M6" i="37"/>
  <c r="M21" i="37"/>
  <c r="M24" i="37"/>
  <c r="M25" i="37"/>
  <c r="M39" i="37"/>
  <c r="M41" i="37"/>
  <c r="M42" i="37"/>
  <c r="K43" i="35"/>
  <c r="M5" i="35"/>
  <c r="M6" i="35"/>
  <c r="M7" i="35"/>
  <c r="M8" i="35"/>
  <c r="M9" i="35"/>
  <c r="M10" i="35"/>
  <c r="M11" i="35"/>
  <c r="M13" i="35"/>
  <c r="M14" i="35"/>
  <c r="M15" i="35"/>
  <c r="M17" i="35"/>
  <c r="M18" i="35"/>
  <c r="M19" i="35"/>
  <c r="M20" i="35"/>
  <c r="M21" i="35"/>
  <c r="M23" i="35"/>
  <c r="M24" i="35"/>
  <c r="M26" i="35"/>
  <c r="M27" i="35"/>
  <c r="M28" i="35"/>
  <c r="M29" i="35"/>
  <c r="M30" i="35"/>
  <c r="M31" i="35"/>
  <c r="M33" i="35"/>
  <c r="M34" i="35"/>
  <c r="M35" i="35"/>
  <c r="M36" i="35"/>
  <c r="M37" i="35"/>
  <c r="M38" i="35"/>
  <c r="M39" i="35"/>
  <c r="M41" i="35"/>
  <c r="M42" i="35"/>
  <c r="D44" i="37"/>
  <c r="J43" i="37"/>
  <c r="K44" i="37"/>
  <c r="M7" i="37"/>
  <c r="M8" i="37"/>
  <c r="M9" i="37"/>
  <c r="M10" i="37"/>
  <c r="M11" i="37"/>
  <c r="M12" i="37"/>
  <c r="M15" i="37"/>
  <c r="M16" i="37"/>
  <c r="M17" i="37"/>
  <c r="M18" i="37"/>
  <c r="M19" i="37"/>
  <c r="M20" i="37"/>
  <c r="M22" i="37"/>
  <c r="M23" i="37"/>
  <c r="M26" i="37"/>
  <c r="M27" i="37"/>
  <c r="M28" i="37"/>
  <c r="M29" i="37"/>
  <c r="M30" i="37"/>
  <c r="M31" i="37"/>
  <c r="M32" i="37"/>
  <c r="M33" i="37"/>
  <c r="M34" i="37"/>
  <c r="M36" i="37"/>
  <c r="M38" i="37"/>
  <c r="M40" i="37"/>
  <c r="M39" i="32"/>
  <c r="K43" i="37"/>
  <c r="D43" i="37"/>
  <c r="G44" i="37"/>
  <c r="G43" i="37"/>
  <c r="J44" i="37"/>
  <c r="H43" i="37"/>
  <c r="H44" i="37"/>
  <c r="M5" i="37"/>
  <c r="E43" i="37"/>
  <c r="E44" i="37"/>
  <c r="M15" i="29"/>
  <c r="H43" i="35"/>
  <c r="J43" i="35"/>
  <c r="G43" i="35"/>
  <c r="G44" i="35"/>
  <c r="M36" i="31"/>
  <c r="M18" i="29"/>
  <c r="M38" i="31"/>
  <c r="M14" i="31"/>
  <c r="M37" i="32"/>
  <c r="M37" i="31"/>
  <c r="M38" i="32"/>
  <c r="M13" i="31"/>
  <c r="M12" i="31"/>
  <c r="M22" i="31"/>
  <c r="M29" i="31"/>
  <c r="M19" i="31"/>
  <c r="M31" i="31"/>
  <c r="M19" i="29"/>
  <c r="H44" i="35"/>
  <c r="R35" i="37"/>
  <c r="R38" i="36"/>
  <c r="R8" i="36"/>
  <c r="R34" i="36"/>
  <c r="E44" i="35"/>
  <c r="M9" i="32"/>
  <c r="R21" i="32"/>
  <c r="L42" i="32"/>
  <c r="R18" i="32"/>
  <c r="N6" i="32"/>
  <c r="N13" i="32"/>
  <c r="Q42" i="32"/>
  <c r="M27" i="32"/>
  <c r="R10" i="32"/>
  <c r="R33" i="32"/>
  <c r="N35" i="32"/>
  <c r="N23" i="32"/>
  <c r="N31" i="32"/>
  <c r="R35" i="32"/>
  <c r="R34" i="32"/>
  <c r="R13" i="32"/>
  <c r="N14" i="32"/>
  <c r="M23" i="32"/>
  <c r="M28" i="32"/>
  <c r="R28" i="30"/>
  <c r="R10" i="30"/>
  <c r="N12" i="30"/>
  <c r="R13" i="30"/>
  <c r="M8" i="29"/>
  <c r="M7" i="30"/>
  <c r="M5" i="29"/>
  <c r="M18" i="33"/>
  <c r="M35" i="32"/>
  <c r="M34" i="32"/>
  <c r="M20" i="33"/>
  <c r="M22" i="29"/>
  <c r="M8" i="32"/>
  <c r="R31" i="37"/>
  <c r="R36" i="36"/>
  <c r="R14" i="36"/>
  <c r="R6" i="36"/>
  <c r="R10" i="36"/>
  <c r="R26" i="36"/>
  <c r="R31" i="36"/>
  <c r="R41" i="36"/>
  <c r="R22" i="36"/>
  <c r="R4" i="36"/>
  <c r="R39" i="36"/>
  <c r="R20" i="36"/>
  <c r="R12" i="36"/>
  <c r="K44" i="36"/>
  <c r="R29" i="36"/>
  <c r="L44" i="36"/>
  <c r="R23" i="36"/>
  <c r="R7" i="36"/>
  <c r="R40" i="36"/>
  <c r="R18" i="36"/>
  <c r="L43" i="36"/>
  <c r="R13" i="35"/>
  <c r="R19" i="33"/>
  <c r="R5" i="33"/>
  <c r="R26" i="33"/>
  <c r="Q41" i="33"/>
  <c r="R34" i="33"/>
  <c r="S34" i="33" s="1"/>
  <c r="R7" i="32"/>
  <c r="R19" i="32"/>
  <c r="Q41" i="32"/>
  <c r="R6" i="32"/>
  <c r="N8" i="32"/>
  <c r="N12" i="32"/>
  <c r="N24" i="32"/>
  <c r="L41" i="32"/>
  <c r="R24" i="32"/>
  <c r="N29" i="32"/>
  <c r="R12" i="32"/>
  <c r="N33" i="32"/>
  <c r="N19" i="32"/>
  <c r="N39" i="32"/>
  <c r="N27" i="32"/>
  <c r="N9" i="32"/>
  <c r="N25" i="32"/>
  <c r="N16" i="32"/>
  <c r="R39" i="32"/>
  <c r="R4" i="32"/>
  <c r="N4" i="32"/>
  <c r="N40" i="32"/>
  <c r="N26" i="32"/>
  <c r="N10" i="32"/>
  <c r="N30" i="32"/>
  <c r="N15" i="32"/>
  <c r="N37" i="32"/>
  <c r="N21" i="32"/>
  <c r="N5" i="32"/>
  <c r="N22" i="32"/>
  <c r="R31" i="32"/>
  <c r="R37" i="32"/>
  <c r="R5" i="32"/>
  <c r="N38" i="32"/>
  <c r="N28" i="32"/>
  <c r="N11" i="32"/>
  <c r="N34" i="32"/>
  <c r="N17" i="32"/>
  <c r="N36" i="32"/>
  <c r="N20" i="32"/>
  <c r="R32" i="31"/>
  <c r="R36" i="31"/>
  <c r="R36" i="30"/>
  <c r="R38" i="30"/>
  <c r="N31" i="30"/>
  <c r="N9" i="30"/>
  <c r="N28" i="30"/>
  <c r="N8" i="30"/>
  <c r="N18" i="30"/>
  <c r="R40" i="30"/>
  <c r="N36" i="30"/>
  <c r="N13" i="30"/>
  <c r="N20" i="30"/>
  <c r="N29" i="30"/>
  <c r="N39" i="30"/>
  <c r="R37" i="30"/>
  <c r="N5" i="30"/>
  <c r="N34" i="30"/>
  <c r="N17" i="30"/>
  <c r="N25" i="30"/>
  <c r="N16" i="30"/>
  <c r="N38" i="30"/>
  <c r="N24" i="30"/>
  <c r="R20" i="30"/>
  <c r="R39" i="30"/>
  <c r="R21" i="30"/>
  <c r="N33" i="30"/>
  <c r="N23" i="30"/>
  <c r="R12" i="30"/>
  <c r="L42" i="30"/>
  <c r="N32" i="30"/>
  <c r="N11" i="30"/>
  <c r="N22" i="30"/>
  <c r="N35" i="30"/>
  <c r="N14" i="30"/>
  <c r="R29" i="30"/>
  <c r="L41" i="30"/>
  <c r="N30" i="30"/>
  <c r="N19" i="30"/>
  <c r="N10" i="30"/>
  <c r="N40" i="30"/>
  <c r="N27" i="30"/>
  <c r="N7" i="30"/>
  <c r="R21" i="29"/>
  <c r="R34" i="29"/>
  <c r="M26" i="29"/>
  <c r="M34" i="30"/>
  <c r="M35" i="30"/>
  <c r="E42" i="33"/>
  <c r="M19" i="32"/>
  <c r="G42" i="31"/>
  <c r="H42" i="33"/>
  <c r="H40" i="29"/>
  <c r="E41" i="33"/>
  <c r="M15" i="30"/>
  <c r="M30" i="30"/>
  <c r="M21" i="29"/>
  <c r="M31" i="30"/>
  <c r="M26" i="30"/>
  <c r="M40" i="32"/>
  <c r="M18" i="30"/>
  <c r="G42" i="32"/>
  <c r="K42" i="33"/>
  <c r="M23" i="31"/>
  <c r="M5" i="31"/>
  <c r="M22" i="30"/>
  <c r="M6" i="29"/>
  <c r="M23" i="30"/>
  <c r="M30" i="32"/>
  <c r="M14" i="32"/>
  <c r="M12" i="29"/>
  <c r="M24" i="31"/>
  <c r="M36" i="29"/>
  <c r="M11" i="29"/>
  <c r="M32" i="32"/>
  <c r="M31" i="33"/>
  <c r="M14" i="30"/>
  <c r="J42" i="31"/>
  <c r="M19" i="33"/>
  <c r="M17" i="33"/>
  <c r="M7" i="29"/>
  <c r="K42" i="31"/>
  <c r="M11" i="32"/>
  <c r="M36" i="33"/>
  <c r="M29" i="32"/>
  <c r="M13" i="32"/>
  <c r="M4" i="31"/>
  <c r="M19" i="30"/>
  <c r="M16" i="31"/>
  <c r="M4" i="29"/>
  <c r="M14" i="29"/>
  <c r="M30" i="29"/>
  <c r="M40" i="31"/>
  <c r="M39" i="31"/>
  <c r="M5" i="30"/>
  <c r="G40" i="29"/>
  <c r="E41" i="29"/>
  <c r="M33" i="29"/>
  <c r="M12" i="30"/>
  <c r="K41" i="33"/>
  <c r="M16" i="33"/>
  <c r="G41" i="30"/>
  <c r="K41" i="29"/>
  <c r="J41" i="31"/>
  <c r="M15" i="31"/>
  <c r="M36" i="30"/>
  <c r="M10" i="30"/>
  <c r="M26" i="32"/>
  <c r="M27" i="29"/>
  <c r="M29" i="30"/>
  <c r="M40" i="33"/>
  <c r="M30" i="33"/>
  <c r="M13" i="33"/>
  <c r="M17" i="29"/>
  <c r="M16" i="29"/>
  <c r="M32" i="31"/>
  <c r="M34" i="31"/>
  <c r="M22" i="32"/>
  <c r="M10" i="29"/>
  <c r="H41" i="32"/>
  <c r="M32" i="29"/>
  <c r="H41" i="29"/>
  <c r="G42" i="30"/>
  <c r="K41" i="30"/>
  <c r="H42" i="31"/>
  <c r="E41" i="32"/>
  <c r="K42" i="32"/>
  <c r="G42" i="33"/>
  <c r="H41" i="31"/>
  <c r="M15" i="33"/>
  <c r="K41" i="32"/>
  <c r="M27" i="33"/>
  <c r="M39" i="30"/>
  <c r="M21" i="32"/>
  <c r="M35" i="31"/>
  <c r="M8" i="31"/>
  <c r="M33" i="30"/>
  <c r="M25" i="30"/>
  <c r="M25" i="32"/>
  <c r="M26" i="31"/>
  <c r="M24" i="30"/>
  <c r="M39" i="33"/>
  <c r="M25" i="33"/>
  <c r="M12" i="33"/>
  <c r="M17" i="31"/>
  <c r="M37" i="29"/>
  <c r="M28" i="30"/>
  <c r="E42" i="30"/>
  <c r="M11" i="30"/>
  <c r="M10" i="31"/>
  <c r="M8" i="33"/>
  <c r="M9" i="29"/>
  <c r="H42" i="32"/>
  <c r="M17" i="32"/>
  <c r="M24" i="29"/>
  <c r="G41" i="29"/>
  <c r="M13" i="30"/>
  <c r="K40" i="29"/>
  <c r="H42" i="30"/>
  <c r="G41" i="31"/>
  <c r="K41" i="31"/>
  <c r="E41" i="30"/>
  <c r="M34" i="33"/>
  <c r="H41" i="30"/>
  <c r="H41" i="33"/>
  <c r="G41" i="32"/>
  <c r="G41" i="33"/>
  <c r="K42" i="30"/>
  <c r="M24" i="33"/>
  <c r="M20" i="32"/>
  <c r="M33" i="31"/>
  <c r="M25" i="31"/>
  <c r="M32" i="30"/>
  <c r="M4" i="30"/>
  <c r="M36" i="32"/>
  <c r="M18" i="31"/>
  <c r="M9" i="31"/>
  <c r="M35" i="33"/>
  <c r="M22" i="33"/>
  <c r="M6" i="30"/>
  <c r="M38" i="33"/>
  <c r="E42" i="31"/>
  <c r="M6" i="31"/>
  <c r="M18" i="32"/>
  <c r="D44" i="35"/>
  <c r="D43" i="36"/>
  <c r="M43" i="36"/>
  <c r="J40" i="29"/>
  <c r="J41" i="30"/>
  <c r="J42" i="33"/>
  <c r="J41" i="32"/>
  <c r="J41" i="33"/>
  <c r="J41" i="29"/>
  <c r="J42" i="30"/>
  <c r="J42" i="32"/>
  <c r="M14" i="33"/>
  <c r="M23" i="29"/>
  <c r="M16" i="32"/>
  <c r="M23" i="33"/>
  <c r="D41" i="29"/>
  <c r="D40" i="29"/>
  <c r="D42" i="30"/>
  <c r="D41" i="31"/>
  <c r="D42" i="33"/>
  <c r="D42" i="32"/>
  <c r="D41" i="30"/>
  <c r="D42" i="31"/>
  <c r="D41" i="32"/>
  <c r="D41" i="33"/>
  <c r="E42" i="32"/>
  <c r="E40" i="29"/>
  <c r="M25" i="29"/>
  <c r="M31" i="29"/>
  <c r="E41" i="31"/>
  <c r="M11" i="31"/>
  <c r="M37" i="30"/>
  <c r="M6" i="32"/>
  <c r="M37" i="33"/>
  <c r="V17" i="33"/>
  <c r="N17" i="24" s="1"/>
  <c r="R27" i="32"/>
  <c r="M24" i="32"/>
  <c r="M7" i="32"/>
  <c r="M33" i="32"/>
  <c r="Q41" i="31"/>
  <c r="R5" i="31"/>
  <c r="R11" i="31"/>
  <c r="V7" i="31" s="1"/>
  <c r="L7" i="24" s="1"/>
  <c r="M20" i="31"/>
  <c r="M27" i="31"/>
  <c r="R18" i="30"/>
  <c r="R4" i="30"/>
  <c r="M16" i="30"/>
  <c r="M27" i="30"/>
  <c r="R36" i="29"/>
  <c r="Q41" i="29"/>
  <c r="R28" i="29"/>
  <c r="R22" i="29"/>
  <c r="R6" i="29"/>
  <c r="R14" i="29"/>
  <c r="R18" i="29"/>
  <c r="M20" i="29"/>
  <c r="M29" i="29"/>
  <c r="R11" i="37"/>
  <c r="V14" i="37" s="1"/>
  <c r="F14" i="24" s="1"/>
  <c r="R19" i="37"/>
  <c r="R26" i="37"/>
  <c r="R22" i="37"/>
  <c r="N37" i="37"/>
  <c r="N7" i="37"/>
  <c r="N15" i="37"/>
  <c r="M4" i="37"/>
  <c r="N23" i="37"/>
  <c r="R33" i="36"/>
  <c r="R17" i="36"/>
  <c r="Q43" i="36"/>
  <c r="R27" i="36"/>
  <c r="R35" i="36"/>
  <c r="R32" i="36"/>
  <c r="R21" i="36"/>
  <c r="R5" i="36"/>
  <c r="Q44" i="36"/>
  <c r="R25" i="36"/>
  <c r="R9" i="36"/>
  <c r="M44" i="36"/>
  <c r="R16" i="35"/>
  <c r="R14" i="35"/>
  <c r="N10" i="35"/>
  <c r="N18" i="35"/>
  <c r="N22" i="35"/>
  <c r="N26" i="35"/>
  <c r="N34" i="35"/>
  <c r="N5" i="35"/>
  <c r="N9" i="35"/>
  <c r="N21" i="35"/>
  <c r="N36" i="35"/>
  <c r="N31" i="35"/>
  <c r="N24" i="35"/>
  <c r="N4" i="35"/>
  <c r="N6" i="35"/>
  <c r="N39" i="35"/>
  <c r="N38" i="35"/>
  <c r="N16" i="35"/>
  <c r="M4" i="35"/>
  <c r="R31" i="35"/>
  <c r="N37" i="35"/>
  <c r="N13" i="35"/>
  <c r="N40" i="35"/>
  <c r="N8" i="35"/>
  <c r="N28" i="35"/>
  <c r="N11" i="35"/>
  <c r="N32" i="35"/>
  <c r="R5" i="35"/>
  <c r="D43" i="35"/>
  <c r="E43" i="35"/>
  <c r="R9" i="35"/>
  <c r="R36" i="35"/>
  <c r="R21" i="35"/>
  <c r="N15" i="35"/>
  <c r="N25" i="35"/>
  <c r="N19" i="35"/>
  <c r="N14" i="35"/>
  <c r="R10" i="35"/>
  <c r="L44" i="35"/>
  <c r="N17" i="35"/>
  <c r="L43" i="35"/>
  <c r="N12" i="35"/>
  <c r="R4" i="35"/>
  <c r="N7" i="35"/>
  <c r="C9" i="24"/>
  <c r="V26" i="32" l="1"/>
  <c r="M26" i="24" s="1"/>
  <c r="V9" i="33"/>
  <c r="N9" i="24" s="1"/>
  <c r="S9" i="33"/>
  <c r="S35" i="33"/>
  <c r="V19" i="33"/>
  <c r="N19" i="24" s="1"/>
  <c r="V24" i="33"/>
  <c r="N24" i="24" s="1"/>
  <c r="S33" i="33"/>
  <c r="V16" i="33"/>
  <c r="N16" i="24" s="1"/>
  <c r="V13" i="33"/>
  <c r="N13" i="24" s="1"/>
  <c r="V20" i="31"/>
  <c r="L20" i="24" s="1"/>
  <c r="S6" i="33"/>
  <c r="S25" i="30"/>
  <c r="V19" i="29"/>
  <c r="J19" i="24" s="1"/>
  <c r="V21" i="33"/>
  <c r="N21" i="24" s="1"/>
  <c r="S10" i="33"/>
  <c r="V15" i="32"/>
  <c r="M15" i="24" s="1"/>
  <c r="R42" i="33"/>
  <c r="S30" i="33"/>
  <c r="V20" i="37"/>
  <c r="F20" i="24" s="1"/>
  <c r="V14" i="30"/>
  <c r="K14" i="24" s="1"/>
  <c r="V24" i="32"/>
  <c r="M24" i="24" s="1"/>
  <c r="V25" i="32"/>
  <c r="M25" i="24" s="1"/>
  <c r="S17" i="33"/>
  <c r="S8" i="33"/>
  <c r="U31" i="33"/>
  <c r="S32" i="33"/>
  <c r="V11" i="33"/>
  <c r="N11" i="24" s="1"/>
  <c r="S5" i="33"/>
  <c r="S23" i="33"/>
  <c r="V23" i="33"/>
  <c r="N23" i="24" s="1"/>
  <c r="V25" i="33"/>
  <c r="N25" i="24" s="1"/>
  <c r="V26" i="33"/>
  <c r="N26" i="24" s="1"/>
  <c r="S29" i="33"/>
  <c r="R41" i="33"/>
  <c r="S31" i="33"/>
  <c r="V8" i="33"/>
  <c r="N8" i="24" s="1"/>
  <c r="V18" i="33"/>
  <c r="N18" i="24" s="1"/>
  <c r="S14" i="37"/>
  <c r="V14" i="29"/>
  <c r="J14" i="24" s="1"/>
  <c r="S35" i="31"/>
  <c r="S26" i="32"/>
  <c r="S27" i="33"/>
  <c r="V5" i="33"/>
  <c r="N5" i="24" s="1"/>
  <c r="S7" i="33"/>
  <c r="V12" i="33"/>
  <c r="N12" i="24" s="1"/>
  <c r="S28" i="33"/>
  <c r="S21" i="33"/>
  <c r="S39" i="33"/>
  <c r="S36" i="33"/>
  <c r="V20" i="33"/>
  <c r="N20" i="24" s="1"/>
  <c r="S24" i="33"/>
  <c r="S14" i="33"/>
  <c r="S4" i="33"/>
  <c r="S15" i="33"/>
  <c r="S13" i="33"/>
  <c r="V7" i="33"/>
  <c r="N7" i="24" s="1"/>
  <c r="S25" i="33"/>
  <c r="V22" i="37"/>
  <c r="F22" i="24" s="1"/>
  <c r="V11" i="31"/>
  <c r="L11" i="24" s="1"/>
  <c r="S40" i="33"/>
  <c r="S19" i="33"/>
  <c r="V6" i="33"/>
  <c r="N6" i="24" s="1"/>
  <c r="S12" i="33"/>
  <c r="S26" i="33"/>
  <c r="V15" i="33"/>
  <c r="N15" i="24" s="1"/>
  <c r="S11" i="33"/>
  <c r="S16" i="33"/>
  <c r="S22" i="33"/>
  <c r="V10" i="33"/>
  <c r="N10" i="24" s="1"/>
  <c r="S18" i="33"/>
  <c r="U34" i="33"/>
  <c r="S20" i="33"/>
  <c r="S37" i="33"/>
  <c r="V22" i="33"/>
  <c r="N22" i="24" s="1"/>
  <c r="S4" i="37"/>
  <c r="V9" i="37"/>
  <c r="F9" i="24" s="1"/>
  <c r="S36" i="31"/>
  <c r="S22" i="31"/>
  <c r="S16" i="31"/>
  <c r="S33" i="37"/>
  <c r="S37" i="37"/>
  <c r="S29" i="30"/>
  <c r="S30" i="31"/>
  <c r="S9" i="31"/>
  <c r="V22" i="31"/>
  <c r="L22" i="24" s="1"/>
  <c r="S39" i="37"/>
  <c r="V18" i="37"/>
  <c r="F18" i="24" s="1"/>
  <c r="V9" i="31"/>
  <c r="L9" i="24" s="1"/>
  <c r="M43" i="37"/>
  <c r="S25" i="37"/>
  <c r="S32" i="37"/>
  <c r="S22" i="37"/>
  <c r="S38" i="36"/>
  <c r="V18" i="31"/>
  <c r="L18" i="24" s="1"/>
  <c r="S38" i="31"/>
  <c r="S27" i="31"/>
  <c r="V11" i="30"/>
  <c r="K11" i="24" s="1"/>
  <c r="V15" i="30"/>
  <c r="K15" i="24" s="1"/>
  <c r="S14" i="30"/>
  <c r="V22" i="30"/>
  <c r="K22" i="24" s="1"/>
  <c r="U31" i="30"/>
  <c r="V23" i="30"/>
  <c r="K23" i="24" s="1"/>
  <c r="S15" i="30"/>
  <c r="S39" i="30"/>
  <c r="I26" i="24"/>
  <c r="O26" i="24" s="1"/>
  <c r="I7" i="24"/>
  <c r="S38" i="37"/>
  <c r="S41" i="37"/>
  <c r="V26" i="37"/>
  <c r="F26" i="24" s="1"/>
  <c r="S17" i="37"/>
  <c r="S27" i="37"/>
  <c r="V17" i="37"/>
  <c r="F17" i="24" s="1"/>
  <c r="S12" i="37"/>
  <c r="V16" i="37"/>
  <c r="F16" i="24" s="1"/>
  <c r="S7" i="37"/>
  <c r="V25" i="37"/>
  <c r="F25" i="24" s="1"/>
  <c r="U34" i="37"/>
  <c r="S42" i="37"/>
  <c r="S6" i="37"/>
  <c r="S20" i="37"/>
  <c r="S5" i="37"/>
  <c r="S13" i="37"/>
  <c r="V6" i="37"/>
  <c r="F6" i="24" s="1"/>
  <c r="S26" i="37"/>
  <c r="S35" i="37"/>
  <c r="S23" i="37"/>
  <c r="V12" i="37"/>
  <c r="F12" i="24" s="1"/>
  <c r="S30" i="37"/>
  <c r="V10" i="37"/>
  <c r="F10" i="24" s="1"/>
  <c r="V15" i="37"/>
  <c r="F15" i="24" s="1"/>
  <c r="U31" i="37"/>
  <c r="S40" i="37"/>
  <c r="S36" i="37"/>
  <c r="S24" i="37"/>
  <c r="V7" i="37"/>
  <c r="F7" i="24" s="1"/>
  <c r="V23" i="37"/>
  <c r="F23" i="24" s="1"/>
  <c r="V8" i="37"/>
  <c r="F8" i="24" s="1"/>
  <c r="S10" i="37"/>
  <c r="S9" i="37"/>
  <c r="S8" i="37"/>
  <c r="S34" i="37"/>
  <c r="V11" i="37"/>
  <c r="F11" i="24" s="1"/>
  <c r="R43" i="37"/>
  <c r="S29" i="37"/>
  <c r="V24" i="37"/>
  <c r="F24" i="24" s="1"/>
  <c r="S18" i="37"/>
  <c r="S15" i="37"/>
  <c r="S16" i="37"/>
  <c r="V19" i="37"/>
  <c r="F19" i="24" s="1"/>
  <c r="V5" i="37"/>
  <c r="S21" i="37"/>
  <c r="S19" i="37"/>
  <c r="V13" i="37"/>
  <c r="F13" i="24" s="1"/>
  <c r="V21" i="37"/>
  <c r="F21" i="24" s="1"/>
  <c r="R44" i="37"/>
  <c r="S28" i="37"/>
  <c r="S11" i="37"/>
  <c r="S31" i="37"/>
  <c r="S29" i="36"/>
  <c r="V21" i="36"/>
  <c r="E21" i="24" s="1"/>
  <c r="V12" i="36"/>
  <c r="E12" i="24" s="1"/>
  <c r="V22" i="36"/>
  <c r="E22" i="24" s="1"/>
  <c r="V19" i="36"/>
  <c r="E19" i="24" s="1"/>
  <c r="S21" i="36"/>
  <c r="V16" i="36"/>
  <c r="E16" i="24" s="1"/>
  <c r="S5" i="36"/>
  <c r="S32" i="36"/>
  <c r="V7" i="36"/>
  <c r="E7" i="24" s="1"/>
  <c r="V14" i="36"/>
  <c r="E14" i="24" s="1"/>
  <c r="V5" i="36"/>
  <c r="V8" i="36"/>
  <c r="E8" i="24" s="1"/>
  <c r="S27" i="36"/>
  <c r="S11" i="36"/>
  <c r="V26" i="36"/>
  <c r="E26" i="24" s="1"/>
  <c r="R43" i="36"/>
  <c r="S10" i="36"/>
  <c r="S25" i="36"/>
  <c r="S12" i="36"/>
  <c r="V20" i="36"/>
  <c r="E20" i="24" s="1"/>
  <c r="V17" i="36"/>
  <c r="E17" i="24" s="1"/>
  <c r="S8" i="36"/>
  <c r="S41" i="36"/>
  <c r="V6" i="36"/>
  <c r="E6" i="24" s="1"/>
  <c r="U31" i="36"/>
  <c r="S30" i="36"/>
  <c r="V25" i="36"/>
  <c r="E25" i="24" s="1"/>
  <c r="V24" i="36"/>
  <c r="E24" i="24" s="1"/>
  <c r="V15" i="36"/>
  <c r="E15" i="24" s="1"/>
  <c r="V13" i="36"/>
  <c r="E13" i="24" s="1"/>
  <c r="U34" i="36"/>
  <c r="S40" i="36"/>
  <c r="S36" i="36"/>
  <c r="V23" i="36"/>
  <c r="E23" i="24" s="1"/>
  <c r="S26" i="36"/>
  <c r="S31" i="36"/>
  <c r="V10" i="36"/>
  <c r="E10" i="24" s="1"/>
  <c r="S16" i="36"/>
  <c r="S7" i="36"/>
  <c r="S24" i="36"/>
  <c r="S22" i="36"/>
  <c r="V11" i="36"/>
  <c r="E11" i="24" s="1"/>
  <c r="S35" i="36"/>
  <c r="S17" i="36"/>
  <c r="S20" i="36"/>
  <c r="S18" i="36"/>
  <c r="V9" i="36"/>
  <c r="E9" i="24" s="1"/>
  <c r="S9" i="36"/>
  <c r="S28" i="36"/>
  <c r="V18" i="36"/>
  <c r="E18" i="24" s="1"/>
  <c r="R44" i="36"/>
  <c r="S34" i="36"/>
  <c r="S15" i="36"/>
  <c r="S37" i="36"/>
  <c r="S23" i="36"/>
  <c r="S19" i="36"/>
  <c r="S14" i="36"/>
  <c r="C23" i="24"/>
  <c r="C20" i="24"/>
  <c r="C19" i="24"/>
  <c r="C25" i="24"/>
  <c r="C14" i="24"/>
  <c r="C11" i="24"/>
  <c r="S10" i="32"/>
  <c r="V10" i="32"/>
  <c r="M10" i="24" s="1"/>
  <c r="V11" i="32"/>
  <c r="M11" i="24" s="1"/>
  <c r="S5" i="32"/>
  <c r="S4" i="32"/>
  <c r="S18" i="32"/>
  <c r="V13" i="32"/>
  <c r="M13" i="24" s="1"/>
  <c r="V21" i="32"/>
  <c r="M21" i="24" s="1"/>
  <c r="V8" i="32"/>
  <c r="M8" i="24" s="1"/>
  <c r="V9" i="32"/>
  <c r="M9" i="24" s="1"/>
  <c r="S19" i="32"/>
  <c r="V17" i="32"/>
  <c r="M17" i="24" s="1"/>
  <c r="V19" i="32"/>
  <c r="M19" i="24" s="1"/>
  <c r="U34" i="32"/>
  <c r="R41" i="32"/>
  <c r="S27" i="32"/>
  <c r="S17" i="32"/>
  <c r="S33" i="32"/>
  <c r="S20" i="32"/>
  <c r="S9" i="32"/>
  <c r="S36" i="32"/>
  <c r="S35" i="32"/>
  <c r="V7" i="32"/>
  <c r="M7" i="24" s="1"/>
  <c r="V16" i="32"/>
  <c r="M16" i="24" s="1"/>
  <c r="S16" i="32"/>
  <c r="S21" i="32"/>
  <c r="V6" i="32"/>
  <c r="M6" i="24" s="1"/>
  <c r="S34" i="32"/>
  <c r="S8" i="32"/>
  <c r="S13" i="32"/>
  <c r="S30" i="32"/>
  <c r="S32" i="32"/>
  <c r="S14" i="32"/>
  <c r="U31" i="32"/>
  <c r="V18" i="32"/>
  <c r="M18" i="24" s="1"/>
  <c r="S12" i="32"/>
  <c r="S28" i="32"/>
  <c r="S15" i="32"/>
  <c r="S39" i="32"/>
  <c r="S38" i="32"/>
  <c r="S29" i="32"/>
  <c r="S40" i="32"/>
  <c r="S7" i="32"/>
  <c r="S25" i="32"/>
  <c r="S11" i="32"/>
  <c r="R42" i="32"/>
  <c r="V22" i="32"/>
  <c r="M22" i="24" s="1"/>
  <c r="V23" i="32"/>
  <c r="M23" i="24" s="1"/>
  <c r="S22" i="32"/>
  <c r="V14" i="32"/>
  <c r="M14" i="24" s="1"/>
  <c r="S24" i="32"/>
  <c r="S23" i="32"/>
  <c r="V12" i="32"/>
  <c r="M12" i="24" s="1"/>
  <c r="S6" i="32"/>
  <c r="V5" i="32"/>
  <c r="S31" i="32"/>
  <c r="S37" i="32"/>
  <c r="V20" i="32"/>
  <c r="M20" i="24" s="1"/>
  <c r="S31" i="31"/>
  <c r="V8" i="31"/>
  <c r="L8" i="24" s="1"/>
  <c r="S12" i="31"/>
  <c r="V21" i="31"/>
  <c r="L21" i="24" s="1"/>
  <c r="V23" i="31"/>
  <c r="L23" i="24" s="1"/>
  <c r="S40" i="31"/>
  <c r="S19" i="31"/>
  <c r="S4" i="31"/>
  <c r="V24" i="31"/>
  <c r="L24" i="24" s="1"/>
  <c r="S39" i="31"/>
  <c r="U34" i="31"/>
  <c r="S5" i="31"/>
  <c r="S23" i="31"/>
  <c r="S21" i="31"/>
  <c r="S25" i="31"/>
  <c r="V10" i="31"/>
  <c r="L10" i="24" s="1"/>
  <c r="V19" i="31"/>
  <c r="L19" i="24" s="1"/>
  <c r="U31" i="31"/>
  <c r="V12" i="31"/>
  <c r="L12" i="24" s="1"/>
  <c r="V25" i="31"/>
  <c r="L25" i="24" s="1"/>
  <c r="S8" i="31"/>
  <c r="S28" i="31"/>
  <c r="V26" i="31"/>
  <c r="L26" i="24" s="1"/>
  <c r="S15" i="31"/>
  <c r="S24" i="31"/>
  <c r="S14" i="31"/>
  <c r="V5" i="31"/>
  <c r="V13" i="31"/>
  <c r="L13" i="24" s="1"/>
  <c r="S17" i="31"/>
  <c r="V14" i="31"/>
  <c r="L14" i="24" s="1"/>
  <c r="S18" i="31"/>
  <c r="S6" i="31"/>
  <c r="S34" i="31"/>
  <c r="V16" i="31"/>
  <c r="L16" i="24" s="1"/>
  <c r="S20" i="31"/>
  <c r="S26" i="31"/>
  <c r="S13" i="31"/>
  <c r="S10" i="31"/>
  <c r="S33" i="31"/>
  <c r="V17" i="31"/>
  <c r="L17" i="24" s="1"/>
  <c r="V6" i="31"/>
  <c r="L6" i="24" s="1"/>
  <c r="R41" i="31"/>
  <c r="S11" i="31"/>
  <c r="S29" i="31"/>
  <c r="V15" i="31"/>
  <c r="L15" i="24" s="1"/>
  <c r="S37" i="31"/>
  <c r="R42" i="31"/>
  <c r="S32" i="31"/>
  <c r="S7" i="31"/>
  <c r="S5" i="30"/>
  <c r="S16" i="30"/>
  <c r="S12" i="30"/>
  <c r="S40" i="30"/>
  <c r="S19" i="30"/>
  <c r="S22" i="30"/>
  <c r="V19" i="30"/>
  <c r="K19" i="24" s="1"/>
  <c r="V5" i="30"/>
  <c r="V6" i="30"/>
  <c r="K6" i="24" s="1"/>
  <c r="S20" i="30"/>
  <c r="S4" i="30"/>
  <c r="V9" i="30"/>
  <c r="K9" i="24" s="1"/>
  <c r="R42" i="30"/>
  <c r="S9" i="30"/>
  <c r="V18" i="30"/>
  <c r="K18" i="24" s="1"/>
  <c r="S30" i="30"/>
  <c r="V24" i="30"/>
  <c r="K24" i="24" s="1"/>
  <c r="V7" i="30"/>
  <c r="K7" i="24" s="1"/>
  <c r="S37" i="30"/>
  <c r="V21" i="30"/>
  <c r="K21" i="24" s="1"/>
  <c r="S34" i="30"/>
  <c r="S24" i="30"/>
  <c r="V8" i="30"/>
  <c r="K8" i="24" s="1"/>
  <c r="V17" i="30"/>
  <c r="K17" i="24" s="1"/>
  <c r="V20" i="30"/>
  <c r="K20" i="24" s="1"/>
  <c r="S21" i="30"/>
  <c r="U34" i="30"/>
  <c r="V12" i="30"/>
  <c r="K12" i="24" s="1"/>
  <c r="S18" i="30"/>
  <c r="S23" i="30"/>
  <c r="S31" i="30"/>
  <c r="S13" i="30"/>
  <c r="S10" i="30"/>
  <c r="S26" i="30"/>
  <c r="S17" i="30"/>
  <c r="V13" i="30"/>
  <c r="K13" i="24" s="1"/>
  <c r="S28" i="30"/>
  <c r="S38" i="30"/>
  <c r="V25" i="30"/>
  <c r="K25" i="24" s="1"/>
  <c r="R41" i="30"/>
  <c r="V10" i="30"/>
  <c r="K10" i="24" s="1"/>
  <c r="V16" i="30"/>
  <c r="K16" i="24" s="1"/>
  <c r="S33" i="30"/>
  <c r="S7" i="30"/>
  <c r="V26" i="30"/>
  <c r="K26" i="24" s="1"/>
  <c r="S11" i="30"/>
  <c r="S36" i="30"/>
  <c r="S8" i="30"/>
  <c r="S35" i="30"/>
  <c r="S27" i="30"/>
  <c r="V21" i="29"/>
  <c r="J21" i="24" s="1"/>
  <c r="V24" i="29"/>
  <c r="J24" i="24" s="1"/>
  <c r="S27" i="29"/>
  <c r="S17" i="29"/>
  <c r="S23" i="29"/>
  <c r="R41" i="29"/>
  <c r="S15" i="29"/>
  <c r="U34" i="29"/>
  <c r="V11" i="29"/>
  <c r="J11" i="24" s="1"/>
  <c r="V8" i="29"/>
  <c r="J8" i="24" s="1"/>
  <c r="S38" i="29"/>
  <c r="S29" i="29"/>
  <c r="S7" i="29"/>
  <c r="S11" i="29"/>
  <c r="S8" i="29"/>
  <c r="S6" i="29"/>
  <c r="S10" i="29"/>
  <c r="S18" i="29"/>
  <c r="V15" i="29"/>
  <c r="J15" i="24" s="1"/>
  <c r="V5" i="29"/>
  <c r="J5" i="24" s="1"/>
  <c r="S35" i="29"/>
  <c r="S33" i="29"/>
  <c r="V16" i="29"/>
  <c r="J16" i="24" s="1"/>
  <c r="S31" i="29"/>
  <c r="S39" i="29"/>
  <c r="V26" i="29"/>
  <c r="J26" i="24" s="1"/>
  <c r="S9" i="29"/>
  <c r="S19" i="29"/>
  <c r="S32" i="29"/>
  <c r="V20" i="29"/>
  <c r="J20" i="24" s="1"/>
  <c r="S30" i="29"/>
  <c r="V7" i="29"/>
  <c r="J7" i="24" s="1"/>
  <c r="U31" i="29"/>
  <c r="S12" i="29"/>
  <c r="V9" i="29"/>
  <c r="J9" i="24" s="1"/>
  <c r="V25" i="29"/>
  <c r="J25" i="24" s="1"/>
  <c r="R40" i="29"/>
  <c r="V17" i="29"/>
  <c r="J17" i="24" s="1"/>
  <c r="S36" i="29"/>
  <c r="S20" i="29"/>
  <c r="S25" i="29"/>
  <c r="V23" i="29"/>
  <c r="J23" i="24" s="1"/>
  <c r="V6" i="29"/>
  <c r="J6" i="24" s="1"/>
  <c r="V10" i="29"/>
  <c r="J10" i="24" s="1"/>
  <c r="V12" i="29"/>
  <c r="J12" i="24" s="1"/>
  <c r="S16" i="29"/>
  <c r="S24" i="29"/>
  <c r="S14" i="29"/>
  <c r="S28" i="29"/>
  <c r="S5" i="29"/>
  <c r="S4" i="29"/>
  <c r="V22" i="29"/>
  <c r="J22" i="24" s="1"/>
  <c r="V18" i="29"/>
  <c r="J18" i="24" s="1"/>
  <c r="S37" i="29"/>
  <c r="S22" i="29"/>
  <c r="S13" i="29"/>
  <c r="S21" i="29"/>
  <c r="S34" i="29"/>
  <c r="V13" i="29"/>
  <c r="J13" i="24" s="1"/>
  <c r="S26" i="29"/>
  <c r="I19" i="24"/>
  <c r="O19" i="24" s="1"/>
  <c r="I25" i="24"/>
  <c r="I9" i="24"/>
  <c r="I22" i="24"/>
  <c r="I21" i="24"/>
  <c r="I24" i="24"/>
  <c r="O24" i="24" s="1"/>
  <c r="I10" i="24"/>
  <c r="I23" i="24"/>
  <c r="I16" i="24"/>
  <c r="I20" i="24"/>
  <c r="I6" i="24"/>
  <c r="I8" i="24"/>
  <c r="I13" i="24"/>
  <c r="I12" i="24"/>
  <c r="I14" i="24"/>
  <c r="I17" i="24"/>
  <c r="I18" i="24"/>
  <c r="O18" i="24" s="1"/>
  <c r="I15" i="24"/>
  <c r="I11" i="24"/>
  <c r="M41" i="32"/>
  <c r="M44" i="37"/>
  <c r="M42" i="33"/>
  <c r="M40" i="29"/>
  <c r="M42" i="32"/>
  <c r="M41" i="31"/>
  <c r="M42" i="30"/>
  <c r="M41" i="30"/>
  <c r="M42" i="31"/>
  <c r="M41" i="33"/>
  <c r="L5" i="24"/>
  <c r="S6" i="30"/>
  <c r="S32" i="30"/>
  <c r="M41" i="29"/>
  <c r="I5" i="24"/>
  <c r="F5" i="24"/>
  <c r="S39" i="36"/>
  <c r="S42" i="36"/>
  <c r="S4" i="36"/>
  <c r="S33" i="36"/>
  <c r="S6" i="36"/>
  <c r="S13" i="36"/>
  <c r="E5" i="24"/>
  <c r="S39" i="35"/>
  <c r="S31" i="35"/>
  <c r="S22" i="35"/>
  <c r="S19" i="35"/>
  <c r="S28" i="35"/>
  <c r="S27" i="35"/>
  <c r="V25" i="35"/>
  <c r="D25" i="24" s="1"/>
  <c r="S42" i="35"/>
  <c r="V13" i="35"/>
  <c r="D13" i="24" s="1"/>
  <c r="S8" i="35"/>
  <c r="V14" i="35"/>
  <c r="D14" i="24" s="1"/>
  <c r="V16" i="35"/>
  <c r="D16" i="24" s="1"/>
  <c r="V23" i="35"/>
  <c r="D23" i="24" s="1"/>
  <c r="V26" i="35"/>
  <c r="D26" i="24" s="1"/>
  <c r="S18" i="35"/>
  <c r="V20" i="35"/>
  <c r="D20" i="24" s="1"/>
  <c r="V11" i="35"/>
  <c r="D11" i="24" s="1"/>
  <c r="S41" i="35"/>
  <c r="V7" i="35"/>
  <c r="D7" i="24" s="1"/>
  <c r="S23" i="35"/>
  <c r="S37" i="35"/>
  <c r="S6" i="35"/>
  <c r="V8" i="35"/>
  <c r="D8" i="24" s="1"/>
  <c r="V5" i="35"/>
  <c r="S35" i="35"/>
  <c r="S30" i="35"/>
  <c r="V18" i="35"/>
  <c r="D18" i="24" s="1"/>
  <c r="S38" i="35"/>
  <c r="V24" i="35"/>
  <c r="D24" i="24" s="1"/>
  <c r="V19" i="35"/>
  <c r="D19" i="24" s="1"/>
  <c r="R43" i="35"/>
  <c r="V22" i="35"/>
  <c r="D22" i="24" s="1"/>
  <c r="S40" i="35"/>
  <c r="V6" i="35"/>
  <c r="D6" i="24" s="1"/>
  <c r="V12" i="35"/>
  <c r="D12" i="24" s="1"/>
  <c r="S4" i="35"/>
  <c r="V9" i="35"/>
  <c r="D9" i="24" s="1"/>
  <c r="G9" i="24" s="1"/>
  <c r="S33" i="35"/>
  <c r="S11" i="35"/>
  <c r="R44" i="35"/>
  <c r="S24" i="35"/>
  <c r="U34" i="35"/>
  <c r="S7" i="35"/>
  <c r="S15" i="35"/>
  <c r="S20" i="35"/>
  <c r="V10" i="35"/>
  <c r="D10" i="24" s="1"/>
  <c r="V21" i="35"/>
  <c r="D21" i="24" s="1"/>
  <c r="S25" i="35"/>
  <c r="U31" i="35"/>
  <c r="V15" i="35"/>
  <c r="D15" i="24" s="1"/>
  <c r="V17" i="35"/>
  <c r="D17" i="24" s="1"/>
  <c r="S34" i="35"/>
  <c r="S21" i="35"/>
  <c r="M44" i="35"/>
  <c r="M43" i="35"/>
  <c r="S12" i="35"/>
  <c r="S13" i="35"/>
  <c r="S10" i="35"/>
  <c r="S32" i="35"/>
  <c r="S36" i="35"/>
  <c r="S26" i="35"/>
  <c r="S16" i="35"/>
  <c r="S14" i="35"/>
  <c r="S17" i="35"/>
  <c r="S9" i="35"/>
  <c r="S5" i="35"/>
  <c r="S29" i="35"/>
  <c r="C22" i="24"/>
  <c r="G22" i="24" s="1"/>
  <c r="C26" i="24"/>
  <c r="G26" i="24" s="1"/>
  <c r="C21" i="24"/>
  <c r="C15" i="24"/>
  <c r="C6" i="24"/>
  <c r="C16" i="24"/>
  <c r="C13" i="24"/>
  <c r="C5" i="24"/>
  <c r="C8" i="24"/>
  <c r="C7" i="24"/>
  <c r="G7" i="24" s="1"/>
  <c r="C10" i="24"/>
  <c r="C12" i="24"/>
  <c r="C17" i="24"/>
  <c r="C18" i="24"/>
  <c r="C24" i="24"/>
  <c r="N27" i="24" l="1"/>
  <c r="L27" i="24"/>
  <c r="V27" i="33"/>
  <c r="G25" i="24"/>
  <c r="O20" i="24"/>
  <c r="O6" i="24"/>
  <c r="O23" i="24"/>
  <c r="G19" i="24"/>
  <c r="G14" i="24"/>
  <c r="V27" i="37"/>
  <c r="G13" i="24"/>
  <c r="G23" i="24"/>
  <c r="G18" i="24"/>
  <c r="E27" i="24"/>
  <c r="G20" i="24"/>
  <c r="O11" i="24"/>
  <c r="O7" i="24"/>
  <c r="O12" i="24"/>
  <c r="O10" i="24"/>
  <c r="O8" i="24"/>
  <c r="O14" i="24"/>
  <c r="F27" i="24"/>
  <c r="G11" i="24"/>
  <c r="G8" i="24"/>
  <c r="G6" i="24"/>
  <c r="V27" i="36"/>
  <c r="G24" i="24"/>
  <c r="G17" i="24"/>
  <c r="G12" i="24"/>
  <c r="G16" i="24"/>
  <c r="V27" i="32"/>
  <c r="M5" i="24"/>
  <c r="M27" i="24" s="1"/>
  <c r="V27" i="31"/>
  <c r="O17" i="24"/>
  <c r="V27" i="30"/>
  <c r="K5" i="24"/>
  <c r="K27" i="24" s="1"/>
  <c r="O21" i="24"/>
  <c r="O9" i="24"/>
  <c r="O16" i="24"/>
  <c r="J27" i="24"/>
  <c r="V27" i="29"/>
  <c r="O15" i="24"/>
  <c r="O25" i="24"/>
  <c r="O13" i="24"/>
  <c r="O22" i="24"/>
  <c r="I27" i="24"/>
  <c r="G15" i="24"/>
  <c r="G10" i="24"/>
  <c r="G21" i="24"/>
  <c r="V27" i="35"/>
  <c r="D5" i="24"/>
  <c r="D27" i="24" s="1"/>
  <c r="C27" i="24"/>
  <c r="G27" i="24" l="1"/>
  <c r="G5" i="24"/>
  <c r="H5" i="24" s="1"/>
  <c r="H6" i="24" s="1"/>
  <c r="H7" i="24" s="1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O5" i="24"/>
  <c r="P5" i="24" s="1"/>
  <c r="P6" i="24" s="1"/>
  <c r="P7" i="24" s="1"/>
  <c r="P8" i="24" s="1"/>
  <c r="P9" i="24" s="1"/>
  <c r="P10" i="24" s="1"/>
  <c r="P11" i="24" s="1"/>
  <c r="P12" i="24" s="1"/>
  <c r="P13" i="24" s="1"/>
  <c r="P14" i="24" s="1"/>
  <c r="P15" i="24" s="1"/>
  <c r="P16" i="24" s="1"/>
  <c r="P17" i="24" s="1"/>
  <c r="P18" i="24" s="1"/>
  <c r="P19" i="24" s="1"/>
  <c r="P20" i="24" s="1"/>
  <c r="P21" i="24" s="1"/>
  <c r="P22" i="24" s="1"/>
  <c r="P23" i="24" s="1"/>
  <c r="P24" i="24" s="1"/>
  <c r="P25" i="24" s="1"/>
  <c r="P26" i="24" s="1"/>
  <c r="P27" i="24" s="1"/>
  <c r="O27" i="24"/>
</calcChain>
</file>

<file path=xl/sharedStrings.xml><?xml version="1.0" encoding="utf-8"?>
<sst xmlns="http://schemas.openxmlformats.org/spreadsheetml/2006/main" count="4538" uniqueCount="1011">
  <si>
    <t>언어</t>
    <phoneticPr fontId="3" type="noConversion"/>
  </si>
  <si>
    <t>수리</t>
    <phoneticPr fontId="3" type="noConversion"/>
  </si>
  <si>
    <t>외국어</t>
    <phoneticPr fontId="3" type="noConversion"/>
  </si>
  <si>
    <t>번 호</t>
    <phoneticPr fontId="3" type="noConversion"/>
  </si>
  <si>
    <t>성 명</t>
    <phoneticPr fontId="3" type="noConversion"/>
  </si>
  <si>
    <t>탐구영역</t>
    <phoneticPr fontId="3" type="noConversion"/>
  </si>
  <si>
    <t>총점</t>
    <phoneticPr fontId="3" type="noConversion"/>
  </si>
  <si>
    <t>반석차</t>
    <phoneticPr fontId="3" type="noConversion"/>
  </si>
  <si>
    <t>누계표</t>
    <phoneticPr fontId="3" type="noConversion"/>
  </si>
  <si>
    <t>합계</t>
    <phoneticPr fontId="3" type="noConversion"/>
  </si>
  <si>
    <t>최고점</t>
    <phoneticPr fontId="3" type="noConversion"/>
  </si>
  <si>
    <t>최하점</t>
    <phoneticPr fontId="3" type="noConversion"/>
  </si>
  <si>
    <t>평균</t>
    <phoneticPr fontId="3" type="noConversion"/>
  </si>
  <si>
    <t>언수외
소 계</t>
    <phoneticPr fontId="3" type="noConversion"/>
  </si>
  <si>
    <t>언수외석 차</t>
    <phoneticPr fontId="3" type="noConversion"/>
  </si>
  <si>
    <t>탐구소계</t>
    <phoneticPr fontId="3" type="noConversion"/>
  </si>
  <si>
    <t>점수</t>
    <phoneticPr fontId="3" type="noConversion"/>
  </si>
  <si>
    <t>1반</t>
    <phoneticPr fontId="3" type="noConversion"/>
  </si>
  <si>
    <t>5반</t>
  </si>
  <si>
    <t>190 이하</t>
    <phoneticPr fontId="3" type="noConversion"/>
  </si>
  <si>
    <t>190이하</t>
    <phoneticPr fontId="3" type="noConversion"/>
  </si>
  <si>
    <t>계</t>
    <phoneticPr fontId="3" type="noConversion"/>
  </si>
  <si>
    <t>누계</t>
    <phoneticPr fontId="3" type="noConversion"/>
  </si>
  <si>
    <t>최윤석</t>
  </si>
  <si>
    <t>등급</t>
    <phoneticPr fontId="3" type="noConversion"/>
  </si>
  <si>
    <t>표준점수</t>
    <phoneticPr fontId="3" type="noConversion"/>
  </si>
  <si>
    <t>언수외
표준소계</t>
    <phoneticPr fontId="3" type="noConversion"/>
  </si>
  <si>
    <t>등급</t>
  </si>
  <si>
    <t>최소</t>
  </si>
  <si>
    <t>김용준</t>
  </si>
  <si>
    <t>이승현</t>
  </si>
  <si>
    <t>김기배</t>
  </si>
  <si>
    <t>김영웅</t>
  </si>
  <si>
    <t>김태우</t>
  </si>
  <si>
    <t>김도현</t>
  </si>
  <si>
    <t>김종문</t>
  </si>
  <si>
    <t>10반</t>
    <phoneticPr fontId="3" type="noConversion"/>
  </si>
  <si>
    <t>8반</t>
    <phoneticPr fontId="3" type="noConversion"/>
  </si>
  <si>
    <t>9반</t>
    <phoneticPr fontId="3" type="noConversion"/>
  </si>
  <si>
    <t>6반</t>
    <phoneticPr fontId="3" type="noConversion"/>
  </si>
  <si>
    <t>7반</t>
    <phoneticPr fontId="3" type="noConversion"/>
  </si>
  <si>
    <t>4반</t>
    <phoneticPr fontId="3" type="noConversion"/>
  </si>
  <si>
    <t>2반</t>
    <phoneticPr fontId="3" type="noConversion"/>
  </si>
  <si>
    <t>3반</t>
    <phoneticPr fontId="3" type="noConversion"/>
  </si>
  <si>
    <t>소계</t>
    <phoneticPr fontId="3" type="noConversion"/>
  </si>
  <si>
    <t>이경민</t>
  </si>
  <si>
    <t>강동호</t>
  </si>
  <si>
    <t>강세훈</t>
  </si>
  <si>
    <t>강전희</t>
  </si>
  <si>
    <t>김도영</t>
  </si>
  <si>
    <t>김석우</t>
  </si>
  <si>
    <t>김용현</t>
  </si>
  <si>
    <t>김원탁</t>
  </si>
  <si>
    <t>김재우</t>
  </si>
  <si>
    <t>김종헌</t>
  </si>
  <si>
    <t>김지찬</t>
  </si>
  <si>
    <t>노현우</t>
  </si>
  <si>
    <t>박상준</t>
  </si>
  <si>
    <t>박성민</t>
  </si>
  <si>
    <t>박지우</t>
  </si>
  <si>
    <t>방인서</t>
  </si>
  <si>
    <t>소현수</t>
  </si>
  <si>
    <t>신재범</t>
  </si>
  <si>
    <t>양한솔</t>
  </si>
  <si>
    <t>유동주</t>
  </si>
  <si>
    <t>유민종</t>
  </si>
  <si>
    <t>유찬종</t>
  </si>
  <si>
    <t>유태상</t>
  </si>
  <si>
    <t>이대현</t>
  </si>
  <si>
    <t>이동근</t>
  </si>
  <si>
    <t>이승민</t>
  </si>
  <si>
    <t>이준영</t>
  </si>
  <si>
    <t>이중현</t>
  </si>
  <si>
    <t>이한택</t>
  </si>
  <si>
    <t>이호선</t>
  </si>
  <si>
    <t>이홍노</t>
  </si>
  <si>
    <t>정성훈</t>
  </si>
  <si>
    <t>지성겸</t>
  </si>
  <si>
    <t>최성열</t>
  </si>
  <si>
    <t>한동국</t>
  </si>
  <si>
    <t>호수빈</t>
  </si>
  <si>
    <t>고영승</t>
  </si>
  <si>
    <t>고영훈</t>
  </si>
  <si>
    <t>금혜성</t>
  </si>
  <si>
    <t>김강건</t>
  </si>
  <si>
    <t>김건식</t>
  </si>
  <si>
    <t>김도훈</t>
  </si>
  <si>
    <t>김민후</t>
  </si>
  <si>
    <t>김사빈</t>
  </si>
  <si>
    <t>김주성</t>
  </si>
  <si>
    <t>김지운</t>
  </si>
  <si>
    <t>김희수</t>
  </si>
  <si>
    <t>노진영</t>
  </si>
  <si>
    <t>라윤기</t>
  </si>
  <si>
    <t>박성은</t>
  </si>
  <si>
    <t>서동규</t>
  </si>
  <si>
    <t>손우용</t>
  </si>
  <si>
    <t>심재형</t>
  </si>
  <si>
    <t>유기덕</t>
  </si>
  <si>
    <t>유덕호</t>
  </si>
  <si>
    <t>윤명혁</t>
  </si>
  <si>
    <t>윤민기</t>
  </si>
  <si>
    <t>이규원</t>
  </si>
  <si>
    <t>이상진</t>
  </si>
  <si>
    <t>이영찬</t>
  </si>
  <si>
    <t>이재원</t>
  </si>
  <si>
    <t>이종관</t>
  </si>
  <si>
    <t>임한울</t>
  </si>
  <si>
    <t>전형남</t>
  </si>
  <si>
    <t>정상민</t>
  </si>
  <si>
    <t>정준</t>
  </si>
  <si>
    <t>정태민</t>
  </si>
  <si>
    <t>최성일</t>
  </si>
  <si>
    <t>황민상</t>
  </si>
  <si>
    <t>황호현</t>
  </si>
  <si>
    <t>강민우</t>
  </si>
  <si>
    <t>권민표</t>
  </si>
  <si>
    <t>권유안</t>
  </si>
  <si>
    <t>김동주</t>
  </si>
  <si>
    <t>김병인</t>
  </si>
  <si>
    <t>김송현</t>
  </si>
  <si>
    <t>김시온</t>
  </si>
  <si>
    <t>김은택</t>
  </si>
  <si>
    <t>김종원</t>
  </si>
  <si>
    <t>김찬영</t>
  </si>
  <si>
    <t>김태원</t>
  </si>
  <si>
    <t>박영민</t>
  </si>
  <si>
    <t>박찬의</t>
  </si>
  <si>
    <t>백종욱</t>
  </si>
  <si>
    <t>신윤상</t>
  </si>
  <si>
    <t>심관우</t>
  </si>
  <si>
    <t>엄준혁</t>
  </si>
  <si>
    <t>우정찬</t>
  </si>
  <si>
    <t>유기환</t>
  </si>
  <si>
    <t>유남희</t>
  </si>
  <si>
    <t>유승민</t>
  </si>
  <si>
    <t>유재상</t>
  </si>
  <si>
    <t>유현승</t>
  </si>
  <si>
    <t>이준환</t>
  </si>
  <si>
    <t>이지석</t>
  </si>
  <si>
    <t>이창윤</t>
  </si>
  <si>
    <t>이하민</t>
  </si>
  <si>
    <t>임준영</t>
  </si>
  <si>
    <t>정관수</t>
  </si>
  <si>
    <t>정동륜</t>
  </si>
  <si>
    <t>조정열</t>
  </si>
  <si>
    <t>조화평</t>
  </si>
  <si>
    <t>최락훈</t>
  </si>
  <si>
    <t>최승원</t>
  </si>
  <si>
    <t>최제원</t>
  </si>
  <si>
    <t>최치원</t>
  </si>
  <si>
    <t>한상현</t>
  </si>
  <si>
    <t>고재혁</t>
  </si>
  <si>
    <t>고준석</t>
  </si>
  <si>
    <t>김경남</t>
  </si>
  <si>
    <t>김선우</t>
  </si>
  <si>
    <t>김승원</t>
  </si>
  <si>
    <t>김윤호</t>
  </si>
  <si>
    <t>김한겸</t>
  </si>
  <si>
    <t>김형진</t>
  </si>
  <si>
    <t>김호겸</t>
  </si>
  <si>
    <t>박성주</t>
  </si>
  <si>
    <t>박영헌</t>
  </si>
  <si>
    <t>박인규</t>
  </si>
  <si>
    <t>박주혁</t>
  </si>
  <si>
    <t>배승환</t>
  </si>
  <si>
    <t>배준선</t>
  </si>
  <si>
    <t>백승철</t>
  </si>
  <si>
    <t>서문욱</t>
  </si>
  <si>
    <t>신지원</t>
  </si>
  <si>
    <t>안준혁</t>
  </si>
  <si>
    <t>양종천</t>
  </si>
  <si>
    <t>오인재</t>
  </si>
  <si>
    <t>오현승</t>
  </si>
  <si>
    <t>유종원</t>
  </si>
  <si>
    <t>윤지환</t>
  </si>
  <si>
    <t>이승재</t>
  </si>
  <si>
    <t>이윤우</t>
  </si>
  <si>
    <t>이종석</t>
  </si>
  <si>
    <t>이종혁</t>
  </si>
  <si>
    <t>임수빈</t>
  </si>
  <si>
    <t>임재현</t>
  </si>
  <si>
    <t>임태윤</t>
  </si>
  <si>
    <t>장효성</t>
  </si>
  <si>
    <t>차주환</t>
  </si>
  <si>
    <t>최정원</t>
  </si>
  <si>
    <t>황재원</t>
  </si>
  <si>
    <t>황창원</t>
  </si>
  <si>
    <t>강준모</t>
  </si>
  <si>
    <t>국윤성</t>
  </si>
  <si>
    <t>김명원</t>
  </si>
  <si>
    <t>김백만</t>
  </si>
  <si>
    <t>김범희</t>
  </si>
  <si>
    <t>김상욱</t>
  </si>
  <si>
    <t>김수석</t>
  </si>
  <si>
    <t>김승범</t>
  </si>
  <si>
    <t>김신겸</t>
  </si>
  <si>
    <t>김재중</t>
  </si>
  <si>
    <t>김청운</t>
  </si>
  <si>
    <t>문한인</t>
  </si>
  <si>
    <t>박상진</t>
  </si>
  <si>
    <t>박지웅</t>
  </si>
  <si>
    <t>박진수</t>
  </si>
  <si>
    <t>박희상</t>
  </si>
  <si>
    <t>서문현주</t>
  </si>
  <si>
    <t>성호연</t>
  </si>
  <si>
    <t>손상민</t>
  </si>
  <si>
    <t>손원기</t>
  </si>
  <si>
    <t>송광석</t>
  </si>
  <si>
    <t>신찬호</t>
  </si>
  <si>
    <t>오예훈</t>
  </si>
  <si>
    <t>윤승환</t>
  </si>
  <si>
    <t>이규헌</t>
  </si>
  <si>
    <t>이상준</t>
  </si>
  <si>
    <t>이승훈</t>
  </si>
  <si>
    <t>이재혁</t>
  </si>
  <si>
    <t>이정석</t>
  </si>
  <si>
    <t>정재현</t>
  </si>
  <si>
    <t>조강현</t>
  </si>
  <si>
    <t>조주형</t>
  </si>
  <si>
    <t>최낙현</t>
  </si>
  <si>
    <t>최영훈</t>
  </si>
  <si>
    <t>최정빈</t>
  </si>
  <si>
    <t>한상진</t>
  </si>
  <si>
    <t>황인성</t>
  </si>
  <si>
    <t>김영훈</t>
  </si>
  <si>
    <t>김준수</t>
  </si>
  <si>
    <t>김진수</t>
  </si>
  <si>
    <t>권준형</t>
  </si>
  <si>
    <t>길요한</t>
  </si>
  <si>
    <t>김다빈</t>
  </si>
  <si>
    <t>김동건</t>
  </si>
  <si>
    <t>김빈</t>
  </si>
  <si>
    <t>김용진</t>
  </si>
  <si>
    <t>김원빈</t>
  </si>
  <si>
    <t>김정민</t>
  </si>
  <si>
    <t>김지수</t>
  </si>
  <si>
    <t>김진영</t>
  </si>
  <si>
    <t>김찬혁</t>
  </si>
  <si>
    <t>김형수</t>
  </si>
  <si>
    <t>박종규</t>
  </si>
  <si>
    <t>박한별</t>
  </si>
  <si>
    <t>백승우</t>
  </si>
  <si>
    <t>설준수</t>
  </si>
  <si>
    <t>송민철</t>
  </si>
  <si>
    <t>신동건</t>
  </si>
  <si>
    <t>양상민</t>
  </si>
  <si>
    <t>오광문</t>
  </si>
  <si>
    <t>오동원</t>
  </si>
  <si>
    <t>유희열</t>
  </si>
  <si>
    <t>윤현수</t>
  </si>
  <si>
    <t>이민우</t>
  </si>
  <si>
    <t>이연수</t>
  </si>
  <si>
    <t>이예준</t>
  </si>
  <si>
    <t>이의섭</t>
  </si>
  <si>
    <t>이준혁</t>
  </si>
  <si>
    <t>이호연</t>
  </si>
  <si>
    <t>정민규</t>
  </si>
  <si>
    <t>정세영</t>
  </si>
  <si>
    <t>조규현</t>
  </si>
  <si>
    <t>조성현</t>
  </si>
  <si>
    <t>조홍찬</t>
  </si>
  <si>
    <t>황승진</t>
  </si>
  <si>
    <t>구본영</t>
  </si>
  <si>
    <t>김민수</t>
  </si>
  <si>
    <t>김수경</t>
  </si>
  <si>
    <t>김지환</t>
  </si>
  <si>
    <t>마민준</t>
  </si>
  <si>
    <t>빈우철</t>
  </si>
  <si>
    <t>서다솔</t>
  </si>
  <si>
    <t>신경용</t>
  </si>
  <si>
    <t>신주헌</t>
  </si>
  <si>
    <t>양승현</t>
  </si>
  <si>
    <t>오성환</t>
  </si>
  <si>
    <t>유창현</t>
  </si>
  <si>
    <t>이강현</t>
  </si>
  <si>
    <t>이광조</t>
  </si>
  <si>
    <t>이규혁</t>
  </si>
  <si>
    <t>이동혁</t>
  </si>
  <si>
    <t>이석민</t>
  </si>
  <si>
    <t>이영훈</t>
  </si>
  <si>
    <t>이재승</t>
  </si>
  <si>
    <t>이제률</t>
  </si>
  <si>
    <t>이호준</t>
  </si>
  <si>
    <t>임우현</t>
  </si>
  <si>
    <t>장제윤</t>
  </si>
  <si>
    <t>전운찬</t>
  </si>
  <si>
    <t>정규환</t>
  </si>
  <si>
    <t>정시찬</t>
  </si>
  <si>
    <t>정준수</t>
  </si>
  <si>
    <t>조수영</t>
  </si>
  <si>
    <t>최성원</t>
  </si>
  <si>
    <t>최재원</t>
  </si>
  <si>
    <t>최준영</t>
  </si>
  <si>
    <t>최준환</t>
  </si>
  <si>
    <t>한현규</t>
  </si>
  <si>
    <t>홍성재</t>
  </si>
  <si>
    <t>강민재</t>
  </si>
  <si>
    <t>김동욱</t>
  </si>
  <si>
    <t>김민재</t>
  </si>
  <si>
    <t>김용규</t>
  </si>
  <si>
    <t>김종완</t>
  </si>
  <si>
    <t>류상인</t>
  </si>
  <si>
    <t>문준수</t>
  </si>
  <si>
    <t>박관우</t>
  </si>
  <si>
    <t>박보승</t>
  </si>
  <si>
    <t>박용현</t>
  </si>
  <si>
    <t>박의택</t>
  </si>
  <si>
    <t>박철민</t>
  </si>
  <si>
    <t>박효준</t>
  </si>
  <si>
    <t>서현준</t>
  </si>
  <si>
    <t>성재현</t>
  </si>
  <si>
    <t>송민석</t>
  </si>
  <si>
    <t>송정룡</t>
  </si>
  <si>
    <t>안경찬</t>
  </si>
  <si>
    <t>안홍성</t>
  </si>
  <si>
    <t>양영조</t>
  </si>
  <si>
    <t>오진택</t>
  </si>
  <si>
    <t>윤민우</t>
  </si>
  <si>
    <t>윤현석</t>
  </si>
  <si>
    <t>이민규</t>
  </si>
  <si>
    <t>이용국</t>
  </si>
  <si>
    <t>이지윤</t>
  </si>
  <si>
    <t>이진호</t>
  </si>
  <si>
    <t>이한빈</t>
  </si>
  <si>
    <t>임우진</t>
  </si>
  <si>
    <t>장기원</t>
  </si>
  <si>
    <t>전대송</t>
  </si>
  <si>
    <t>전호윤</t>
  </si>
  <si>
    <t>정신헌</t>
  </si>
  <si>
    <t>조항량</t>
  </si>
  <si>
    <t>형남훈</t>
  </si>
  <si>
    <t>황유상</t>
  </si>
  <si>
    <t>강성욱</t>
  </si>
  <si>
    <t>모  현</t>
    <phoneticPr fontId="3" type="noConversion"/>
  </si>
  <si>
    <t>수능모의 평가 3학년 06반</t>
    <phoneticPr fontId="3" type="noConversion"/>
  </si>
  <si>
    <t>수능모의 평가 3학년 07반</t>
    <phoneticPr fontId="3" type="noConversion"/>
  </si>
  <si>
    <t>수능모의 평가 3학년 08반</t>
    <phoneticPr fontId="3" type="noConversion"/>
  </si>
  <si>
    <t>수능모의 평가 3학년 09반</t>
    <phoneticPr fontId="3" type="noConversion"/>
  </si>
  <si>
    <t>수능모의 평가 3학년 10반</t>
    <phoneticPr fontId="3" type="noConversion"/>
  </si>
  <si>
    <t xml:space="preserve"> 수능모의 평가 3학년 02반</t>
    <phoneticPr fontId="3" type="noConversion"/>
  </si>
  <si>
    <t>수능모의 평가 3학년 03반</t>
    <phoneticPr fontId="3" type="noConversion"/>
  </si>
  <si>
    <t>수능모의 평가 3학년 04반</t>
    <phoneticPr fontId="3" type="noConversion"/>
  </si>
  <si>
    <t>7월 10일 모의 수능 반별 성적분포(400점만점)</t>
    <phoneticPr fontId="3" type="noConversion"/>
  </si>
  <si>
    <t>실시일 : 2014. 10. 7</t>
    <phoneticPr fontId="3" type="noConversion"/>
  </si>
  <si>
    <t>한국사</t>
    <phoneticPr fontId="3" type="noConversion"/>
  </si>
  <si>
    <t>반</t>
    <phoneticPr fontId="3" type="noConversion"/>
  </si>
  <si>
    <t>국어 등급컷 표</t>
  </si>
  <si>
    <t>영어 등급컷 표</t>
  </si>
  <si>
    <t>최빈값</t>
    <phoneticPr fontId="3" type="noConversion"/>
  </si>
  <si>
    <t>중앙값</t>
    <phoneticPr fontId="3" type="noConversion"/>
  </si>
  <si>
    <t>석차</t>
    <phoneticPr fontId="3" type="noConversion"/>
  </si>
  <si>
    <t>국어</t>
    <phoneticPr fontId="3" type="noConversion"/>
  </si>
  <si>
    <t>수학</t>
    <phoneticPr fontId="3" type="noConversion"/>
  </si>
  <si>
    <t>영어</t>
    <phoneticPr fontId="3" type="noConversion"/>
  </si>
  <si>
    <t>영어</t>
    <phoneticPr fontId="3" type="noConversion"/>
  </si>
  <si>
    <t>전국연합 예상 점수</t>
    <phoneticPr fontId="3" type="noConversion"/>
  </si>
  <si>
    <t>예상
등급</t>
    <phoneticPr fontId="3" type="noConversion"/>
  </si>
  <si>
    <t>수학 등급컷 표</t>
    <phoneticPr fontId="3" type="noConversion"/>
  </si>
  <si>
    <t>한국사, 사회, 과학 등급컷 표</t>
    <phoneticPr fontId="3" type="noConversion"/>
  </si>
  <si>
    <t>김경섭</t>
  </si>
  <si>
    <t>김규원</t>
  </si>
  <si>
    <t>김민서</t>
  </si>
  <si>
    <t>김범용</t>
  </si>
  <si>
    <t>김세홍</t>
  </si>
  <si>
    <t>김태영</t>
  </si>
  <si>
    <t>김현석</t>
  </si>
  <si>
    <t>문겸우</t>
  </si>
  <si>
    <t>박채운</t>
  </si>
  <si>
    <t>송시영</t>
  </si>
  <si>
    <t>송예찬</t>
  </si>
  <si>
    <t>송진학</t>
  </si>
  <si>
    <t>안태혁</t>
  </si>
  <si>
    <t>양성진</t>
  </si>
  <si>
    <t>양희원</t>
  </si>
  <si>
    <t>오승환</t>
  </si>
  <si>
    <t>오제호</t>
  </si>
  <si>
    <t>유준상</t>
  </si>
  <si>
    <t>이성준</t>
  </si>
  <si>
    <t>이성효</t>
  </si>
  <si>
    <t>이세진</t>
  </si>
  <si>
    <t>장종현</t>
  </si>
  <si>
    <t>조현호</t>
  </si>
  <si>
    <t>진성민</t>
  </si>
  <si>
    <t>최성진</t>
  </si>
  <si>
    <t>최영서</t>
  </si>
  <si>
    <t>최종원</t>
  </si>
  <si>
    <t>최현웅</t>
  </si>
  <si>
    <t>최호찬</t>
  </si>
  <si>
    <t>추상엽</t>
  </si>
  <si>
    <t>하성민</t>
  </si>
  <si>
    <t>황태준</t>
  </si>
  <si>
    <t>강동희</t>
  </si>
  <si>
    <t>고동욱</t>
  </si>
  <si>
    <t>국정원</t>
  </si>
  <si>
    <t>김세현</t>
  </si>
  <si>
    <t>김세호</t>
  </si>
  <si>
    <t>김시훈</t>
  </si>
  <si>
    <t>김종환</t>
  </si>
  <si>
    <t>김현서</t>
  </si>
  <si>
    <t>김환</t>
  </si>
  <si>
    <t>박기찬</t>
  </si>
  <si>
    <t>박완준</t>
  </si>
  <si>
    <t>박종명</t>
  </si>
  <si>
    <t>소준영</t>
  </si>
  <si>
    <t>신승빈</t>
  </si>
  <si>
    <t>심성호</t>
  </si>
  <si>
    <t>심준영</t>
  </si>
  <si>
    <t>양준수</t>
  </si>
  <si>
    <t>오대현</t>
  </si>
  <si>
    <t>이만욱</t>
  </si>
  <si>
    <t>이민재</t>
  </si>
  <si>
    <t>이상훈</t>
  </si>
  <si>
    <t>이시욱</t>
  </si>
  <si>
    <t>정지원</t>
  </si>
  <si>
    <t>정진</t>
  </si>
  <si>
    <t>조은샘</t>
  </si>
  <si>
    <t>채권석</t>
  </si>
  <si>
    <t>최문성</t>
  </si>
  <si>
    <t>최성규</t>
  </si>
  <si>
    <t>추성현</t>
  </si>
  <si>
    <t>한찬우</t>
  </si>
  <si>
    <t>홍원진</t>
  </si>
  <si>
    <t>황현석</t>
  </si>
  <si>
    <t>강혜성</t>
  </si>
  <si>
    <t>김관호</t>
  </si>
  <si>
    <t>김남규</t>
  </si>
  <si>
    <t>김동준</t>
  </si>
  <si>
    <t>김상훈</t>
  </si>
  <si>
    <t>김영민</t>
  </si>
  <si>
    <t>김정우</t>
  </si>
  <si>
    <t>김진성</t>
  </si>
  <si>
    <t>박정빈</t>
  </si>
  <si>
    <t>박지수</t>
  </si>
  <si>
    <t>박진석</t>
  </si>
  <si>
    <t>박형준</t>
  </si>
  <si>
    <t>백보현</t>
  </si>
  <si>
    <t>소정현</t>
  </si>
  <si>
    <t>송지원</t>
  </si>
  <si>
    <t>심규현</t>
  </si>
  <si>
    <t>유현성</t>
  </si>
  <si>
    <t>윤찬양</t>
  </si>
  <si>
    <t>이온규</t>
  </si>
  <si>
    <t>이용하</t>
  </si>
  <si>
    <t>이재현</t>
  </si>
  <si>
    <t>이한주</t>
  </si>
  <si>
    <t>임진택</t>
  </si>
  <si>
    <t>임형진</t>
  </si>
  <si>
    <t>장진영</t>
  </si>
  <si>
    <t>정규인</t>
  </si>
  <si>
    <t>정재호</t>
  </si>
  <si>
    <t>조정익</t>
  </si>
  <si>
    <t>최지담</t>
  </si>
  <si>
    <t>허성우</t>
  </si>
  <si>
    <t>강승호</t>
  </si>
  <si>
    <t>강신혁</t>
  </si>
  <si>
    <t>곽현민</t>
  </si>
  <si>
    <t>김도율</t>
  </si>
  <si>
    <t>김동우</t>
  </si>
  <si>
    <t>김종보</t>
  </si>
  <si>
    <t>김진산</t>
  </si>
  <si>
    <t>김찬규</t>
  </si>
  <si>
    <t>남윤권</t>
  </si>
  <si>
    <t>박민수</t>
  </si>
  <si>
    <t>손정연</t>
  </si>
  <si>
    <t>신기현</t>
  </si>
  <si>
    <t>안재형</t>
  </si>
  <si>
    <t>양승원</t>
  </si>
  <si>
    <t>여소민</t>
  </si>
  <si>
    <t>오영찬</t>
  </si>
  <si>
    <t>이연호</t>
  </si>
  <si>
    <t>이지민</t>
  </si>
  <si>
    <t>이지환</t>
  </si>
  <si>
    <t>이지훈</t>
  </si>
  <si>
    <t>임재영</t>
  </si>
  <si>
    <t>장국주</t>
  </si>
  <si>
    <t>정진호</t>
  </si>
  <si>
    <t>천지용</t>
  </si>
  <si>
    <t>최은성</t>
  </si>
  <si>
    <t>한성희</t>
  </si>
  <si>
    <t>허경민</t>
  </si>
  <si>
    <t>강희훈</t>
  </si>
  <si>
    <t>고경찬</t>
  </si>
  <si>
    <t>김건</t>
  </si>
  <si>
    <t>김서휘</t>
  </si>
  <si>
    <t>김성철</t>
  </si>
  <si>
    <t>김승준</t>
  </si>
  <si>
    <t>김윤수</t>
  </si>
  <si>
    <t>김진용</t>
  </si>
  <si>
    <t>김태호</t>
  </si>
  <si>
    <t>박대형</t>
  </si>
  <si>
    <t>박성균</t>
  </si>
  <si>
    <t>방준</t>
  </si>
  <si>
    <t>배동윤</t>
  </si>
  <si>
    <t>소찬우</t>
  </si>
  <si>
    <t>손상익</t>
  </si>
  <si>
    <t>송민혁</t>
  </si>
  <si>
    <t>송원용</t>
  </si>
  <si>
    <t>윤성민</t>
  </si>
  <si>
    <t>윤수영</t>
  </si>
  <si>
    <t>이동주</t>
  </si>
  <si>
    <t>이여민</t>
  </si>
  <si>
    <t>이조영</t>
  </si>
  <si>
    <t>이준</t>
  </si>
  <si>
    <t>임성균</t>
  </si>
  <si>
    <t>장만용</t>
  </si>
  <si>
    <t>정연우</t>
  </si>
  <si>
    <t>조예찬</t>
  </si>
  <si>
    <t>지서준</t>
  </si>
  <si>
    <t>최우림</t>
  </si>
  <si>
    <t>홍석범</t>
  </si>
  <si>
    <t>황수호</t>
  </si>
  <si>
    <t>고승우</t>
  </si>
  <si>
    <t>김세진</t>
  </si>
  <si>
    <t>김세훈</t>
  </si>
  <si>
    <t>김시화</t>
  </si>
  <si>
    <t>김우현</t>
  </si>
  <si>
    <t>김지우</t>
  </si>
  <si>
    <t>김태종</t>
  </si>
  <si>
    <t>김하진</t>
  </si>
  <si>
    <t>남도헌</t>
  </si>
  <si>
    <t>노일재</t>
  </si>
  <si>
    <t>박지훈</t>
  </si>
  <si>
    <t>박찬빈</t>
  </si>
  <si>
    <t>서승범</t>
  </si>
  <si>
    <t>성지원</t>
  </si>
  <si>
    <t>송우석</t>
  </si>
  <si>
    <t>양선호</t>
  </si>
  <si>
    <t>오민혁</t>
  </si>
  <si>
    <t>오인호</t>
  </si>
  <si>
    <t>유기만</t>
  </si>
  <si>
    <t>윤성식</t>
  </si>
  <si>
    <t>이민서</t>
  </si>
  <si>
    <t>이병호</t>
  </si>
  <si>
    <t>이상구</t>
  </si>
  <si>
    <t>이세영</t>
  </si>
  <si>
    <t>이정우</t>
  </si>
  <si>
    <t>장세엽</t>
  </si>
  <si>
    <t>채정훈</t>
  </si>
  <si>
    <t>최효신</t>
  </si>
  <si>
    <t>한지훈</t>
  </si>
  <si>
    <t>경다빈</t>
  </si>
  <si>
    <t>권하형</t>
  </si>
  <si>
    <t>김도휘</t>
  </si>
  <si>
    <t>김동수</t>
  </si>
  <si>
    <t>김승현</t>
  </si>
  <si>
    <t>김예준</t>
  </si>
  <si>
    <t>김재원</t>
  </si>
  <si>
    <t>김현우</t>
  </si>
  <si>
    <t>김휘중</t>
  </si>
  <si>
    <t>박기석</t>
  </si>
  <si>
    <t>박우인</t>
  </si>
  <si>
    <t>백승준</t>
  </si>
  <si>
    <t>변형민</t>
  </si>
  <si>
    <t>이동효</t>
  </si>
  <si>
    <t>이승빈</t>
  </si>
  <si>
    <t>이영준</t>
  </si>
  <si>
    <t>이정인</t>
  </si>
  <si>
    <t>이현민</t>
  </si>
  <si>
    <t>임완</t>
  </si>
  <si>
    <t>장민준</t>
  </si>
  <si>
    <t>정상훈</t>
  </si>
  <si>
    <t>정인우</t>
  </si>
  <si>
    <t>조승연</t>
  </si>
  <si>
    <t>조창연</t>
  </si>
  <si>
    <t>주민서</t>
  </si>
  <si>
    <t>최민국</t>
  </si>
  <si>
    <t>최민서</t>
  </si>
  <si>
    <t>최선규</t>
  </si>
  <si>
    <t>최원호</t>
  </si>
  <si>
    <t>최유찬</t>
  </si>
  <si>
    <t>최의성</t>
  </si>
  <si>
    <t>추효성</t>
  </si>
  <si>
    <t>한은규</t>
  </si>
  <si>
    <t>강민상</t>
  </si>
  <si>
    <t>강지훈</t>
  </si>
  <si>
    <t>고동호</t>
  </si>
  <si>
    <t>김강민</t>
  </si>
  <si>
    <t>김남훈</t>
  </si>
  <si>
    <t>김다영</t>
  </si>
  <si>
    <t>김동민</t>
  </si>
  <si>
    <t>김동현</t>
  </si>
  <si>
    <t>김영현</t>
  </si>
  <si>
    <t>김용찬</t>
  </si>
  <si>
    <t>김준혁</t>
  </si>
  <si>
    <t>문지호</t>
  </si>
  <si>
    <t>문희완</t>
  </si>
  <si>
    <t>박석인</t>
  </si>
  <si>
    <t>소강유</t>
  </si>
  <si>
    <t>송영웅</t>
  </si>
  <si>
    <t>송철웅</t>
  </si>
  <si>
    <t>양민호</t>
  </si>
  <si>
    <t>오준영</t>
  </si>
  <si>
    <t>유형준</t>
  </si>
  <si>
    <t>윤상규</t>
  </si>
  <si>
    <t>이현준</t>
  </si>
  <si>
    <t>장현성</t>
  </si>
  <si>
    <t>장환진</t>
  </si>
  <si>
    <t>정준오</t>
  </si>
  <si>
    <t>조남재</t>
  </si>
  <si>
    <t>조민영</t>
  </si>
  <si>
    <t>조정수</t>
  </si>
  <si>
    <t>주정모</t>
  </si>
  <si>
    <t>최민준</t>
  </si>
  <si>
    <t>최현준</t>
  </si>
  <si>
    <t>강재묵</t>
  </si>
  <si>
    <t>김건호</t>
  </si>
  <si>
    <t>김대용</t>
  </si>
  <si>
    <t>김성학</t>
  </si>
  <si>
    <t>김용희</t>
  </si>
  <si>
    <t>김윤중</t>
  </si>
  <si>
    <t>김준영</t>
  </si>
  <si>
    <t>두관규</t>
  </si>
  <si>
    <t>문찬국</t>
  </si>
  <si>
    <t>문현준</t>
  </si>
  <si>
    <t>문희승</t>
  </si>
  <si>
    <t>박정찬</t>
  </si>
  <si>
    <t>백승헌</t>
  </si>
  <si>
    <t>소재현</t>
  </si>
  <si>
    <t>신민성</t>
  </si>
  <si>
    <t>신승겸</t>
  </si>
  <si>
    <t>양산영</t>
  </si>
  <si>
    <t>여광민</t>
  </si>
  <si>
    <t>오민재</t>
  </si>
  <si>
    <t>이동우</t>
  </si>
  <si>
    <t>이준성</t>
  </si>
  <si>
    <t>이지승</t>
  </si>
  <si>
    <t>전민기</t>
  </si>
  <si>
    <t>정영현</t>
  </si>
  <si>
    <t>정한영</t>
  </si>
  <si>
    <t>조민성</t>
  </si>
  <si>
    <t>조시연</t>
  </si>
  <si>
    <t>최일한</t>
  </si>
  <si>
    <t>최희망</t>
  </si>
  <si>
    <t>한지호</t>
  </si>
  <si>
    <t>허유민</t>
  </si>
  <si>
    <t>공민제</t>
  </si>
  <si>
    <t>김명준</t>
  </si>
  <si>
    <t>김무근</t>
  </si>
  <si>
    <t>김우진</t>
  </si>
  <si>
    <t>김은중</t>
  </si>
  <si>
    <t>김진환</t>
  </si>
  <si>
    <t>김찬우</t>
  </si>
  <si>
    <t>김하민</t>
  </si>
  <si>
    <t>문정민</t>
  </si>
  <si>
    <t>박대희</t>
  </si>
  <si>
    <t>박세혁</t>
  </si>
  <si>
    <t>박은수</t>
  </si>
  <si>
    <t>백승훈</t>
  </si>
  <si>
    <t>소윤섭</t>
  </si>
  <si>
    <t>송이찬</t>
  </si>
  <si>
    <t>신효준</t>
  </si>
  <si>
    <t>오창민</t>
  </si>
  <si>
    <t>유재신</t>
  </si>
  <si>
    <t>윤승민</t>
  </si>
  <si>
    <t>이건호</t>
  </si>
  <si>
    <t>이건희</t>
  </si>
  <si>
    <t>이동관</t>
  </si>
  <si>
    <t>이명준</t>
  </si>
  <si>
    <t>이정흠</t>
  </si>
  <si>
    <t>이준형</t>
  </si>
  <si>
    <t>전석훈</t>
  </si>
  <si>
    <t>정지훈</t>
  </si>
  <si>
    <t>최성민</t>
  </si>
  <si>
    <t>한정현</t>
  </si>
  <si>
    <t>130이하</t>
    <phoneticPr fontId="3" type="noConversion"/>
  </si>
  <si>
    <t>최호성</t>
  </si>
  <si>
    <t>전체 성적 변동표</t>
    <phoneticPr fontId="3" type="noConversion"/>
  </si>
  <si>
    <t>학번</t>
    <phoneticPr fontId="3" type="noConversion"/>
  </si>
  <si>
    <t>성명</t>
  </si>
  <si>
    <t>출신학교</t>
  </si>
  <si>
    <t>중학교 백분위</t>
    <phoneticPr fontId="3" type="noConversion"/>
  </si>
  <si>
    <t>1학기 1차고사</t>
    <phoneticPr fontId="3" type="noConversion"/>
  </si>
  <si>
    <t>석차백분율</t>
  </si>
  <si>
    <t>석차</t>
  </si>
  <si>
    <t>학번</t>
    <phoneticPr fontId="3" type="noConversion"/>
  </si>
  <si>
    <t>이름</t>
    <phoneticPr fontId="3" type="noConversion"/>
  </si>
  <si>
    <t>원점수평균</t>
    <phoneticPr fontId="3" type="noConversion"/>
  </si>
  <si>
    <t>석차</t>
    <phoneticPr fontId="3" type="noConversion"/>
  </si>
  <si>
    <t>원점수평균</t>
    <phoneticPr fontId="3" type="noConversion"/>
  </si>
  <si>
    <t>남성중학교</t>
  </si>
  <si>
    <t>이리북중학교</t>
  </si>
  <si>
    <t>이리동중학교</t>
  </si>
  <si>
    <t>익산어양중학교</t>
  </si>
  <si>
    <t>익산지원중학교</t>
  </si>
  <si>
    <t>원광중학교</t>
  </si>
  <si>
    <t>익산부천중학교</t>
  </si>
  <si>
    <t>이리남중학교</t>
  </si>
  <si>
    <t>이리중학교</t>
  </si>
  <si>
    <t>이리영등중학교</t>
  </si>
  <si>
    <t>익산중학교</t>
  </si>
  <si>
    <t>익산부송중학교</t>
  </si>
  <si>
    <t>웅포중학교</t>
  </si>
  <si>
    <t>황등중학교</t>
  </si>
  <si>
    <t>함열중학교</t>
  </si>
  <si>
    <t>이리동중학교 (일반학급)</t>
    <phoneticPr fontId="3" type="noConversion"/>
  </si>
  <si>
    <t>특10</t>
  </si>
  <si>
    <t>공민제</t>
    <phoneticPr fontId="3" type="noConversion"/>
  </si>
  <si>
    <t>용안중학교</t>
  </si>
  <si>
    <t>함라중학교</t>
  </si>
  <si>
    <t>이리동중학교 (일반학급)</t>
    <phoneticPr fontId="3" type="noConversion"/>
  </si>
  <si>
    <t>특9</t>
  </si>
  <si>
    <t>익산부천중학교 (일반학급)</t>
    <phoneticPr fontId="3" type="noConversion"/>
  </si>
  <si>
    <t>특2</t>
  </si>
  <si>
    <t>삼례중학교</t>
  </si>
  <si>
    <t>삼기중학교</t>
  </si>
  <si>
    <t>특8</t>
  </si>
  <si>
    <t>이리영등중학교 (특수학급)</t>
    <phoneticPr fontId="3" type="noConversion"/>
  </si>
  <si>
    <t>특5</t>
  </si>
  <si>
    <t>나정</t>
  </si>
  <si>
    <t>전주해성중학교</t>
  </si>
  <si>
    <t>장윤서</t>
  </si>
  <si>
    <t>완주중학교</t>
  </si>
  <si>
    <t>익산부송중학교 (특수학급)</t>
    <phoneticPr fontId="3" type="noConversion"/>
  </si>
  <si>
    <t>특1</t>
    <phoneticPr fontId="3" type="noConversion"/>
  </si>
  <si>
    <t>안상민</t>
  </si>
  <si>
    <t>최환</t>
  </si>
  <si>
    <t>권효광</t>
  </si>
  <si>
    <t>익산부송중학교(특수학급)</t>
    <phoneticPr fontId="3" type="noConversion"/>
  </si>
  <si>
    <t>특3</t>
  </si>
  <si>
    <t>김건우</t>
  </si>
  <si>
    <t>이리남중학교 (일반학급)</t>
    <phoneticPr fontId="3" type="noConversion"/>
  </si>
  <si>
    <t>특4</t>
  </si>
  <si>
    <t>김태희</t>
  </si>
  <si>
    <t>박현우</t>
  </si>
  <si>
    <t>고창북중학교</t>
  </si>
  <si>
    <t>서동성</t>
  </si>
  <si>
    <t>마승원</t>
  </si>
  <si>
    <t>최우영</t>
  </si>
  <si>
    <t>권순호</t>
  </si>
  <si>
    <t>박현민</t>
  </si>
  <si>
    <t>이리북중학교(특수학급)</t>
    <phoneticPr fontId="3" type="noConversion"/>
  </si>
  <si>
    <t>특6</t>
  </si>
  <si>
    <t>이리남중학교(일반학급)</t>
    <phoneticPr fontId="3" type="noConversion"/>
  </si>
  <si>
    <t>특7</t>
  </si>
  <si>
    <t>김시완</t>
  </si>
  <si>
    <t>김인일</t>
  </si>
  <si>
    <t>김지한</t>
  </si>
  <si>
    <t>구현모</t>
  </si>
  <si>
    <t>최경환</t>
  </si>
  <si>
    <t>유건웅</t>
  </si>
  <si>
    <t>탐구1</t>
  </si>
  <si>
    <t>탐구1</t>
    <phoneticPr fontId="3" type="noConversion"/>
  </si>
  <si>
    <t>탐구2</t>
  </si>
  <si>
    <t>탐구2</t>
    <phoneticPr fontId="3" type="noConversion"/>
  </si>
  <si>
    <t>계열</t>
  </si>
  <si>
    <t>이름</t>
  </si>
  <si>
    <t>국어</t>
  </si>
  <si>
    <t>수학</t>
  </si>
  <si>
    <t>영어</t>
  </si>
  <si>
    <t>한국사</t>
  </si>
  <si>
    <t>전석차</t>
  </si>
  <si>
    <t>반석차</t>
  </si>
  <si>
    <t>총점</t>
  </si>
  <si>
    <t xml:space="preserve">대성마이맥 </t>
  </si>
  <si>
    <t xml:space="preserve">메가스터디 </t>
  </si>
  <si>
    <t xml:space="preserve">스카이에듀 </t>
  </si>
  <si>
    <t xml:space="preserve">유웨이 </t>
  </si>
  <si>
    <t xml:space="preserve">이투스 </t>
  </si>
  <si>
    <t xml:space="preserve">종로학원 </t>
  </si>
  <si>
    <t>한국지리</t>
  </si>
  <si>
    <t>생활과윤리</t>
  </si>
  <si>
    <t>사회문화</t>
  </si>
  <si>
    <t>세계사</t>
  </si>
  <si>
    <t>동아시아사</t>
  </si>
  <si>
    <t>세계지리</t>
  </si>
  <si>
    <t>경제</t>
  </si>
  <si>
    <t>정치와법</t>
  </si>
  <si>
    <t>화학I</t>
  </si>
  <si>
    <t>물리학I</t>
  </si>
  <si>
    <t>생명과학I</t>
  </si>
  <si>
    <t>지구과학I</t>
  </si>
  <si>
    <t>윤리와사상</t>
  </si>
  <si>
    <t>영어</t>
    <phoneticPr fontId="3" type="noConversion"/>
  </si>
  <si>
    <t>한국사</t>
    <phoneticPr fontId="3" type="noConversion"/>
  </si>
  <si>
    <t>등급</t>
    <phoneticPr fontId="3" type="noConversion"/>
  </si>
  <si>
    <t>예상등급</t>
    <phoneticPr fontId="3" type="noConversion"/>
  </si>
  <si>
    <t>응시자</t>
    <phoneticPr fontId="3" type="noConversion"/>
  </si>
  <si>
    <t>언어와매체</t>
  </si>
  <si>
    <t>화법과작문</t>
  </si>
  <si>
    <t>확률과통계</t>
  </si>
  <si>
    <t>미적분</t>
  </si>
  <si>
    <t>기하</t>
  </si>
  <si>
    <t>물리학I</t>
    <phoneticPr fontId="3" type="noConversion"/>
  </si>
  <si>
    <t>물리학II</t>
  </si>
  <si>
    <t>화학II</t>
  </si>
  <si>
    <t>생명과학II</t>
  </si>
  <si>
    <t>지구과학II</t>
  </si>
  <si>
    <t>김민준</t>
  </si>
  <si>
    <t>김경현</t>
  </si>
  <si>
    <t>김건희</t>
  </si>
  <si>
    <t>강채윤</t>
  </si>
  <si>
    <t>정다연</t>
  </si>
  <si>
    <t>물리학II</t>
    <phoneticPr fontId="3" type="noConversion"/>
  </si>
  <si>
    <t>화학II</t>
    <phoneticPr fontId="3" type="noConversion"/>
  </si>
  <si>
    <t>생명과학II</t>
    <phoneticPr fontId="3" type="noConversion"/>
  </si>
  <si>
    <t>지구과학II</t>
    <phoneticPr fontId="3" type="noConversion"/>
  </si>
  <si>
    <t>정수호</t>
  </si>
  <si>
    <t>실시일 : 2026.3.24.</t>
    <phoneticPr fontId="3" type="noConversion"/>
  </si>
  <si>
    <t>고정주</t>
  </si>
  <si>
    <t>김동연</t>
  </si>
  <si>
    <t>김민찬</t>
  </si>
  <si>
    <t>김예성</t>
  </si>
  <si>
    <t>김이수</t>
  </si>
  <si>
    <t>김진우</t>
  </si>
  <si>
    <t>김태윤</t>
  </si>
  <si>
    <t>문시후</t>
  </si>
  <si>
    <t>박찬혁</t>
  </si>
  <si>
    <t>안현준</t>
  </si>
  <si>
    <t>유대연</t>
  </si>
  <si>
    <t>유이환</t>
  </si>
  <si>
    <t>이성민</t>
  </si>
  <si>
    <t>이신우</t>
  </si>
  <si>
    <t>이유성</t>
  </si>
  <si>
    <t>이찬호</t>
  </si>
  <si>
    <t>이형도</t>
  </si>
  <si>
    <t>임철현</t>
  </si>
  <si>
    <t>정예준</t>
  </si>
  <si>
    <t>최도영</t>
  </si>
  <si>
    <t>황인상</t>
  </si>
  <si>
    <t>김경민</t>
  </si>
  <si>
    <t>김민석</t>
  </si>
  <si>
    <t>김성찬</t>
  </si>
  <si>
    <t>박동윤</t>
  </si>
  <si>
    <t>박선용</t>
  </si>
  <si>
    <t>서예성</t>
  </si>
  <si>
    <t>서진성</t>
  </si>
  <si>
    <t>송우진</t>
  </si>
  <si>
    <t>원제희</t>
  </si>
  <si>
    <t>유현우</t>
  </si>
  <si>
    <t>이선우</t>
  </si>
  <si>
    <t>이용현</t>
  </si>
  <si>
    <t>이주환</t>
  </si>
  <si>
    <t>장경일</t>
  </si>
  <si>
    <t>장시우</t>
  </si>
  <si>
    <t>정의진</t>
  </si>
  <si>
    <t>정종현</t>
  </si>
  <si>
    <t>정주호</t>
  </si>
  <si>
    <t>정지성</t>
  </si>
  <si>
    <t>조남준</t>
  </si>
  <si>
    <t>조예성</t>
  </si>
  <si>
    <t>진솔</t>
  </si>
  <si>
    <t>김성민</t>
  </si>
  <si>
    <t>김시우</t>
  </si>
  <si>
    <t>문강준</t>
  </si>
  <si>
    <t>박규서</t>
  </si>
  <si>
    <t>박정우</t>
  </si>
  <si>
    <t>박준혁</t>
  </si>
  <si>
    <t>성승원</t>
  </si>
  <si>
    <t>유영민</t>
  </si>
  <si>
    <t>유지환</t>
  </si>
  <si>
    <t>이찬희</t>
  </si>
  <si>
    <t>임현재</t>
  </si>
  <si>
    <t>한성현</t>
  </si>
  <si>
    <t>한준희</t>
  </si>
  <si>
    <t>홍은기</t>
  </si>
  <si>
    <t>고대윤</t>
  </si>
  <si>
    <t>고명환</t>
  </si>
  <si>
    <t>권영재</t>
  </si>
  <si>
    <t>나윤성</t>
  </si>
  <si>
    <t>박상현</t>
  </si>
  <si>
    <t>박진우</t>
  </si>
  <si>
    <t>서지훈</t>
  </si>
  <si>
    <t>송민찬</t>
  </si>
  <si>
    <t>송요찬</t>
  </si>
  <si>
    <t>양승민</t>
  </si>
  <si>
    <t>유도움</t>
  </si>
  <si>
    <t>윤승현</t>
  </si>
  <si>
    <t>윤태영</t>
  </si>
  <si>
    <t>이용준</t>
  </si>
  <si>
    <t>이은수</t>
  </si>
  <si>
    <t>최준오</t>
  </si>
  <si>
    <t>한찬범</t>
  </si>
  <si>
    <t>한태희</t>
  </si>
  <si>
    <t>황원율</t>
  </si>
  <si>
    <t>김가한</t>
  </si>
  <si>
    <t>김수환</t>
  </si>
  <si>
    <t>김용섭</t>
  </si>
  <si>
    <t>김준</t>
  </si>
  <si>
    <t>김지훈</t>
  </si>
  <si>
    <t>박기웅</t>
  </si>
  <si>
    <t>박승빈</t>
  </si>
  <si>
    <t>송근호</t>
  </si>
  <si>
    <t>송산아</t>
  </si>
  <si>
    <t>양동준</t>
  </si>
  <si>
    <t>오현교</t>
  </si>
  <si>
    <t>유승우</t>
  </si>
  <si>
    <t>이도경</t>
  </si>
  <si>
    <t>이민성</t>
  </si>
  <si>
    <t>임민호</t>
  </si>
  <si>
    <t>조재민</t>
  </si>
  <si>
    <t>최희준</t>
  </si>
  <si>
    <t>한정우</t>
  </si>
  <si>
    <t>고윤아</t>
  </si>
  <si>
    <t>곽의진</t>
  </si>
  <si>
    <t>김가영</t>
  </si>
  <si>
    <t>김가인</t>
  </si>
  <si>
    <t>김서연</t>
  </si>
  <si>
    <t>김수은</t>
  </si>
  <si>
    <t>김승아</t>
  </si>
  <si>
    <t>김시아</t>
  </si>
  <si>
    <t>김주하</t>
  </si>
  <si>
    <t>김진아</t>
  </si>
  <si>
    <t>김채린</t>
  </si>
  <si>
    <t>김희선</t>
  </si>
  <si>
    <t>모소윤</t>
  </si>
  <si>
    <t>문정선</t>
  </si>
  <si>
    <t>박시원</t>
  </si>
  <si>
    <t>배서현</t>
  </si>
  <si>
    <t>서린</t>
  </si>
  <si>
    <t>선민서</t>
  </si>
  <si>
    <t>양믿음</t>
  </si>
  <si>
    <t>이루리</t>
  </si>
  <si>
    <t>이지해</t>
  </si>
  <si>
    <t>장은진</t>
  </si>
  <si>
    <t>최수아</t>
  </si>
  <si>
    <t>강다윤</t>
  </si>
  <si>
    <t>김가온</t>
  </si>
  <si>
    <t>김가윤</t>
  </si>
  <si>
    <t>김동하</t>
  </si>
  <si>
    <t>김아인</t>
  </si>
  <si>
    <t>김주이</t>
  </si>
  <si>
    <t>김지아</t>
  </si>
  <si>
    <t>김채이</t>
  </si>
  <si>
    <t>김환희</t>
  </si>
  <si>
    <t>배예준</t>
  </si>
  <si>
    <t>백주옥</t>
  </si>
  <si>
    <t>송예리</t>
  </si>
  <si>
    <t>은서연</t>
  </si>
  <si>
    <t>이지아</t>
  </si>
  <si>
    <t>장해연</t>
  </si>
  <si>
    <t>정연재</t>
  </si>
  <si>
    <t>정유민</t>
  </si>
  <si>
    <t>전지은</t>
  </si>
  <si>
    <t>정지현</t>
  </si>
  <si>
    <t>조예슬</t>
  </si>
  <si>
    <t>최연아</t>
  </si>
  <si>
    <t>홍서연</t>
  </si>
  <si>
    <t>홍유비</t>
  </si>
  <si>
    <t>강가령</t>
  </si>
  <si>
    <t>강서윤</t>
  </si>
  <si>
    <t>강예원</t>
  </si>
  <si>
    <t>김은혜</t>
  </si>
  <si>
    <t>김하은</t>
  </si>
  <si>
    <t>김현하</t>
  </si>
  <si>
    <t>박서연</t>
  </si>
  <si>
    <t>박예진</t>
  </si>
  <si>
    <t>박윤주</t>
  </si>
  <si>
    <t>양다연</t>
  </si>
  <si>
    <t>우수연</t>
  </si>
  <si>
    <t>유보경</t>
  </si>
  <si>
    <t>유송연</t>
  </si>
  <si>
    <t>유시아</t>
  </si>
  <si>
    <t>유혜원</t>
  </si>
  <si>
    <t>이세아</t>
  </si>
  <si>
    <t>이하경</t>
  </si>
  <si>
    <t>이하윤</t>
  </si>
  <si>
    <t>임보선</t>
  </si>
  <si>
    <t>정지유</t>
  </si>
  <si>
    <t>정혜진</t>
  </si>
  <si>
    <t>최가경</t>
  </si>
  <si>
    <t>최혜린</t>
  </si>
  <si>
    <t>강가량</t>
  </si>
  <si>
    <t>국소현</t>
  </si>
  <si>
    <t>김나현</t>
  </si>
  <si>
    <t>김슬기</t>
  </si>
  <si>
    <t>김리연</t>
  </si>
  <si>
    <t>김지빈</t>
  </si>
  <si>
    <t>박미루</t>
  </si>
  <si>
    <t>박연우</t>
  </si>
  <si>
    <t>박채민</t>
  </si>
  <si>
    <t>백서윤</t>
  </si>
  <si>
    <t>송은교</t>
  </si>
  <si>
    <t>유시연</t>
  </si>
  <si>
    <t>이서경</t>
  </si>
  <si>
    <t>이서연</t>
  </si>
  <si>
    <t>이승언</t>
  </si>
  <si>
    <t>이은서</t>
  </si>
  <si>
    <t>장서윤</t>
  </si>
  <si>
    <t>전윤서</t>
  </si>
  <si>
    <t>정나래</t>
  </si>
  <si>
    <t>조수빈</t>
  </si>
  <si>
    <t>주하은</t>
  </si>
  <si>
    <t>최지아</t>
  </si>
  <si>
    <t>한소연</t>
  </si>
  <si>
    <t>곽재희</t>
  </si>
  <si>
    <t>권정민</t>
  </si>
  <si>
    <t>김수윤</t>
  </si>
  <si>
    <t>김지후</t>
  </si>
  <si>
    <t>나영주</t>
  </si>
  <si>
    <t>나희주</t>
  </si>
  <si>
    <t>문소예</t>
  </si>
  <si>
    <t>박다윤</t>
  </si>
  <si>
    <t>박세화</t>
  </si>
  <si>
    <t>박예슬</t>
  </si>
  <si>
    <t>박해솔</t>
  </si>
  <si>
    <t>신채영</t>
  </si>
  <si>
    <t>심세연</t>
  </si>
  <si>
    <t>유인지</t>
  </si>
  <si>
    <t>유혜빈</t>
  </si>
  <si>
    <t>이수윤</t>
  </si>
  <si>
    <t>이은택</t>
  </si>
  <si>
    <t>정명원</t>
  </si>
  <si>
    <t>정수민</t>
  </si>
  <si>
    <t>정혜원</t>
  </si>
  <si>
    <t>최다연</t>
  </si>
  <si>
    <t>최시은</t>
  </si>
  <si>
    <t>한유빈</t>
  </si>
  <si>
    <t>한지윤</t>
  </si>
  <si>
    <t>황다윤</t>
  </si>
  <si>
    <t>한여경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</si>
</sst>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"/>
    <numFmt numFmtId="177" formatCode="0.0_ "/>
    <numFmt numFmtId="178" formatCode="#,##0_ "/>
    <numFmt numFmtId="179" formatCode="\3&quot;월&quot;\ &quot;전&quot;&quot;국&quot;&quot;연&quot;&quot;합&quot;\ \3&quot;학&quot;&quot;년&quot;\ 0#&quot;반&quot;"/>
    <numFmt numFmtId="180" formatCode="0.00_ "/>
    <numFmt numFmtId="181" formatCode="mm&quot;월&quot;\ dd&quot;일&quot;"/>
    <numFmt numFmtId="182" formatCode="0.0000_ "/>
    <numFmt numFmtId="183" formatCode="0_ 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"/>
      <family val="3"/>
      <charset val="129"/>
    </font>
    <font>
      <sz val="11"/>
      <name val="굴림"/>
      <family val="3"/>
      <charset val="129"/>
    </font>
    <font>
      <b/>
      <sz val="20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  <font>
      <b/>
      <sz val="12"/>
      <color indexed="52"/>
      <name val="굴림"/>
      <family val="3"/>
      <charset val="129"/>
    </font>
    <font>
      <b/>
      <sz val="12"/>
      <color indexed="48"/>
      <name val="굴림"/>
      <family val="3"/>
      <charset val="129"/>
    </font>
    <font>
      <b/>
      <sz val="16"/>
      <name val="굴림"/>
      <family val="3"/>
      <charset val="129"/>
    </font>
    <font>
      <sz val="12"/>
      <name val="돋움"/>
      <family val="3"/>
      <charset val="129"/>
    </font>
    <font>
      <sz val="10"/>
      <name val="굴림"/>
      <family val="3"/>
      <charset val="129"/>
    </font>
    <font>
      <b/>
      <sz val="10"/>
      <color indexed="63"/>
      <name val="돋움"/>
      <family val="3"/>
      <charset val="129"/>
    </font>
    <font>
      <b/>
      <sz val="10"/>
      <name val="돋움"/>
      <family val="3"/>
      <charset val="129"/>
    </font>
    <font>
      <sz val="9"/>
      <color rgb="FF333333"/>
      <name val="굴림"/>
      <family val="3"/>
      <charset val="129"/>
    </font>
    <font>
      <b/>
      <sz val="9"/>
      <color rgb="FF333333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name val="굴림"/>
      <family val="3"/>
      <charset val="129"/>
    </font>
    <font>
      <b/>
      <sz val="22"/>
      <name val="돋움"/>
      <family val="3"/>
      <charset val="129"/>
    </font>
    <font>
      <sz val="11"/>
      <name val="돋움"/>
      <family val="3"/>
    </font>
    <font>
      <sz val="9"/>
      <name val="굴림"/>
      <family val="3"/>
      <charset val="129"/>
    </font>
    <font>
      <sz val="10"/>
      <name val="돋움"/>
      <family val="3"/>
    </font>
    <font>
      <sz val="10"/>
      <name val="돋움"/>
      <family val="3"/>
      <charset val="129"/>
    </font>
    <font>
      <b/>
      <sz val="11"/>
      <name val="돋움"/>
      <family val="3"/>
    </font>
    <font>
      <sz val="9"/>
      <name val="돋움"/>
      <family val="3"/>
      <charset val="129"/>
    </font>
    <font>
      <b/>
      <sz val="9"/>
      <color rgb="FF244798"/>
      <name val="Arial"/>
      <family val="2"/>
    </font>
    <font>
      <sz val="11"/>
      <color rgb="FF006100"/>
      <name val="맑은 고딕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28" fillId="18" borderId="0" applyNumberFormat="0" applyBorder="0" applyAlignment="0" applyProtection="0">
      <alignment vertical="center"/>
    </xf>
  </cellStyleXfs>
  <cellXfs count="404"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179" fontId="6" fillId="0" borderId="0" xfId="0" applyNumberFormat="1" applyFont="1" applyBorder="1" applyAlignment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>
      <alignment horizontal="center" vertical="center" wrapText="1"/>
    </xf>
    <xf numFmtId="176" fontId="4" fillId="7" borderId="7" xfId="0" applyNumberFormat="1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/>
    </xf>
    <xf numFmtId="176" fontId="4" fillId="9" borderId="7" xfId="0" applyNumberFormat="1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vertical="center" wrapText="1"/>
    </xf>
    <xf numFmtId="177" fontId="12" fillId="8" borderId="7" xfId="0" applyNumberFormat="1" applyFont="1" applyFill="1" applyBorder="1" applyAlignment="1">
      <alignment horizontal="center" vertical="center"/>
    </xf>
    <xf numFmtId="177" fontId="2" fillId="2" borderId="7" xfId="0" applyNumberFormat="1" applyFont="1" applyFill="1" applyBorder="1" applyAlignment="1">
      <alignment horizontal="center" vertical="center" wrapText="1"/>
    </xf>
    <xf numFmtId="0" fontId="0" fillId="10" borderId="0" xfId="0" applyFill="1">
      <alignment vertical="center"/>
    </xf>
    <xf numFmtId="178" fontId="4" fillId="0" borderId="0" xfId="0" applyNumberFormat="1" applyFont="1" applyBorder="1" applyAlignment="1">
      <alignment vertical="center" wrapText="1"/>
    </xf>
    <xf numFmtId="0" fontId="12" fillId="11" borderId="7" xfId="0" applyFont="1" applyFill="1" applyBorder="1" applyAlignment="1">
      <alignment horizontal="center" vertical="center"/>
    </xf>
    <xf numFmtId="0" fontId="12" fillId="10" borderId="0" xfId="0" applyFont="1" applyFill="1">
      <alignment vertical="center"/>
    </xf>
    <xf numFmtId="0" fontId="15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shrinkToFit="1"/>
    </xf>
    <xf numFmtId="0" fontId="4" fillId="5" borderId="15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/>
    </xf>
    <xf numFmtId="0" fontId="4" fillId="13" borderId="17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4" fillId="14" borderId="18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 shrinkToFit="1"/>
    </xf>
    <xf numFmtId="0" fontId="0" fillId="11" borderId="0" xfId="0" applyFill="1">
      <alignment vertical="center"/>
    </xf>
    <xf numFmtId="177" fontId="12" fillId="11" borderId="7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4" fillId="10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32" xfId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 shrinkToFi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 wrapText="1"/>
    </xf>
    <xf numFmtId="0" fontId="4" fillId="10" borderId="18" xfId="0" applyNumberFormat="1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176" fontId="4" fillId="10" borderId="4" xfId="0" applyNumberFormat="1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176" fontId="4" fillId="10" borderId="19" xfId="0" applyNumberFormat="1" applyFont="1" applyFill="1" applyBorder="1" applyAlignment="1">
      <alignment horizontal="center" vertical="center" wrapText="1"/>
    </xf>
    <xf numFmtId="176" fontId="4" fillId="10" borderId="18" xfId="0" applyNumberFormat="1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shrinkToFit="1"/>
    </xf>
    <xf numFmtId="0" fontId="4" fillId="16" borderId="5" xfId="0" applyFont="1" applyFill="1" applyBorder="1" applyAlignment="1">
      <alignment vertical="center" shrinkToFit="1"/>
    </xf>
    <xf numFmtId="176" fontId="4" fillId="16" borderId="19" xfId="0" applyNumberFormat="1" applyFont="1" applyFill="1" applyBorder="1" applyAlignment="1">
      <alignment vertical="center" wrapText="1"/>
    </xf>
    <xf numFmtId="0" fontId="4" fillId="10" borderId="6" xfId="0" applyFont="1" applyFill="1" applyBorder="1" applyAlignment="1">
      <alignment horizontal="center" vertical="center" shrinkToFit="1"/>
    </xf>
    <xf numFmtId="0" fontId="5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0" fillId="0" borderId="6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3" fillId="17" borderId="15" xfId="2" applyFont="1" applyFill="1" applyBorder="1" applyAlignment="1" applyProtection="1">
      <alignment horizontal="center" vertical="center" wrapText="1"/>
      <protection locked="0"/>
    </xf>
    <xf numFmtId="0" fontId="13" fillId="17" borderId="14" xfId="2" applyFont="1" applyFill="1" applyBorder="1" applyAlignment="1" applyProtection="1">
      <alignment horizontal="center" vertical="center" wrapText="1"/>
      <protection locked="0"/>
    </xf>
    <xf numFmtId="181" fontId="0" fillId="17" borderId="15" xfId="0" applyNumberFormat="1" applyFill="1" applyBorder="1" applyAlignment="1">
      <alignment horizontal="center" vertical="center"/>
    </xf>
    <xf numFmtId="0" fontId="0" fillId="17" borderId="47" xfId="0" applyFill="1" applyBorder="1" applyAlignment="1">
      <alignment horizontal="center" vertical="center"/>
    </xf>
    <xf numFmtId="0" fontId="24" fillId="17" borderId="15" xfId="0" applyFont="1" applyFill="1" applyBorder="1" applyAlignment="1">
      <alignment horizontal="center" vertical="center"/>
    </xf>
    <xf numFmtId="0" fontId="24" fillId="17" borderId="14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0" fontId="24" fillId="17" borderId="43" xfId="0" applyNumberFormat="1" applyFont="1" applyFill="1" applyBorder="1" applyAlignment="1">
      <alignment horizontal="center" vertical="center"/>
    </xf>
    <xf numFmtId="0" fontId="24" fillId="17" borderId="44" xfId="0" applyFont="1" applyFill="1" applyBorder="1" applyAlignment="1">
      <alignment horizontal="center" vertical="center"/>
    </xf>
    <xf numFmtId="0" fontId="25" fillId="0" borderId="17" xfId="2" applyFont="1" applyBorder="1" applyAlignment="1">
      <alignment horizontal="center"/>
    </xf>
    <xf numFmtId="0" fontId="22" fillId="0" borderId="17" xfId="2" applyFont="1" applyBorder="1" applyAlignment="1" applyProtection="1">
      <alignment horizontal="center" vertical="center" wrapText="1"/>
      <protection locked="0"/>
    </xf>
    <xf numFmtId="0" fontId="22" fillId="0" borderId="18" xfId="2" applyFont="1" applyBorder="1" applyAlignment="1" applyProtection="1">
      <alignment horizontal="left" vertical="center" wrapText="1"/>
      <protection locked="0"/>
    </xf>
    <xf numFmtId="182" fontId="22" fillId="0" borderId="1" xfId="2" applyNumberFormat="1" applyFont="1" applyBorder="1" applyAlignment="1" applyProtection="1">
      <alignment horizontal="center" vertical="center" wrapText="1"/>
      <protection locked="0"/>
    </xf>
    <xf numFmtId="183" fontId="22" fillId="17" borderId="2" xfId="2" applyNumberFormat="1" applyFont="1" applyFill="1" applyBorder="1" applyAlignment="1" applyProtection="1">
      <alignment horizontal="center" vertical="center" wrapText="1"/>
      <protection locked="0"/>
    </xf>
    <xf numFmtId="0" fontId="26" fillId="0" borderId="45" xfId="0" applyFont="1" applyBorder="1" applyAlignment="1">
      <alignment horizontal="center" vertical="center"/>
    </xf>
    <xf numFmtId="0" fontId="26" fillId="17" borderId="49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180" fontId="26" fillId="0" borderId="6" xfId="0" applyNumberFormat="1" applyFont="1" applyBorder="1" applyAlignment="1">
      <alignment horizontal="center" vertical="center"/>
    </xf>
    <xf numFmtId="0" fontId="26" fillId="17" borderId="18" xfId="0" applyFont="1" applyFill="1" applyBorder="1" applyAlignment="1">
      <alignment horizontal="center" vertical="center"/>
    </xf>
    <xf numFmtId="0" fontId="25" fillId="0" borderId="7" xfId="2" applyFont="1" applyBorder="1" applyAlignment="1">
      <alignment horizontal="center"/>
    </xf>
    <xf numFmtId="0" fontId="22" fillId="0" borderId="7" xfId="2" applyFont="1" applyBorder="1" applyAlignment="1" applyProtection="1">
      <alignment horizontal="center" vertical="center" wrapText="1"/>
      <protection locked="0"/>
    </xf>
    <xf numFmtId="0" fontId="22" fillId="0" borderId="4" xfId="2" applyFont="1" applyBorder="1" applyAlignment="1" applyProtection="1">
      <alignment horizontal="left" vertical="center" wrapText="1"/>
      <protection locked="0"/>
    </xf>
    <xf numFmtId="182" fontId="22" fillId="0" borderId="3" xfId="2" applyNumberFormat="1" applyFont="1" applyBorder="1" applyAlignment="1" applyProtection="1">
      <alignment horizontal="center" vertical="center" wrapText="1"/>
      <protection locked="0"/>
    </xf>
    <xf numFmtId="183" fontId="22" fillId="17" borderId="4" xfId="2" applyNumberFormat="1" applyFont="1" applyFill="1" applyBorder="1" applyAlignment="1" applyProtection="1">
      <alignment horizontal="center" vertical="center" wrapText="1"/>
      <protection locked="0"/>
    </xf>
    <xf numFmtId="0" fontId="26" fillId="10" borderId="3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17" borderId="40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180" fontId="26" fillId="0" borderId="3" xfId="0" applyNumberFormat="1" applyFont="1" applyBorder="1" applyAlignment="1">
      <alignment horizontal="center" vertical="center"/>
    </xf>
    <xf numFmtId="0" fontId="26" fillId="17" borderId="4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5" fillId="10" borderId="7" xfId="2" applyFont="1" applyFill="1" applyBorder="1" applyAlignment="1">
      <alignment horizontal="center"/>
    </xf>
    <xf numFmtId="0" fontId="22" fillId="10" borderId="7" xfId="2" applyFont="1" applyFill="1" applyBorder="1" applyAlignment="1" applyProtection="1">
      <alignment horizontal="center" vertical="center" wrapText="1"/>
      <protection locked="0"/>
    </xf>
    <xf numFmtId="0" fontId="22" fillId="10" borderId="4" xfId="2" applyFont="1" applyFill="1" applyBorder="1" applyAlignment="1" applyProtection="1">
      <alignment horizontal="left" vertical="center" wrapText="1"/>
      <protection locked="0"/>
    </xf>
    <xf numFmtId="182" fontId="22" fillId="10" borderId="3" xfId="2" applyNumberFormat="1" applyFont="1" applyFill="1" applyBorder="1" applyAlignment="1" applyProtection="1">
      <alignment horizontal="center" vertical="center" wrapText="1"/>
      <protection locked="0"/>
    </xf>
    <xf numFmtId="0" fontId="26" fillId="11" borderId="3" xfId="0" applyFont="1" applyFill="1" applyBorder="1" applyAlignment="1">
      <alignment horizontal="center" vertical="center"/>
    </xf>
    <xf numFmtId="0" fontId="26" fillId="11" borderId="4" xfId="0" applyFont="1" applyFill="1" applyBorder="1" applyAlignment="1">
      <alignment horizontal="center" vertical="center"/>
    </xf>
    <xf numFmtId="0" fontId="26" fillId="10" borderId="33" xfId="0" applyFont="1" applyFill="1" applyBorder="1" applyAlignment="1">
      <alignment horizontal="center" vertical="center"/>
    </xf>
    <xf numFmtId="0" fontId="26" fillId="11" borderId="40" xfId="0" applyFont="1" applyFill="1" applyBorder="1" applyAlignment="1">
      <alignment horizontal="center" vertical="center"/>
    </xf>
    <xf numFmtId="180" fontId="26" fillId="10" borderId="3" xfId="0" applyNumberFormat="1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5" fillId="0" borderId="32" xfId="2" applyFont="1" applyBorder="1" applyAlignment="1">
      <alignment horizontal="center"/>
    </xf>
    <xf numFmtId="0" fontId="22" fillId="0" borderId="32" xfId="2" applyFont="1" applyBorder="1" applyAlignment="1" applyProtection="1">
      <alignment horizontal="center" vertical="center" wrapText="1"/>
      <protection locked="0"/>
    </xf>
    <xf numFmtId="0" fontId="22" fillId="0" borderId="19" xfId="2" applyFont="1" applyBorder="1" applyAlignment="1" applyProtection="1">
      <alignment horizontal="left" vertical="center" wrapText="1"/>
      <protection locked="0"/>
    </xf>
    <xf numFmtId="182" fontId="22" fillId="0" borderId="5" xfId="2" applyNumberFormat="1" applyFont="1" applyBorder="1" applyAlignment="1" applyProtection="1">
      <alignment horizontal="center" vertical="center" wrapText="1"/>
      <protection locked="0"/>
    </xf>
    <xf numFmtId="183" fontId="22" fillId="17" borderId="19" xfId="2" applyNumberFormat="1" applyFont="1" applyFill="1" applyBorder="1" applyAlignment="1" applyProtection="1">
      <alignment horizontal="center" vertical="center" wrapText="1"/>
      <protection locked="0"/>
    </xf>
    <xf numFmtId="0" fontId="26" fillId="0" borderId="5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17" borderId="50" xfId="0" applyFont="1" applyFill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180" fontId="26" fillId="0" borderId="5" xfId="0" applyNumberFormat="1" applyFont="1" applyBorder="1" applyAlignment="1">
      <alignment horizontal="center" vertical="center"/>
    </xf>
    <xf numFmtId="0" fontId="26" fillId="17" borderId="19" xfId="0" applyFont="1" applyFill="1" applyBorder="1" applyAlignment="1">
      <alignment horizontal="center" vertical="center"/>
    </xf>
    <xf numFmtId="0" fontId="21" fillId="0" borderId="0" xfId="2" applyAlignment="1">
      <alignment horizontal="center"/>
    </xf>
    <xf numFmtId="0" fontId="21" fillId="0" borderId="0" xfId="2"/>
    <xf numFmtId="0" fontId="23" fillId="0" borderId="0" xfId="2" applyFont="1"/>
    <xf numFmtId="0" fontId="24" fillId="0" borderId="0" xfId="0" applyFont="1">
      <alignment vertical="center"/>
    </xf>
    <xf numFmtId="176" fontId="22" fillId="10" borderId="48" xfId="0" applyNumberFormat="1" applyFont="1" applyFill="1" applyBorder="1" applyAlignment="1">
      <alignment horizontal="center" vertical="center" wrapText="1"/>
    </xf>
    <xf numFmtId="176" fontId="22" fillId="17" borderId="18" xfId="0" applyNumberFormat="1" applyFont="1" applyFill="1" applyBorder="1" applyAlignment="1">
      <alignment horizontal="center" vertical="center" wrapText="1"/>
    </xf>
    <xf numFmtId="176" fontId="22" fillId="10" borderId="33" xfId="0" applyNumberFormat="1" applyFont="1" applyFill="1" applyBorder="1" applyAlignment="1">
      <alignment horizontal="center" vertical="center" wrapText="1"/>
    </xf>
    <xf numFmtId="176" fontId="22" fillId="17" borderId="4" xfId="0" applyNumberFormat="1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0" xfId="3">
      <alignment vertical="center"/>
    </xf>
    <xf numFmtId="0" fontId="17" fillId="0" borderId="0" xfId="0" applyFont="1" applyAlignment="1">
      <alignment horizontal="center" vertical="center" wrapText="1"/>
    </xf>
    <xf numFmtId="0" fontId="18" fillId="0" borderId="0" xfId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2" fillId="10" borderId="36" xfId="0" applyFont="1" applyFill="1" applyBorder="1" applyAlignment="1">
      <alignment vertical="center"/>
    </xf>
    <xf numFmtId="0" fontId="12" fillId="10" borderId="0" xfId="0" applyFont="1" applyFill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9" xfId="0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0" xfId="0" applyFont="1" applyBorder="1" applyAlignment="1">
      <alignment horizontal="right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15" fillId="10" borderId="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6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right" vertical="center"/>
    </xf>
    <xf numFmtId="0" fontId="4" fillId="0" borderId="62" xfId="0" applyFont="1" applyBorder="1" applyAlignment="1">
      <alignment horizontal="left" vertical="center"/>
    </xf>
    <xf numFmtId="0" fontId="4" fillId="0" borderId="53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177" fontId="12" fillId="10" borderId="15" xfId="0" applyNumberFormat="1" applyFont="1" applyFill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9" fillId="10" borderId="43" xfId="0" applyFont="1" applyFill="1" applyBorder="1" applyAlignment="1">
      <alignment horizontal="center" vertical="center" wrapText="1"/>
    </xf>
    <xf numFmtId="176" fontId="4" fillId="7" borderId="4" xfId="0" applyNumberFormat="1" applyFont="1" applyFill="1" applyBorder="1" applyAlignment="1">
      <alignment horizontal="center" vertical="center" wrapText="1"/>
    </xf>
    <xf numFmtId="0" fontId="5" fillId="10" borderId="43" xfId="0" applyFont="1" applyFill="1" applyBorder="1" applyAlignment="1">
      <alignment horizontal="center" vertical="center" shrinkToFit="1"/>
    </xf>
    <xf numFmtId="0" fontId="5" fillId="10" borderId="51" xfId="0" applyFont="1" applyFill="1" applyBorder="1" applyAlignment="1">
      <alignment horizontal="center" vertical="center" shrinkToFit="1"/>
    </xf>
    <xf numFmtId="0" fontId="5" fillId="10" borderId="44" xfId="0" applyFont="1" applyFill="1" applyBorder="1" applyAlignment="1">
      <alignment horizontal="center" vertical="center" shrinkToFit="1"/>
    </xf>
    <xf numFmtId="0" fontId="5" fillId="10" borderId="63" xfId="0" applyFont="1" applyFill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 shrinkToFit="1"/>
    </xf>
    <xf numFmtId="0" fontId="5" fillId="10" borderId="0" xfId="0" applyFont="1" applyFill="1">
      <alignment vertical="center"/>
    </xf>
    <xf numFmtId="0" fontId="11" fillId="0" borderId="0" xfId="0" applyFont="1" applyBorder="1" applyAlignment="1">
      <alignment horizontal="center" vertical="center" shrinkToFit="1"/>
    </xf>
    <xf numFmtId="0" fontId="4" fillId="0" borderId="60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76" fontId="4" fillId="7" borderId="19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 wrapText="1"/>
    </xf>
    <xf numFmtId="179" fontId="6" fillId="0" borderId="0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 shrinkToFit="1"/>
    </xf>
    <xf numFmtId="0" fontId="11" fillId="0" borderId="0" xfId="0" applyFont="1" applyBorder="1" applyAlignment="1">
      <alignment horizontal="right" vertical="center" shrinkToFit="1"/>
    </xf>
    <xf numFmtId="0" fontId="8" fillId="10" borderId="7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176" fontId="4" fillId="0" borderId="30" xfId="0" applyNumberFormat="1" applyFont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78" fontId="9" fillId="0" borderId="22" xfId="0" applyNumberFormat="1" applyFont="1" applyFill="1" applyBorder="1" applyAlignment="1">
      <alignment horizontal="center" vertical="center" wrapText="1"/>
    </xf>
    <xf numFmtId="178" fontId="9" fillId="0" borderId="23" xfId="0" applyNumberFormat="1" applyFont="1" applyFill="1" applyBorder="1" applyAlignment="1">
      <alignment horizontal="center" vertical="center" wrapText="1"/>
    </xf>
    <xf numFmtId="178" fontId="9" fillId="0" borderId="24" xfId="0" applyNumberFormat="1" applyFont="1" applyFill="1" applyBorder="1" applyAlignment="1">
      <alignment horizontal="center" vertical="center" wrapText="1"/>
    </xf>
    <xf numFmtId="178" fontId="9" fillId="0" borderId="25" xfId="0" applyNumberFormat="1" applyFont="1" applyFill="1" applyBorder="1" applyAlignment="1">
      <alignment horizontal="center" vertical="center" wrapText="1"/>
    </xf>
    <xf numFmtId="178" fontId="10" fillId="0" borderId="22" xfId="0" applyNumberFormat="1" applyFont="1" applyFill="1" applyBorder="1" applyAlignment="1">
      <alignment horizontal="center" vertical="center" wrapText="1"/>
    </xf>
    <xf numFmtId="178" fontId="10" fillId="0" borderId="23" xfId="0" applyNumberFormat="1" applyFont="1" applyFill="1" applyBorder="1" applyAlignment="1">
      <alignment horizontal="center" vertical="center" wrapText="1"/>
    </xf>
    <xf numFmtId="178" fontId="10" fillId="0" borderId="24" xfId="0" applyNumberFormat="1" applyFont="1" applyFill="1" applyBorder="1" applyAlignment="1">
      <alignment horizontal="center" vertical="center" wrapText="1"/>
    </xf>
    <xf numFmtId="178" fontId="10" fillId="0" borderId="25" xfId="0" applyNumberFormat="1" applyFont="1" applyFill="1" applyBorder="1" applyAlignment="1">
      <alignment horizontal="center" vertical="center" wrapText="1"/>
    </xf>
    <xf numFmtId="0" fontId="14" fillId="10" borderId="35" xfId="0" applyFont="1" applyFill="1" applyBorder="1" applyAlignment="1">
      <alignment horizontal="center" vertical="center" wrapText="1"/>
    </xf>
    <xf numFmtId="0" fontId="14" fillId="10" borderId="37" xfId="0" applyFont="1" applyFill="1" applyBorder="1" applyAlignment="1">
      <alignment horizontal="center" vertical="center" wrapText="1"/>
    </xf>
    <xf numFmtId="0" fontId="14" fillId="10" borderId="38" xfId="0" applyFont="1" applyFill="1" applyBorder="1" applyAlignment="1">
      <alignment horizontal="center" vertical="center" wrapText="1"/>
    </xf>
    <xf numFmtId="0" fontId="14" fillId="10" borderId="39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53" xfId="0" applyFont="1" applyFill="1" applyBorder="1" applyAlignment="1">
      <alignment horizontal="center" vertical="center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10" borderId="54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178" fontId="10" fillId="0" borderId="55" xfId="0" applyNumberFormat="1" applyFont="1" applyFill="1" applyBorder="1" applyAlignment="1">
      <alignment horizontal="center" vertical="center" wrapText="1"/>
    </xf>
    <xf numFmtId="178" fontId="10" fillId="0" borderId="42" xfId="0" applyNumberFormat="1" applyFont="1" applyFill="1" applyBorder="1" applyAlignment="1">
      <alignment horizontal="center" vertical="center" wrapText="1"/>
    </xf>
    <xf numFmtId="0" fontId="4" fillId="16" borderId="20" xfId="0" applyFont="1" applyFill="1" applyBorder="1" applyAlignment="1">
      <alignment horizontal="center" vertical="center" wrapText="1"/>
    </xf>
    <xf numFmtId="0" fontId="4" fillId="16" borderId="21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14" fontId="7" fillId="0" borderId="0" xfId="0" applyNumberFormat="1" applyFont="1" applyBorder="1" applyAlignment="1">
      <alignment vertical="center" shrinkToFit="1"/>
    </xf>
    <xf numFmtId="178" fontId="9" fillId="0" borderId="55" xfId="0" applyNumberFormat="1" applyFont="1" applyFill="1" applyBorder="1" applyAlignment="1">
      <alignment horizontal="center" vertical="center" wrapText="1"/>
    </xf>
    <xf numFmtId="178" fontId="9" fillId="0" borderId="42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81" fontId="24" fillId="15" borderId="26" xfId="0" applyNumberFormat="1" applyFont="1" applyFill="1" applyBorder="1" applyAlignment="1">
      <alignment horizontal="center" vertical="center"/>
    </xf>
    <xf numFmtId="0" fontId="24" fillId="15" borderId="57" xfId="0" applyFont="1" applyFill="1" applyBorder="1" applyAlignment="1">
      <alignment horizontal="center" vertical="center"/>
    </xf>
    <xf numFmtId="0" fontId="24" fillId="15" borderId="27" xfId="0" applyFont="1" applyFill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7" borderId="53" xfId="0" applyFill="1" applyBorder="1" applyAlignment="1">
      <alignment horizontal="center" vertical="center"/>
    </xf>
    <xf numFmtId="0" fontId="21" fillId="17" borderId="17" xfId="2" applyFill="1" applyBorder="1" applyAlignment="1">
      <alignment horizontal="center" vertical="center"/>
    </xf>
    <xf numFmtId="0" fontId="21" fillId="17" borderId="58" xfId="2" applyFill="1" applyBorder="1" applyAlignment="1">
      <alignment horizontal="center" vertical="center"/>
    </xf>
    <xf numFmtId="0" fontId="22" fillId="17" borderId="17" xfId="2" applyFont="1" applyFill="1" applyBorder="1" applyAlignment="1" applyProtection="1">
      <alignment horizontal="center" vertical="center" wrapText="1"/>
      <protection locked="0"/>
    </xf>
    <xf numFmtId="0" fontId="22" fillId="17" borderId="58" xfId="2" applyFont="1" applyFill="1" applyBorder="1" applyAlignment="1" applyProtection="1">
      <alignment horizontal="center" vertical="center" wrapText="1"/>
      <protection locked="0"/>
    </xf>
    <xf numFmtId="0" fontId="22" fillId="17" borderId="18" xfId="2" applyFont="1" applyFill="1" applyBorder="1" applyAlignment="1" applyProtection="1">
      <alignment horizontal="center" vertical="center" wrapText="1"/>
      <protection locked="0"/>
    </xf>
    <xf numFmtId="0" fontId="22" fillId="17" borderId="54" xfId="2" applyFont="1" applyFill="1" applyBorder="1" applyAlignment="1" applyProtection="1">
      <alignment horizontal="center" vertical="center" wrapText="1"/>
      <protection locked="0"/>
    </xf>
    <xf numFmtId="0" fontId="23" fillId="15" borderId="26" xfId="2" applyFont="1" applyFill="1" applyBorder="1" applyAlignment="1">
      <alignment horizontal="center"/>
    </xf>
    <xf numFmtId="0" fontId="24" fillId="15" borderId="27" xfId="2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176" fontId="4" fillId="7" borderId="2" xfId="0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9" fillId="10" borderId="44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/>
    </xf>
    <xf numFmtId="0" fontId="5" fillId="18" borderId="4" xfId="4" applyFont="1" applyBorder="1" applyAlignment="1">
      <alignment horizontal="center" vertical="center"/>
    </xf>
    <xf numFmtId="0" fontId="5" fillId="18" borderId="19" xfId="4" applyFont="1" applyBorder="1" applyAlignment="1">
      <alignment horizontal="center" vertical="center"/>
    </xf>
    <xf numFmtId="0" fontId="5" fillId="11" borderId="31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 wrapText="1"/>
    </xf>
    <xf numFmtId="176" fontId="4" fillId="7" borderId="1" xfId="0" applyNumberFormat="1" applyFont="1" applyFill="1" applyBorder="1" applyAlignment="1">
      <alignment horizontal="center" vertical="center" wrapText="1"/>
    </xf>
    <xf numFmtId="176" fontId="4" fillId="7" borderId="29" xfId="0" applyNumberFormat="1" applyFont="1" applyFill="1" applyBorder="1" applyAlignment="1">
      <alignment horizontal="center" vertical="center" wrapText="1"/>
    </xf>
  </cellXfs>
  <cellStyles count="5">
    <cellStyle name="좋음" xfId="4" builtinId="26"/>
    <cellStyle name="표준" xfId="0" builtinId="0"/>
    <cellStyle name="표준 2" xfId="3" xr:uid="{00000000-0005-0000-0000-000001000000}"/>
    <cellStyle name="표준 6" xfId="2" xr:uid="{00000000-0005-0000-0000-000002000000}"/>
    <cellStyle name="하이퍼링크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gram%20Files\ActivePost%20G-Suite\Down\&#51088;&#47308;&#52629;&#526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gram%20Files\ActivePost%20G-Suite\Down\&#51088;&#47308;&#52629;&#526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문"/>
      <sheetName val="자연"/>
      <sheetName val="자연 순위"/>
      <sheetName val="인문 순위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문"/>
      <sheetName val="자연"/>
      <sheetName val="자연 순위"/>
      <sheetName val="인문 순위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egastudy.net/Entinfo/Exam/2020/go2/Exam_main.asp?seq=265" TargetMode="External"/><Relationship Id="rId13" Type="http://schemas.openxmlformats.org/officeDocument/2006/relationships/printerSettings" Target="../printerSettings/printerSettings12.bin"/><Relationship Id="rId3" Type="http://schemas.openxmlformats.org/officeDocument/2006/relationships/hyperlink" Target="http://www.skyedu.com/" TargetMode="External"/><Relationship Id="rId7" Type="http://schemas.openxmlformats.org/officeDocument/2006/relationships/hyperlink" Target="http://www.mimacstudy.com/hmockTestH2/HmockAnalysisExamPointCut.ds?groupNo=293" TargetMode="External"/><Relationship Id="rId12" Type="http://schemas.openxmlformats.org/officeDocument/2006/relationships/hyperlink" Target="http://www.jongro.co.kr/service/examResult/ex20200616/go2_main.asp" TargetMode="External"/><Relationship Id="rId2" Type="http://schemas.openxmlformats.org/officeDocument/2006/relationships/hyperlink" Target="http://www.megastudy.net/Entinfo/Exam/2020/go2/Exam_main.asp?seq=265" TargetMode="External"/><Relationship Id="rId1" Type="http://schemas.openxmlformats.org/officeDocument/2006/relationships/hyperlink" Target="http://www.mimacstudy.com/hmockTestH2/HmockAnalysisExamPointCut.ds?groupNo=293" TargetMode="External"/><Relationship Id="rId6" Type="http://schemas.openxmlformats.org/officeDocument/2006/relationships/hyperlink" Target="http://www.jongro.co.kr/service/examResult/ex20200616/go2_main.asp" TargetMode="External"/><Relationship Id="rId11" Type="http://schemas.openxmlformats.org/officeDocument/2006/relationships/hyperlink" Target="https://go2.etoos.com/home/default.asp?etgrd=go2" TargetMode="External"/><Relationship Id="rId5" Type="http://schemas.openxmlformats.org/officeDocument/2006/relationships/hyperlink" Target="https://go2.etoos.com/home/default.asp?etgrd=go2" TargetMode="External"/><Relationship Id="rId10" Type="http://schemas.openxmlformats.org/officeDocument/2006/relationships/hyperlink" Target="http://info.uway.com/moei/test/?exam_seq=2027" TargetMode="External"/><Relationship Id="rId4" Type="http://schemas.openxmlformats.org/officeDocument/2006/relationships/hyperlink" Target="http://info.uway.com/moei/test/?exam_seq=2027" TargetMode="External"/><Relationship Id="rId9" Type="http://schemas.openxmlformats.org/officeDocument/2006/relationships/hyperlink" Target="http://www.skyedu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"/>
  <sheetViews>
    <sheetView topLeftCell="A7" zoomScaleNormal="100" workbookViewId="0">
      <selection activeCell="H14" sqref="H14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05" t="s">
        <v>335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</row>
    <row r="2" spans="1:23" ht="33.75" customHeight="1" thickBot="1" x14ac:dyDescent="0.2">
      <c r="A2" s="306" t="s">
        <v>344</v>
      </c>
      <c r="B2" s="306"/>
      <c r="C2" s="306"/>
      <c r="D2" s="306"/>
      <c r="E2" s="306"/>
      <c r="F2" s="306"/>
      <c r="G2" s="38"/>
      <c r="H2" s="38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08" t="s">
        <v>5</v>
      </c>
      <c r="P3" s="308"/>
      <c r="Q3" s="43" t="s">
        <v>15</v>
      </c>
      <c r="R3" s="70" t="s">
        <v>6</v>
      </c>
      <c r="S3" s="42" t="s">
        <v>7</v>
      </c>
      <c r="T3" s="2"/>
      <c r="U3" s="309" t="s">
        <v>8</v>
      </c>
      <c r="V3" s="310"/>
    </row>
    <row r="4" spans="1:23" s="7" customFormat="1" ht="17.100000000000001" customHeight="1" x14ac:dyDescent="0.15">
      <c r="A4" s="40">
        <v>1</v>
      </c>
      <c r="B4" s="71" t="s">
        <v>46</v>
      </c>
      <c r="C4">
        <v>79</v>
      </c>
      <c r="D4" s="37" t="e">
        <f>LOOKUP(C4,#REF!,#REF!)</f>
        <v>#REF!</v>
      </c>
      <c r="E4" s="44" t="e">
        <f>((C4-#REF!)/#REF!)*20+100</f>
        <v>#REF!</v>
      </c>
      <c r="F4">
        <v>33</v>
      </c>
      <c r="G4" s="37" t="e">
        <f>LOOKUP(F4,#REF!,#REF!)</f>
        <v>#REF!</v>
      </c>
      <c r="H4" s="44" t="e">
        <f>((F4-#REF!)/#REF!)*20+100</f>
        <v>#REF!</v>
      </c>
      <c r="I4">
        <v>65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177</v>
      </c>
      <c r="M4" s="45" t="e">
        <f>SUM(E4,H4,K4)</f>
        <v>#REF!</v>
      </c>
      <c r="N4" s="34">
        <f>RANK(L4,$L$4:$L$39)</f>
        <v>24</v>
      </c>
      <c r="O4">
        <v>11</v>
      </c>
      <c r="P4">
        <v>9</v>
      </c>
      <c r="Q4" s="36">
        <f>(SUM(O4:P4))</f>
        <v>20</v>
      </c>
      <c r="R4" s="35">
        <f t="shared" ref="R4:R39" si="0">SUM(L4,Q4)</f>
        <v>197</v>
      </c>
      <c r="S4" s="35">
        <f t="shared" ref="S4:S39" si="1">RANK(R4,$R$4:$R$39)</f>
        <v>25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47</v>
      </c>
      <c r="C5">
        <v>96</v>
      </c>
      <c r="D5" s="37" t="e">
        <f>LOOKUP(C5,#REF!,#REF!)</f>
        <v>#REF!</v>
      </c>
      <c r="E5" s="44" t="e">
        <f>((C5-#REF!)/#REF!)*20+100</f>
        <v>#REF!</v>
      </c>
      <c r="F5">
        <v>51</v>
      </c>
      <c r="G5" s="37" t="e">
        <f>LOOKUP(F5,#REF!,#REF!)</f>
        <v>#REF!</v>
      </c>
      <c r="H5" s="44" t="e">
        <f>((F5-#REF!)/#REF!)*20+100</f>
        <v>#REF!</v>
      </c>
      <c r="I5">
        <v>83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230</v>
      </c>
      <c r="M5" s="45" t="e">
        <f t="shared" ref="M5:M37" si="3">SUM(E5,H5,K5)</f>
        <v>#REF!</v>
      </c>
      <c r="N5" s="34">
        <f t="shared" ref="N5:N39" si="4">RANK(L5,$L$4:$L$39)</f>
        <v>9</v>
      </c>
      <c r="O5">
        <v>21</v>
      </c>
      <c r="P5">
        <v>20</v>
      </c>
      <c r="Q5" s="36">
        <f t="shared" ref="Q5:Q39" si="5">(SUM(O5:P5))</f>
        <v>41</v>
      </c>
      <c r="R5" s="35">
        <f t="shared" si="0"/>
        <v>271</v>
      </c>
      <c r="S5" s="35">
        <f t="shared" si="1"/>
        <v>15</v>
      </c>
      <c r="T5" s="4"/>
      <c r="U5" s="8">
        <v>390</v>
      </c>
      <c r="V5" s="9">
        <f t="shared" ref="V5:V18" si="6">FREQUENCY($R$4:$R$39,W4:W24)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48</v>
      </c>
      <c r="C6">
        <v>34</v>
      </c>
      <c r="D6" s="37" t="e">
        <f>LOOKUP(C6,#REF!,#REF!)</f>
        <v>#REF!</v>
      </c>
      <c r="E6" s="44" t="e">
        <f>((C6-#REF!)/#REF!)*20+100</f>
        <v>#REF!</v>
      </c>
      <c r="F6">
        <v>21</v>
      </c>
      <c r="G6" s="37" t="e">
        <f>LOOKUP(F6,#REF!,#REF!)</f>
        <v>#REF!</v>
      </c>
      <c r="H6" s="44" t="e">
        <f>((F6-#REF!)/#REF!)*20+100</f>
        <v>#REF!</v>
      </c>
      <c r="I6">
        <v>43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98</v>
      </c>
      <c r="M6" s="45" t="e">
        <f t="shared" si="3"/>
        <v>#REF!</v>
      </c>
      <c r="N6" s="34">
        <f t="shared" si="4"/>
        <v>33</v>
      </c>
      <c r="O6">
        <v>5</v>
      </c>
      <c r="P6">
        <v>27</v>
      </c>
      <c r="Q6" s="36">
        <f t="shared" si="5"/>
        <v>32</v>
      </c>
      <c r="R6" s="35">
        <f t="shared" si="0"/>
        <v>130</v>
      </c>
      <c r="S6" s="35">
        <f t="shared" si="1"/>
        <v>34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49</v>
      </c>
      <c r="C7">
        <v>80</v>
      </c>
      <c r="D7" s="37" t="e">
        <f>LOOKUP(C7,#REF!,#REF!)</f>
        <v>#REF!</v>
      </c>
      <c r="E7" s="44" t="e">
        <f>((C7-#REF!)/#REF!)*20+100</f>
        <v>#REF!</v>
      </c>
      <c r="F7">
        <v>38</v>
      </c>
      <c r="G7" s="37" t="e">
        <f>LOOKUP(F7,#REF!,#REF!)</f>
        <v>#REF!</v>
      </c>
      <c r="H7" s="44" t="e">
        <f>((F7-#REF!)/#REF!)*20+100</f>
        <v>#REF!</v>
      </c>
      <c r="I7">
        <v>82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200</v>
      </c>
      <c r="M7" s="45" t="e">
        <f t="shared" si="3"/>
        <v>#REF!</v>
      </c>
      <c r="N7" s="34">
        <f t="shared" si="4"/>
        <v>16</v>
      </c>
      <c r="O7">
        <v>39</v>
      </c>
      <c r="P7">
        <v>22</v>
      </c>
      <c r="Q7" s="36">
        <f t="shared" si="5"/>
        <v>61</v>
      </c>
      <c r="R7" s="35">
        <f t="shared" si="0"/>
        <v>261</v>
      </c>
      <c r="S7" s="35">
        <f t="shared" si="1"/>
        <v>18</v>
      </c>
      <c r="T7" s="4"/>
      <c r="U7" s="8">
        <v>370</v>
      </c>
      <c r="V7" s="9">
        <f t="shared" si="6"/>
        <v>1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50</v>
      </c>
      <c r="C8">
        <v>49</v>
      </c>
      <c r="D8" s="37" t="e">
        <f>LOOKUP(C8,#REF!,#REF!)</f>
        <v>#REF!</v>
      </c>
      <c r="E8" s="44" t="e">
        <f>((C8-#REF!)/#REF!)*20+100</f>
        <v>#REF!</v>
      </c>
      <c r="F8">
        <v>26</v>
      </c>
      <c r="G8" s="37" t="e">
        <f>LOOKUP(F8,#REF!,#REF!)</f>
        <v>#REF!</v>
      </c>
      <c r="H8" s="44" t="e">
        <f>((F8-#REF!)/#REF!)*20+100</f>
        <v>#REF!</v>
      </c>
      <c r="I8">
        <v>79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154</v>
      </c>
      <c r="M8" s="45" t="e">
        <f t="shared" si="3"/>
        <v>#REF!</v>
      </c>
      <c r="N8" s="34">
        <f t="shared" si="4"/>
        <v>27</v>
      </c>
      <c r="O8">
        <v>20</v>
      </c>
      <c r="P8">
        <v>10</v>
      </c>
      <c r="Q8" s="36">
        <f t="shared" si="5"/>
        <v>30</v>
      </c>
      <c r="R8" s="35">
        <f t="shared" si="0"/>
        <v>184</v>
      </c>
      <c r="S8" s="35">
        <f t="shared" si="1"/>
        <v>27</v>
      </c>
      <c r="T8" s="4"/>
      <c r="U8" s="8">
        <v>360</v>
      </c>
      <c r="V8" s="9">
        <f t="shared" si="6"/>
        <v>2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51</v>
      </c>
      <c r="C9">
        <v>96</v>
      </c>
      <c r="D9" s="37" t="e">
        <f>LOOKUP(C9,#REF!,#REF!)</f>
        <v>#REF!</v>
      </c>
      <c r="E9" s="44" t="e">
        <f>((C9-#REF!)/#REF!)*20+100</f>
        <v>#REF!</v>
      </c>
      <c r="F9">
        <v>39</v>
      </c>
      <c r="G9" s="37" t="e">
        <f>LOOKUP(F9,#REF!,#REF!)</f>
        <v>#REF!</v>
      </c>
      <c r="H9" s="44" t="e">
        <f>((F9-#REF!)/#REF!)*20+100</f>
        <v>#REF!</v>
      </c>
      <c r="I9">
        <v>72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207</v>
      </c>
      <c r="M9" s="45" t="e">
        <f t="shared" si="3"/>
        <v>#REF!</v>
      </c>
      <c r="N9" s="34">
        <f t="shared" si="4"/>
        <v>14</v>
      </c>
      <c r="O9">
        <v>35</v>
      </c>
      <c r="P9">
        <v>31</v>
      </c>
      <c r="Q9" s="36">
        <f t="shared" si="5"/>
        <v>66</v>
      </c>
      <c r="R9" s="35">
        <f t="shared" si="0"/>
        <v>273</v>
      </c>
      <c r="S9" s="35">
        <f t="shared" si="1"/>
        <v>14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52</v>
      </c>
      <c r="C10">
        <v>85</v>
      </c>
      <c r="D10" s="37" t="e">
        <f>LOOKUP(C10,#REF!,#REF!)</f>
        <v>#REF!</v>
      </c>
      <c r="E10" s="44" t="e">
        <f>((C10-#REF!)/#REF!)*20+100</f>
        <v>#REF!</v>
      </c>
      <c r="F10">
        <v>44</v>
      </c>
      <c r="G10" s="37" t="e">
        <f>LOOKUP(F10,#REF!,#REF!)</f>
        <v>#REF!</v>
      </c>
      <c r="H10" s="44" t="e">
        <f>((F10-#REF!)/#REF!)*20+100</f>
        <v>#REF!</v>
      </c>
      <c r="I10">
        <v>72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201</v>
      </c>
      <c r="M10" s="45" t="e">
        <f t="shared" si="3"/>
        <v>#REF!</v>
      </c>
      <c r="N10" s="34">
        <f t="shared" si="4"/>
        <v>15</v>
      </c>
      <c r="O10">
        <v>33</v>
      </c>
      <c r="P10">
        <v>34</v>
      </c>
      <c r="Q10" s="36">
        <f t="shared" si="5"/>
        <v>67</v>
      </c>
      <c r="R10" s="35">
        <f t="shared" si="0"/>
        <v>268</v>
      </c>
      <c r="S10" s="35">
        <f t="shared" si="1"/>
        <v>16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53</v>
      </c>
      <c r="C11">
        <v>92</v>
      </c>
      <c r="D11" s="37" t="e">
        <f>LOOKUP(C11,#REF!,#REF!)</f>
        <v>#REF!</v>
      </c>
      <c r="E11" s="44" t="e">
        <f>((C11-#REF!)/#REF!)*20+100</f>
        <v>#REF!</v>
      </c>
      <c r="F11">
        <v>20</v>
      </c>
      <c r="G11" s="37" t="e">
        <f>LOOKUP(F11,#REF!,#REF!)</f>
        <v>#REF!</v>
      </c>
      <c r="H11" s="44" t="e">
        <f>((F11-#REF!)/#REF!)*20+100</f>
        <v>#REF!</v>
      </c>
      <c r="I11">
        <v>63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175</v>
      </c>
      <c r="M11" s="45" t="e">
        <f t="shared" si="3"/>
        <v>#REF!</v>
      </c>
      <c r="N11" s="34">
        <f t="shared" si="4"/>
        <v>25</v>
      </c>
      <c r="O11">
        <v>8</v>
      </c>
      <c r="P11">
        <v>18</v>
      </c>
      <c r="Q11" s="36">
        <f t="shared" si="5"/>
        <v>26</v>
      </c>
      <c r="R11" s="35">
        <f t="shared" si="0"/>
        <v>201</v>
      </c>
      <c r="S11" s="35">
        <f t="shared" si="1"/>
        <v>24</v>
      </c>
      <c r="T11" s="4"/>
      <c r="U11" s="12">
        <v>330</v>
      </c>
      <c r="V11" s="9">
        <f t="shared" si="6"/>
        <v>1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54</v>
      </c>
      <c r="C12">
        <v>85</v>
      </c>
      <c r="D12" s="37" t="e">
        <f>LOOKUP(C12,#REF!,#REF!)</f>
        <v>#REF!</v>
      </c>
      <c r="E12" s="44" t="e">
        <f>((C12-#REF!)/#REF!)*20+100</f>
        <v>#REF!</v>
      </c>
      <c r="F12">
        <v>28</v>
      </c>
      <c r="G12" s="37" t="e">
        <f>LOOKUP(F12,#REF!,#REF!)</f>
        <v>#REF!</v>
      </c>
      <c r="H12" s="44" t="e">
        <f>((F12-#REF!)/#REF!)*20+100</f>
        <v>#REF!</v>
      </c>
      <c r="I12">
        <v>69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182</v>
      </c>
      <c r="M12" s="45" t="e">
        <f t="shared" si="3"/>
        <v>#REF!</v>
      </c>
      <c r="N12" s="34">
        <f t="shared" si="4"/>
        <v>23</v>
      </c>
      <c r="O12">
        <v>34</v>
      </c>
      <c r="P12">
        <v>29</v>
      </c>
      <c r="Q12" s="36">
        <f t="shared" si="5"/>
        <v>63</v>
      </c>
      <c r="R12" s="35">
        <f t="shared" si="0"/>
        <v>245</v>
      </c>
      <c r="S12" s="35">
        <f t="shared" si="1"/>
        <v>19</v>
      </c>
      <c r="T12" s="4"/>
      <c r="U12" s="12">
        <v>320</v>
      </c>
      <c r="V12" s="9">
        <f t="shared" si="6"/>
        <v>0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55</v>
      </c>
      <c r="C13">
        <v>52</v>
      </c>
      <c r="D13" s="37" t="e">
        <f>LOOKUP(C13,#REF!,#REF!)</f>
        <v>#REF!</v>
      </c>
      <c r="E13" s="44" t="e">
        <f>((C13-#REF!)/#REF!)*20+100</f>
        <v>#REF!</v>
      </c>
      <c r="F13">
        <v>3</v>
      </c>
      <c r="G13" s="37" t="e">
        <f>LOOKUP(F13,#REF!,#REF!)</f>
        <v>#REF!</v>
      </c>
      <c r="H13" s="44" t="e">
        <f>((F13-#REF!)/#REF!)*20+100</f>
        <v>#REF!</v>
      </c>
      <c r="I13">
        <v>28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83</v>
      </c>
      <c r="M13" s="45" t="e">
        <f t="shared" si="3"/>
        <v>#REF!</v>
      </c>
      <c r="N13" s="34">
        <f t="shared" si="4"/>
        <v>36</v>
      </c>
      <c r="O13">
        <v>17</v>
      </c>
      <c r="P13">
        <v>15</v>
      </c>
      <c r="Q13" s="36">
        <f t="shared" si="5"/>
        <v>32</v>
      </c>
      <c r="R13" s="35">
        <f t="shared" si="0"/>
        <v>115</v>
      </c>
      <c r="S13" s="35">
        <f t="shared" si="1"/>
        <v>36</v>
      </c>
      <c r="T13" s="4"/>
      <c r="U13" s="12">
        <v>310</v>
      </c>
      <c r="V13" s="9">
        <f t="shared" si="6"/>
        <v>0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56</v>
      </c>
      <c r="C14" s="98">
        <v>98</v>
      </c>
      <c r="D14" s="37">
        <f>LOOKUP(C14,예상등급!$A$5:$A$13,예상등급!$B$5:$B$13)</f>
        <v>1</v>
      </c>
      <c r="E14" s="44" t="e">
        <f>((C14-예상등급!#REF!)/예상등급!#REF!)*20+100</f>
        <v>#REF!</v>
      </c>
      <c r="F14" s="98">
        <v>88</v>
      </c>
      <c r="G14" s="37">
        <f>LOOKUP(F14,예상등급!$D$19:$D$27,예상등급!$E$19:$E$27)</f>
        <v>1</v>
      </c>
      <c r="H14" s="44" t="e">
        <f>((F14-예상등급!#REF!)/예상등급!#REF!)*20+100</f>
        <v>#REF!</v>
      </c>
      <c r="I14">
        <v>92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278</v>
      </c>
      <c r="M14" s="45" t="e">
        <f t="shared" si="3"/>
        <v>#REF!</v>
      </c>
      <c r="N14" s="34">
        <f t="shared" si="4"/>
        <v>2</v>
      </c>
      <c r="O14">
        <v>47</v>
      </c>
      <c r="P14">
        <v>45</v>
      </c>
      <c r="Q14" s="36">
        <f t="shared" si="5"/>
        <v>92</v>
      </c>
      <c r="R14" s="35">
        <f t="shared" si="0"/>
        <v>370</v>
      </c>
      <c r="S14" s="35">
        <f t="shared" si="1"/>
        <v>1</v>
      </c>
      <c r="T14" s="4"/>
      <c r="U14" s="13">
        <v>300</v>
      </c>
      <c r="V14" s="9">
        <f t="shared" si="6"/>
        <v>2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57</v>
      </c>
      <c r="C15">
        <v>76</v>
      </c>
      <c r="D15" s="37" t="e">
        <f>LOOKUP(C15,#REF!,#REF!)</f>
        <v>#REF!</v>
      </c>
      <c r="E15" s="44" t="e">
        <f>((C15-#REF!)/#REF!)*20+100</f>
        <v>#REF!</v>
      </c>
      <c r="F15" s="98">
        <v>48</v>
      </c>
      <c r="G15" s="37">
        <f>LOOKUP(F15,예상등급!$D$19:$D$27,예상등급!$E$19:$E$27)</f>
        <v>1</v>
      </c>
      <c r="H15" s="44" t="e">
        <f>((F15-예상등급!#REF!)/예상등급!#REF!)*20+100</f>
        <v>#REF!</v>
      </c>
      <c r="I15">
        <v>73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197</v>
      </c>
      <c r="M15" s="45" t="e">
        <f t="shared" si="3"/>
        <v>#REF!</v>
      </c>
      <c r="N15" s="34">
        <f t="shared" si="4"/>
        <v>19</v>
      </c>
      <c r="O15">
        <v>27</v>
      </c>
      <c r="P15">
        <v>38</v>
      </c>
      <c r="Q15" s="36">
        <f t="shared" si="5"/>
        <v>65</v>
      </c>
      <c r="R15" s="35">
        <f t="shared" si="0"/>
        <v>262</v>
      </c>
      <c r="S15" s="35">
        <f t="shared" si="1"/>
        <v>17</v>
      </c>
      <c r="T15" s="4"/>
      <c r="U15" s="14">
        <v>290</v>
      </c>
      <c r="V15" s="9">
        <f t="shared" si="6"/>
        <v>2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58</v>
      </c>
      <c r="C16">
        <v>98</v>
      </c>
      <c r="D16" s="37" t="e">
        <f>LOOKUP(C16,#REF!,#REF!)</f>
        <v>#REF!</v>
      </c>
      <c r="E16" s="44" t="e">
        <f>((C16-#REF!)/#REF!)*20+100</f>
        <v>#REF!</v>
      </c>
      <c r="F16">
        <v>62</v>
      </c>
      <c r="G16" s="37" t="e">
        <f>LOOKUP(F16,#REF!,#REF!)</f>
        <v>#REF!</v>
      </c>
      <c r="H16" s="44" t="e">
        <f>((F16-#REF!)/#REF!)*20+100</f>
        <v>#REF!</v>
      </c>
      <c r="I16">
        <v>66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226</v>
      </c>
      <c r="M16" s="45" t="e">
        <f t="shared" si="3"/>
        <v>#REF!</v>
      </c>
      <c r="N16" s="34">
        <f t="shared" si="4"/>
        <v>11</v>
      </c>
      <c r="O16">
        <v>29</v>
      </c>
      <c r="P16">
        <v>33</v>
      </c>
      <c r="Q16" s="36">
        <f t="shared" si="5"/>
        <v>62</v>
      </c>
      <c r="R16" s="35">
        <f t="shared" si="0"/>
        <v>288</v>
      </c>
      <c r="S16" s="35">
        <f t="shared" si="1"/>
        <v>10</v>
      </c>
      <c r="T16" s="4"/>
      <c r="U16" s="15">
        <v>280</v>
      </c>
      <c r="V16" s="9">
        <f t="shared" si="6"/>
        <v>1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59</v>
      </c>
      <c r="C17">
        <v>100</v>
      </c>
      <c r="D17" s="37" t="e">
        <f>LOOKUP(C17,#REF!,#REF!)</f>
        <v>#REF!</v>
      </c>
      <c r="E17" s="44" t="e">
        <f>((C17-#REF!)/#REF!)*20+100</f>
        <v>#REF!</v>
      </c>
      <c r="F17">
        <v>65</v>
      </c>
      <c r="G17" s="37" t="e">
        <f>LOOKUP(F17,#REF!,#REF!)</f>
        <v>#REF!</v>
      </c>
      <c r="H17" s="44" t="e">
        <f>((F17-#REF!)/#REF!)*20+100</f>
        <v>#REF!</v>
      </c>
      <c r="I17">
        <v>92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257</v>
      </c>
      <c r="M17" s="45" t="e">
        <f t="shared" si="3"/>
        <v>#REF!</v>
      </c>
      <c r="N17" s="34">
        <f t="shared" si="4"/>
        <v>5</v>
      </c>
      <c r="O17">
        <v>40</v>
      </c>
      <c r="P17">
        <v>37</v>
      </c>
      <c r="Q17" s="36">
        <f t="shared" si="5"/>
        <v>77</v>
      </c>
      <c r="R17" s="35">
        <f t="shared" si="0"/>
        <v>334</v>
      </c>
      <c r="S17" s="35">
        <f t="shared" si="1"/>
        <v>5</v>
      </c>
      <c r="T17" s="4"/>
      <c r="U17" s="15">
        <v>270</v>
      </c>
      <c r="V17" s="9">
        <f t="shared" si="6"/>
        <v>5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60</v>
      </c>
      <c r="C18">
        <v>91</v>
      </c>
      <c r="D18" s="37" t="e">
        <f>LOOKUP(C18,#REF!,#REF!)</f>
        <v>#REF!</v>
      </c>
      <c r="E18" s="44" t="e">
        <f>((C18-#REF!)/#REF!)*20+100</f>
        <v>#REF!</v>
      </c>
      <c r="F18">
        <v>42</v>
      </c>
      <c r="G18" s="37" t="e">
        <f>LOOKUP(F18,#REF!,#REF!)</f>
        <v>#REF!</v>
      </c>
      <c r="H18" s="44" t="e">
        <f>((F18-#REF!)/#REF!)*20+100</f>
        <v>#REF!</v>
      </c>
      <c r="I18">
        <v>66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199</v>
      </c>
      <c r="M18" s="45" t="e">
        <f t="shared" si="3"/>
        <v>#REF!</v>
      </c>
      <c r="N18" s="34">
        <f t="shared" si="4"/>
        <v>17</v>
      </c>
      <c r="O18">
        <v>18</v>
      </c>
      <c r="P18">
        <v>28</v>
      </c>
      <c r="Q18" s="36">
        <f t="shared" si="5"/>
        <v>46</v>
      </c>
      <c r="R18" s="35">
        <f t="shared" si="0"/>
        <v>245</v>
      </c>
      <c r="S18" s="35">
        <f t="shared" si="1"/>
        <v>19</v>
      </c>
      <c r="T18" s="4"/>
      <c r="U18" s="15">
        <v>260</v>
      </c>
      <c r="V18" s="9">
        <f t="shared" si="6"/>
        <v>3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61</v>
      </c>
      <c r="C19">
        <v>86</v>
      </c>
      <c r="D19" s="37" t="e">
        <f>LOOKUP(C19,#REF!,#REF!)</f>
        <v>#REF!</v>
      </c>
      <c r="E19" s="44" t="e">
        <f>((C19-#REF!)/#REF!)*20+100</f>
        <v>#REF!</v>
      </c>
      <c r="F19">
        <v>60</v>
      </c>
      <c r="G19" s="37" t="e">
        <f>LOOKUP(F19,#REF!,#REF!)</f>
        <v>#REF!</v>
      </c>
      <c r="H19" s="44" t="e">
        <f>((F19-#REF!)/#REF!)*20+100</f>
        <v>#REF!</v>
      </c>
      <c r="I19">
        <v>51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197</v>
      </c>
      <c r="M19" s="45" t="e">
        <f t="shared" si="3"/>
        <v>#REF!</v>
      </c>
      <c r="N19" s="34">
        <f t="shared" si="4"/>
        <v>19</v>
      </c>
      <c r="O19">
        <v>43</v>
      </c>
      <c r="P19">
        <v>38</v>
      </c>
      <c r="Q19" s="36">
        <f t="shared" si="5"/>
        <v>81</v>
      </c>
      <c r="R19" s="35">
        <f t="shared" si="0"/>
        <v>278</v>
      </c>
      <c r="S19" s="35">
        <f t="shared" si="1"/>
        <v>11</v>
      </c>
      <c r="T19" s="4"/>
      <c r="U19" s="16">
        <v>250</v>
      </c>
      <c r="V19" s="9">
        <f>FREQUENCY($R$4:$R$39,W18:W39)</f>
        <v>0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62</v>
      </c>
      <c r="C20">
        <v>52</v>
      </c>
      <c r="D20" s="37" t="e">
        <f>LOOKUP(C20,#REF!,#REF!)</f>
        <v>#REF!</v>
      </c>
      <c r="E20" s="44" t="e">
        <f>((C20-#REF!)/#REF!)*20+100</f>
        <v>#REF!</v>
      </c>
      <c r="F20">
        <v>12</v>
      </c>
      <c r="G20" s="37" t="e">
        <f>LOOKUP(F20,#REF!,#REF!)</f>
        <v>#REF!</v>
      </c>
      <c r="H20" s="44" t="e">
        <f>((F20-#REF!)/#REF!)*20+100</f>
        <v>#REF!</v>
      </c>
      <c r="I20">
        <v>45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109</v>
      </c>
      <c r="M20" s="45" t="e">
        <f t="shared" si="3"/>
        <v>#REF!</v>
      </c>
      <c r="N20" s="34">
        <f t="shared" si="4"/>
        <v>32</v>
      </c>
      <c r="O20">
        <v>20</v>
      </c>
      <c r="P20">
        <v>26</v>
      </c>
      <c r="Q20" s="36">
        <f t="shared" si="5"/>
        <v>46</v>
      </c>
      <c r="R20" s="35">
        <f t="shared" si="0"/>
        <v>155</v>
      </c>
      <c r="S20" s="35">
        <f t="shared" si="1"/>
        <v>31</v>
      </c>
      <c r="T20" s="4"/>
      <c r="U20" s="17">
        <v>240</v>
      </c>
      <c r="V20" s="9">
        <f>FREQUENCY($R$4:$R$39,W19:W39)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63</v>
      </c>
      <c r="C21">
        <v>70</v>
      </c>
      <c r="D21" s="37" t="e">
        <f>LOOKUP(C21,#REF!,#REF!)</f>
        <v>#REF!</v>
      </c>
      <c r="E21" s="44" t="e">
        <f>((C21-#REF!)/#REF!)*20+100</f>
        <v>#REF!</v>
      </c>
      <c r="F21">
        <v>35</v>
      </c>
      <c r="G21" s="37" t="e">
        <f>LOOKUP(F21,#REF!,#REF!)</f>
        <v>#REF!</v>
      </c>
      <c r="H21" s="44" t="e">
        <f>((F21-#REF!)/#REF!)*20+100</f>
        <v>#REF!</v>
      </c>
      <c r="I21">
        <v>37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142</v>
      </c>
      <c r="M21" s="45" t="e">
        <f t="shared" si="3"/>
        <v>#REF!</v>
      </c>
      <c r="N21" s="34">
        <f t="shared" si="4"/>
        <v>29</v>
      </c>
      <c r="O21">
        <v>12</v>
      </c>
      <c r="P21">
        <v>18</v>
      </c>
      <c r="Q21" s="36">
        <f t="shared" si="5"/>
        <v>30</v>
      </c>
      <c r="R21" s="35">
        <f t="shared" si="0"/>
        <v>172</v>
      </c>
      <c r="S21" s="35">
        <f t="shared" si="1"/>
        <v>29</v>
      </c>
      <c r="T21" s="4"/>
      <c r="U21" s="18">
        <v>230</v>
      </c>
      <c r="V21" s="9">
        <f t="shared" ref="V21:V26" si="7">FREQUENCY($R$4:$R$39,W20:W39)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64</v>
      </c>
      <c r="C22">
        <v>83</v>
      </c>
      <c r="D22" s="37" t="e">
        <f>LOOKUP(C22,#REF!,#REF!)</f>
        <v>#REF!</v>
      </c>
      <c r="E22" s="44" t="e">
        <f>((C22-#REF!)/#REF!)*20+100</f>
        <v>#REF!</v>
      </c>
      <c r="F22">
        <v>27</v>
      </c>
      <c r="G22" s="37" t="e">
        <f>LOOKUP(F22,#REF!,#REF!)</f>
        <v>#REF!</v>
      </c>
      <c r="H22" s="44" t="e">
        <f>((F22-#REF!)/#REF!)*20+100</f>
        <v>#REF!</v>
      </c>
      <c r="I22">
        <v>77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187</v>
      </c>
      <c r="M22" s="45" t="e">
        <f t="shared" si="3"/>
        <v>#REF!</v>
      </c>
      <c r="N22" s="34">
        <f t="shared" si="4"/>
        <v>22</v>
      </c>
      <c r="O22">
        <v>13</v>
      </c>
      <c r="P22">
        <v>23</v>
      </c>
      <c r="Q22" s="36">
        <f t="shared" si="5"/>
        <v>36</v>
      </c>
      <c r="R22" s="35">
        <f t="shared" si="0"/>
        <v>223</v>
      </c>
      <c r="S22" s="35">
        <f t="shared" si="1"/>
        <v>23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65</v>
      </c>
      <c r="C23">
        <v>77</v>
      </c>
      <c r="D23" s="37" t="e">
        <f>LOOKUP(C23,#REF!,#REF!)</f>
        <v>#REF!</v>
      </c>
      <c r="E23" s="44" t="e">
        <f>((C23-#REF!)/#REF!)*20+100</f>
        <v>#REF!</v>
      </c>
      <c r="F23">
        <v>31</v>
      </c>
      <c r="G23" s="37" t="e">
        <f>LOOKUP(F23,#REF!,#REF!)</f>
        <v>#REF!</v>
      </c>
      <c r="H23" s="44" t="e">
        <f>((F23-#REF!)/#REF!)*20+100</f>
        <v>#REF!</v>
      </c>
      <c r="I23">
        <v>83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191</v>
      </c>
      <c r="M23" s="45" t="e">
        <f t="shared" si="3"/>
        <v>#REF!</v>
      </c>
      <c r="N23" s="34">
        <f t="shared" si="4"/>
        <v>21</v>
      </c>
      <c r="O23">
        <v>23</v>
      </c>
      <c r="P23">
        <v>25</v>
      </c>
      <c r="Q23" s="36">
        <f t="shared" si="5"/>
        <v>48</v>
      </c>
      <c r="R23" s="35">
        <f t="shared" si="0"/>
        <v>239</v>
      </c>
      <c r="S23" s="35">
        <f t="shared" si="1"/>
        <v>21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66</v>
      </c>
      <c r="C24">
        <v>38</v>
      </c>
      <c r="D24" s="37" t="e">
        <f>LOOKUP(C24,#REF!,#REF!)</f>
        <v>#REF!</v>
      </c>
      <c r="E24" s="44" t="e">
        <f>((C24-#REF!)/#REF!)*20+100</f>
        <v>#REF!</v>
      </c>
      <c r="F24">
        <v>14</v>
      </c>
      <c r="G24" s="37" t="e">
        <f>LOOKUP(F24,#REF!,#REF!)</f>
        <v>#REF!</v>
      </c>
      <c r="H24" s="44" t="e">
        <f>((F24-#REF!)/#REF!)*20+100</f>
        <v>#REF!</v>
      </c>
      <c r="I24">
        <v>41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93</v>
      </c>
      <c r="M24" s="45" t="e">
        <f t="shared" si="3"/>
        <v>#REF!</v>
      </c>
      <c r="N24" s="34">
        <f t="shared" si="4"/>
        <v>34</v>
      </c>
      <c r="O24">
        <v>12</v>
      </c>
      <c r="P24">
        <v>17</v>
      </c>
      <c r="Q24" s="36">
        <f t="shared" si="5"/>
        <v>29</v>
      </c>
      <c r="R24" s="35">
        <f t="shared" si="0"/>
        <v>122</v>
      </c>
      <c r="S24" s="35">
        <f t="shared" si="1"/>
        <v>35</v>
      </c>
      <c r="T24" s="4"/>
      <c r="U24" s="19">
        <v>200</v>
      </c>
      <c r="V24" s="9">
        <f t="shared" si="7"/>
        <v>1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67</v>
      </c>
      <c r="C25">
        <v>87</v>
      </c>
      <c r="D25" s="37" t="e">
        <f>LOOKUP(C25,#REF!,#REF!)</f>
        <v>#REF!</v>
      </c>
      <c r="E25" s="44" t="e">
        <f>((C25-#REF!)/#REF!)*20+100</f>
        <v>#REF!</v>
      </c>
      <c r="F25">
        <v>80</v>
      </c>
      <c r="G25" s="37" t="e">
        <f>LOOKUP(F25,#REF!,#REF!)</f>
        <v>#REF!</v>
      </c>
      <c r="H25" s="44" t="e">
        <f>((F25-#REF!)/#REF!)*20+100</f>
        <v>#REF!</v>
      </c>
      <c r="I25">
        <v>75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242</v>
      </c>
      <c r="M25" s="45" t="e">
        <f t="shared" si="3"/>
        <v>#REF!</v>
      </c>
      <c r="N25" s="34">
        <f t="shared" si="4"/>
        <v>8</v>
      </c>
      <c r="O25">
        <v>20</v>
      </c>
      <c r="P25">
        <v>38</v>
      </c>
      <c r="Q25" s="36">
        <f t="shared" si="5"/>
        <v>58</v>
      </c>
      <c r="R25" s="35">
        <f t="shared" si="0"/>
        <v>300</v>
      </c>
      <c r="S25" s="35">
        <f t="shared" si="1"/>
        <v>7</v>
      </c>
      <c r="T25" s="4"/>
      <c r="U25" s="20">
        <v>190</v>
      </c>
      <c r="V25" s="9">
        <f t="shared" si="7"/>
        <v>2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68</v>
      </c>
      <c r="C26">
        <v>90</v>
      </c>
      <c r="D26" s="37" t="e">
        <f>LOOKUP(C26,#REF!,#REF!)</f>
        <v>#REF!</v>
      </c>
      <c r="E26" s="44" t="e">
        <f>((C26-#REF!)/#REF!)*20+100</f>
        <v>#REF!</v>
      </c>
      <c r="F26">
        <v>46</v>
      </c>
      <c r="G26" s="37" t="e">
        <f>LOOKUP(F26,#REF!,#REF!)</f>
        <v>#REF!</v>
      </c>
      <c r="H26" s="44" t="e">
        <f>((F26-#REF!)/#REF!)*20+100</f>
        <v>#REF!</v>
      </c>
      <c r="I26">
        <v>87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223</v>
      </c>
      <c r="M26" s="45" t="e">
        <f t="shared" si="3"/>
        <v>#REF!</v>
      </c>
      <c r="N26" s="34">
        <f t="shared" si="4"/>
        <v>12</v>
      </c>
      <c r="O26">
        <v>37</v>
      </c>
      <c r="P26">
        <v>15</v>
      </c>
      <c r="Q26" s="36">
        <f t="shared" si="5"/>
        <v>52</v>
      </c>
      <c r="R26" s="35">
        <f t="shared" si="0"/>
        <v>275</v>
      </c>
      <c r="S26" s="35">
        <f t="shared" si="1"/>
        <v>12</v>
      </c>
      <c r="T26" s="4"/>
      <c r="U26" s="21" t="s">
        <v>20</v>
      </c>
      <c r="V26" s="9">
        <f t="shared" si="7"/>
        <v>10</v>
      </c>
    </row>
    <row r="27" spans="1:23" s="7" customFormat="1" ht="17.100000000000001" customHeight="1" x14ac:dyDescent="0.15">
      <c r="A27" s="40">
        <v>24</v>
      </c>
      <c r="B27" s="72" t="s">
        <v>69</v>
      </c>
      <c r="C27">
        <v>89</v>
      </c>
      <c r="D27" s="37" t="e">
        <f>LOOKUP(C27,#REF!,#REF!)</f>
        <v>#REF!</v>
      </c>
      <c r="E27" s="44" t="e">
        <f>((C27-#REF!)/#REF!)*20+100</f>
        <v>#REF!</v>
      </c>
      <c r="F27">
        <v>55</v>
      </c>
      <c r="G27" s="37" t="e">
        <f>LOOKUP(F27,#REF!,#REF!)</f>
        <v>#REF!</v>
      </c>
      <c r="H27" s="44" t="e">
        <f>((F27-#REF!)/#REF!)*20+100</f>
        <v>#REF!</v>
      </c>
      <c r="I27">
        <v>85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229</v>
      </c>
      <c r="M27" s="45" t="e">
        <f t="shared" si="3"/>
        <v>#REF!</v>
      </c>
      <c r="N27" s="34">
        <f t="shared" si="4"/>
        <v>10</v>
      </c>
      <c r="O27">
        <v>25</v>
      </c>
      <c r="P27">
        <v>20</v>
      </c>
      <c r="Q27" s="36">
        <f t="shared" si="5"/>
        <v>45</v>
      </c>
      <c r="R27" s="35">
        <f t="shared" si="0"/>
        <v>274</v>
      </c>
      <c r="S27" s="35">
        <f t="shared" si="1"/>
        <v>13</v>
      </c>
      <c r="T27" s="4"/>
      <c r="U27" s="311" t="s">
        <v>9</v>
      </c>
      <c r="V27" s="313">
        <f>SUM(V4:V26)</f>
        <v>36</v>
      </c>
    </row>
    <row r="28" spans="1:23" s="7" customFormat="1" ht="17.100000000000001" customHeight="1" thickBot="1" x14ac:dyDescent="0.2">
      <c r="A28" s="40">
        <v>25</v>
      </c>
      <c r="B28" s="72" t="s">
        <v>70</v>
      </c>
      <c r="C28">
        <v>96</v>
      </c>
      <c r="D28" s="37" t="e">
        <f>LOOKUP(C28,#REF!,#REF!)</f>
        <v>#REF!</v>
      </c>
      <c r="E28" s="44" t="e">
        <f>((C28-#REF!)/#REF!)*20+100</f>
        <v>#REF!</v>
      </c>
      <c r="F28">
        <v>46</v>
      </c>
      <c r="G28" s="37" t="e">
        <f>LOOKUP(F28,#REF!,#REF!)</f>
        <v>#REF!</v>
      </c>
      <c r="H28" s="44" t="e">
        <f>((F28-#REF!)/#REF!)*20+100</f>
        <v>#REF!</v>
      </c>
      <c r="I28">
        <v>70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212</v>
      </c>
      <c r="M28" s="45" t="e">
        <f t="shared" si="3"/>
        <v>#REF!</v>
      </c>
      <c r="N28" s="34">
        <f t="shared" si="4"/>
        <v>13</v>
      </c>
      <c r="O28">
        <v>35</v>
      </c>
      <c r="P28">
        <v>45</v>
      </c>
      <c r="Q28" s="36">
        <f t="shared" si="5"/>
        <v>80</v>
      </c>
      <c r="R28" s="35">
        <f t="shared" si="0"/>
        <v>292</v>
      </c>
      <c r="S28" s="35">
        <f t="shared" si="1"/>
        <v>9</v>
      </c>
      <c r="T28" s="4"/>
      <c r="U28" s="312"/>
      <c r="V28" s="314"/>
    </row>
    <row r="29" spans="1:23" s="7" customFormat="1" ht="17.100000000000001" customHeight="1" thickBot="1" x14ac:dyDescent="0.2">
      <c r="A29" s="40">
        <v>26</v>
      </c>
      <c r="B29" s="72" t="s">
        <v>30</v>
      </c>
      <c r="C29" s="98">
        <v>84</v>
      </c>
      <c r="D29" s="37">
        <f>LOOKUP(C29,예상등급!$A$5:$A$13,예상등급!$B$5:$B$13)</f>
        <v>1</v>
      </c>
      <c r="E29" s="44" t="e">
        <f>((C29-예상등급!#REF!)/예상등급!#REF!)*20+100</f>
        <v>#REF!</v>
      </c>
      <c r="F29" s="98">
        <v>78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85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247</v>
      </c>
      <c r="M29" s="45" t="e">
        <f t="shared" si="3"/>
        <v>#REF!</v>
      </c>
      <c r="N29" s="34">
        <f t="shared" si="4"/>
        <v>7</v>
      </c>
      <c r="O29">
        <v>30</v>
      </c>
      <c r="P29">
        <v>24</v>
      </c>
      <c r="Q29" s="36">
        <f t="shared" si="5"/>
        <v>54</v>
      </c>
      <c r="R29" s="35">
        <f t="shared" si="0"/>
        <v>301</v>
      </c>
      <c r="S29" s="35">
        <f t="shared" si="1"/>
        <v>6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71</v>
      </c>
      <c r="C30">
        <v>97</v>
      </c>
      <c r="D30" s="37" t="e">
        <f>LOOKUP(C30,#REF!,#REF!)</f>
        <v>#REF!</v>
      </c>
      <c r="E30" s="44" t="e">
        <f>((C30-#REF!)/#REF!)*20+100</f>
        <v>#REF!</v>
      </c>
      <c r="F30">
        <v>59</v>
      </c>
      <c r="G30" s="37" t="e">
        <f>LOOKUP(F30,#REF!,#REF!)</f>
        <v>#REF!</v>
      </c>
      <c r="H30" s="44" t="e">
        <f>((F30-#REF!)/#REF!)*20+100</f>
        <v>#REF!</v>
      </c>
      <c r="I30">
        <v>94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250</v>
      </c>
      <c r="M30" s="45" t="e">
        <f t="shared" si="3"/>
        <v>#REF!</v>
      </c>
      <c r="N30" s="34">
        <f t="shared" si="4"/>
        <v>6</v>
      </c>
      <c r="O30">
        <v>25</v>
      </c>
      <c r="P30">
        <v>22</v>
      </c>
      <c r="Q30" s="36">
        <f t="shared" si="5"/>
        <v>47</v>
      </c>
      <c r="R30" s="35">
        <f t="shared" si="0"/>
        <v>297</v>
      </c>
      <c r="S30" s="35">
        <f t="shared" si="1"/>
        <v>8</v>
      </c>
      <c r="T30" s="4"/>
      <c r="U30" s="315" t="s">
        <v>10</v>
      </c>
      <c r="V30" s="316"/>
    </row>
    <row r="31" spans="1:23" s="7" customFormat="1" ht="17.100000000000001" customHeight="1" x14ac:dyDescent="0.15">
      <c r="A31" s="40">
        <v>28</v>
      </c>
      <c r="B31" s="72" t="s">
        <v>72</v>
      </c>
      <c r="C31">
        <v>98</v>
      </c>
      <c r="D31" s="37" t="e">
        <f>LOOKUP(C31,#REF!,#REF!)</f>
        <v>#REF!</v>
      </c>
      <c r="E31" s="44" t="e">
        <f>((C31-#REF!)/#REF!)*20+100</f>
        <v>#REF!</v>
      </c>
      <c r="F31">
        <v>80</v>
      </c>
      <c r="G31" s="37" t="e">
        <f>LOOKUP(F31,#REF!,#REF!)</f>
        <v>#REF!</v>
      </c>
      <c r="H31" s="44" t="e">
        <f>((F31-#REF!)/#REF!)*20+100</f>
        <v>#REF!</v>
      </c>
      <c r="I31">
        <v>91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269</v>
      </c>
      <c r="M31" s="45" t="e">
        <f t="shared" si="3"/>
        <v>#REF!</v>
      </c>
      <c r="N31" s="34">
        <f t="shared" si="4"/>
        <v>3</v>
      </c>
      <c r="O31">
        <v>44</v>
      </c>
      <c r="P31">
        <v>47</v>
      </c>
      <c r="Q31" s="36">
        <f t="shared" si="5"/>
        <v>91</v>
      </c>
      <c r="R31" s="35">
        <f t="shared" si="0"/>
        <v>360</v>
      </c>
      <c r="S31" s="35">
        <f t="shared" si="1"/>
        <v>3</v>
      </c>
      <c r="T31" s="4"/>
      <c r="U31" s="317">
        <f>MAX(R4:R39)</f>
        <v>370</v>
      </c>
      <c r="V31" s="318"/>
    </row>
    <row r="32" spans="1:23" s="7" customFormat="1" ht="17.100000000000001" customHeight="1" thickBot="1" x14ac:dyDescent="0.2">
      <c r="A32" s="40">
        <v>29</v>
      </c>
      <c r="B32" s="72" t="s">
        <v>73</v>
      </c>
      <c r="C32">
        <v>22</v>
      </c>
      <c r="D32" s="37" t="e">
        <f>LOOKUP(C32,#REF!,#REF!)</f>
        <v>#REF!</v>
      </c>
      <c r="E32" s="44" t="e">
        <f>((C32-#REF!)/#REF!)*20+100</f>
        <v>#REF!</v>
      </c>
      <c r="F32">
        <v>12</v>
      </c>
      <c r="G32" s="37" t="e">
        <f>LOOKUP(F32,#REF!,#REF!)</f>
        <v>#REF!</v>
      </c>
      <c r="H32" s="44" t="e">
        <f>((F32-#REF!)/#REF!)*20+100</f>
        <v>#REF!</v>
      </c>
      <c r="I32">
        <v>57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91</v>
      </c>
      <c r="M32" s="45" t="e">
        <f t="shared" si="3"/>
        <v>#REF!</v>
      </c>
      <c r="N32" s="34">
        <f t="shared" si="4"/>
        <v>35</v>
      </c>
      <c r="O32">
        <v>41</v>
      </c>
      <c r="P32">
        <v>18</v>
      </c>
      <c r="Q32" s="36">
        <f t="shared" si="5"/>
        <v>59</v>
      </c>
      <c r="R32" s="35">
        <f t="shared" si="0"/>
        <v>150</v>
      </c>
      <c r="S32" s="35">
        <f t="shared" si="1"/>
        <v>33</v>
      </c>
      <c r="T32" s="4"/>
      <c r="U32" s="319"/>
      <c r="V32" s="320"/>
    </row>
    <row r="33" spans="1:22" s="7" customFormat="1" ht="17.100000000000001" customHeight="1" x14ac:dyDescent="0.15">
      <c r="A33" s="40">
        <v>30</v>
      </c>
      <c r="B33" s="72" t="s">
        <v>74</v>
      </c>
      <c r="C33">
        <v>75</v>
      </c>
      <c r="D33" s="37" t="e">
        <f>LOOKUP(C33,#REF!,#REF!)</f>
        <v>#REF!</v>
      </c>
      <c r="E33" s="44" t="e">
        <f>((C33-#REF!)/#REF!)*20+100</f>
        <v>#REF!</v>
      </c>
      <c r="F33">
        <v>7</v>
      </c>
      <c r="G33" s="37" t="e">
        <f>LOOKUP(F33,#REF!,#REF!)</f>
        <v>#REF!</v>
      </c>
      <c r="H33" s="44" t="e">
        <f>((F33-#REF!)/#REF!)*20+100</f>
        <v>#REF!</v>
      </c>
      <c r="I33">
        <v>56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138</v>
      </c>
      <c r="M33" s="45" t="e">
        <f t="shared" si="3"/>
        <v>#REF!</v>
      </c>
      <c r="N33" s="34">
        <f t="shared" si="4"/>
        <v>30</v>
      </c>
      <c r="O33">
        <v>4</v>
      </c>
      <c r="P33">
        <v>9</v>
      </c>
      <c r="Q33" s="36">
        <f t="shared" si="5"/>
        <v>13</v>
      </c>
      <c r="R33" s="35">
        <f t="shared" si="0"/>
        <v>151</v>
      </c>
      <c r="S33" s="35">
        <f t="shared" si="1"/>
        <v>32</v>
      </c>
      <c r="T33" s="4"/>
      <c r="U33" s="315" t="s">
        <v>11</v>
      </c>
      <c r="V33" s="316"/>
    </row>
    <row r="34" spans="1:22" s="7" customFormat="1" ht="17.100000000000001" customHeight="1" x14ac:dyDescent="0.15">
      <c r="A34" s="40">
        <v>31</v>
      </c>
      <c r="B34" s="71" t="s">
        <v>75</v>
      </c>
      <c r="C34">
        <v>69</v>
      </c>
      <c r="D34" s="37" t="e">
        <f>LOOKUP(C34,#REF!,#REF!)</f>
        <v>#REF!</v>
      </c>
      <c r="E34" s="44" t="e">
        <f>((C34-#REF!)/#REF!)*20+100</f>
        <v>#REF!</v>
      </c>
      <c r="F34" s="98">
        <v>40</v>
      </c>
      <c r="G34" s="37">
        <f>LOOKUP(F34,예상등급!$D$19:$D$27,예상등급!$E$19:$E$27)</f>
        <v>1</v>
      </c>
      <c r="H34" s="44" t="e">
        <f>((F34-예상등급!#REF!)/예상등급!#REF!)*20+100</f>
        <v>#REF!</v>
      </c>
      <c r="I34">
        <v>39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148</v>
      </c>
      <c r="M34" s="45" t="e">
        <f t="shared" si="3"/>
        <v>#REF!</v>
      </c>
      <c r="N34" s="34">
        <f t="shared" si="4"/>
        <v>28</v>
      </c>
      <c r="O34">
        <v>7</v>
      </c>
      <c r="P34">
        <v>19</v>
      </c>
      <c r="Q34" s="36">
        <f t="shared" si="5"/>
        <v>26</v>
      </c>
      <c r="R34" s="35">
        <f t="shared" si="0"/>
        <v>174</v>
      </c>
      <c r="S34" s="35">
        <f t="shared" si="1"/>
        <v>28</v>
      </c>
      <c r="T34" s="4"/>
      <c r="U34" s="321">
        <f>MIN(R4:R39)</f>
        <v>115</v>
      </c>
      <c r="V34" s="322"/>
    </row>
    <row r="35" spans="1:22" s="7" customFormat="1" ht="17.100000000000001" customHeight="1" thickBot="1" x14ac:dyDescent="0.2">
      <c r="A35" s="40">
        <v>32</v>
      </c>
      <c r="B35" s="71" t="s">
        <v>76</v>
      </c>
      <c r="C35">
        <v>97</v>
      </c>
      <c r="D35" s="37" t="e">
        <f>LOOKUP(C35,#REF!,#REF!)</f>
        <v>#REF!</v>
      </c>
      <c r="E35" s="44" t="e">
        <f>((C35-#REF!)/#REF!)*20+100</f>
        <v>#REF!</v>
      </c>
      <c r="F35">
        <v>32</v>
      </c>
      <c r="G35" s="37" t="e">
        <f>LOOKUP(F35,#REF!,#REF!)</f>
        <v>#REF!</v>
      </c>
      <c r="H35" s="44" t="e">
        <f>((F35-#REF!)/#REF!)*20+100</f>
        <v>#REF!</v>
      </c>
      <c r="I35">
        <v>70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199</v>
      </c>
      <c r="M35" s="45" t="e">
        <f t="shared" si="3"/>
        <v>#REF!</v>
      </c>
      <c r="N35" s="34">
        <f t="shared" si="4"/>
        <v>17</v>
      </c>
      <c r="O35">
        <v>8</v>
      </c>
      <c r="P35">
        <v>31</v>
      </c>
      <c r="Q35" s="36">
        <f t="shared" si="5"/>
        <v>39</v>
      </c>
      <c r="R35" s="35">
        <f t="shared" si="0"/>
        <v>238</v>
      </c>
      <c r="S35" s="35">
        <f t="shared" si="1"/>
        <v>22</v>
      </c>
      <c r="T35" s="4"/>
      <c r="U35" s="323"/>
      <c r="V35" s="324"/>
    </row>
    <row r="36" spans="1:22" s="7" customFormat="1" ht="17.100000000000001" customHeight="1" x14ac:dyDescent="0.15">
      <c r="A36" s="40">
        <v>33</v>
      </c>
      <c r="B36" s="71" t="s">
        <v>77</v>
      </c>
      <c r="C36">
        <v>20</v>
      </c>
      <c r="D36" s="37" t="e">
        <f>LOOKUP(C36,#REF!,#REF!)</f>
        <v>#REF!</v>
      </c>
      <c r="E36" s="44" t="e">
        <f>((C36-#REF!)/#REF!)*20+100</f>
        <v>#REF!</v>
      </c>
      <c r="F36">
        <v>25</v>
      </c>
      <c r="G36" s="37" t="e">
        <f>LOOKUP(F36,#REF!,#REF!)</f>
        <v>#REF!</v>
      </c>
      <c r="H36" s="44" t="e">
        <f>((F36-#REF!)/#REF!)*20+100</f>
        <v>#REF!</v>
      </c>
      <c r="I36">
        <v>74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119</v>
      </c>
      <c r="M36" s="45" t="e">
        <f t="shared" si="3"/>
        <v>#REF!</v>
      </c>
      <c r="N36" s="34">
        <f t="shared" si="4"/>
        <v>31</v>
      </c>
      <c r="O36">
        <v>24</v>
      </c>
      <c r="P36">
        <v>22</v>
      </c>
      <c r="Q36" s="36">
        <f t="shared" si="5"/>
        <v>46</v>
      </c>
      <c r="R36" s="35">
        <f t="shared" si="0"/>
        <v>165</v>
      </c>
      <c r="S36" s="35">
        <f t="shared" si="1"/>
        <v>30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78</v>
      </c>
      <c r="C37" s="98">
        <v>100</v>
      </c>
      <c r="D37" s="37">
        <f>LOOKUP(C37,예상등급!$A$5:$A$13,예상등급!$B$5:$B$13)</f>
        <v>1</v>
      </c>
      <c r="E37" s="44" t="e">
        <f>((C37-예상등급!#REF!)/예상등급!#REF!)*20+100</f>
        <v>#REF!</v>
      </c>
      <c r="F37" s="98">
        <v>96</v>
      </c>
      <c r="G37" s="37">
        <f>LOOKUP(F37,예상등급!$D$19:$D$27,예상등급!$E$19:$E$27)</f>
        <v>1</v>
      </c>
      <c r="H37" s="44" t="e">
        <f>((F37-예상등급!#REF!)/예상등급!#REF!)*20+100</f>
        <v>#REF!</v>
      </c>
      <c r="I37">
        <v>92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288</v>
      </c>
      <c r="M37" s="45" t="e">
        <f t="shared" si="3"/>
        <v>#REF!</v>
      </c>
      <c r="N37" s="34">
        <f t="shared" si="4"/>
        <v>1</v>
      </c>
      <c r="O37">
        <v>47</v>
      </c>
      <c r="P37">
        <v>31</v>
      </c>
      <c r="Q37" s="36">
        <f t="shared" si="5"/>
        <v>78</v>
      </c>
      <c r="R37" s="35">
        <f t="shared" si="0"/>
        <v>366</v>
      </c>
      <c r="S37" s="35">
        <f t="shared" si="1"/>
        <v>2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79</v>
      </c>
      <c r="C38">
        <v>100</v>
      </c>
      <c r="D38" s="37" t="e">
        <f>LOOKUP(C38,#REF!,#REF!)</f>
        <v>#REF!</v>
      </c>
      <c r="E38" s="44" t="e">
        <f>((C38-#REF!)/#REF!)*20+100</f>
        <v>#REF!</v>
      </c>
      <c r="F38">
        <v>74</v>
      </c>
      <c r="G38" s="37" t="e">
        <f>LOOKUP(F38,#REF!,#REF!)</f>
        <v>#REF!</v>
      </c>
      <c r="H38" s="44" t="e">
        <f>((F38-#REF!)/#REF!)*20+100</f>
        <v>#REF!</v>
      </c>
      <c r="I38">
        <v>91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265</v>
      </c>
      <c r="M38" s="45" t="e">
        <f>SUM(E38,H38,K38)</f>
        <v>#REF!</v>
      </c>
      <c r="N38" s="34">
        <f t="shared" si="4"/>
        <v>4</v>
      </c>
      <c r="O38">
        <v>50</v>
      </c>
      <c r="P38">
        <v>41</v>
      </c>
      <c r="Q38" s="36">
        <f t="shared" si="5"/>
        <v>91</v>
      </c>
      <c r="R38" s="35">
        <f t="shared" si="0"/>
        <v>356</v>
      </c>
      <c r="S38" s="35">
        <f t="shared" si="1"/>
        <v>4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80</v>
      </c>
      <c r="C39">
        <v>64</v>
      </c>
      <c r="D39" s="37" t="e">
        <f>LOOKUP(C39,#REF!,#REF!)</f>
        <v>#REF!</v>
      </c>
      <c r="E39" s="44" t="e">
        <f>((C39-#REF!)/#REF!)*20+100</f>
        <v>#REF!</v>
      </c>
      <c r="F39">
        <v>37</v>
      </c>
      <c r="G39" s="37" t="e">
        <f>LOOKUP(F39,#REF!,#REF!)</f>
        <v>#REF!</v>
      </c>
      <c r="H39" s="44" t="e">
        <f>((F39-#REF!)/#REF!)*20+100</f>
        <v>#REF!</v>
      </c>
      <c r="I39">
        <v>68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169</v>
      </c>
      <c r="M39" s="45" t="e">
        <f>SUM(E39,H39,K39)</f>
        <v>#REF!</v>
      </c>
      <c r="N39" s="34">
        <f t="shared" si="4"/>
        <v>26</v>
      </c>
      <c r="O39">
        <v>6</v>
      </c>
      <c r="P39">
        <v>22</v>
      </c>
      <c r="Q39" s="36">
        <f t="shared" si="5"/>
        <v>28</v>
      </c>
      <c r="R39" s="35">
        <f t="shared" si="0"/>
        <v>197</v>
      </c>
      <c r="S39" s="35">
        <f t="shared" si="1"/>
        <v>25</v>
      </c>
      <c r="T39" s="4"/>
      <c r="U39" s="47"/>
      <c r="V39" s="47"/>
    </row>
    <row r="40" spans="1:22" s="7" customFormat="1" ht="17.100000000000001" customHeight="1" x14ac:dyDescent="0.15">
      <c r="A40" s="304" t="s">
        <v>6</v>
      </c>
      <c r="B40" s="304"/>
      <c r="C40" s="41">
        <f>SUM(C4:C39)</f>
        <v>2805</v>
      </c>
      <c r="D40" s="41" t="e">
        <f t="shared" ref="D40:R40" si="8">SUM(D4:D39)</f>
        <v>#REF!</v>
      </c>
      <c r="E40" s="41" t="e">
        <f t="shared" si="8"/>
        <v>#REF!</v>
      </c>
      <c r="F40" s="41">
        <f t="shared" si="8"/>
        <v>1554</v>
      </c>
      <c r="G40" s="41" t="e">
        <f t="shared" si="8"/>
        <v>#REF!</v>
      </c>
      <c r="H40" s="41" t="e">
        <f t="shared" si="8"/>
        <v>#REF!</v>
      </c>
      <c r="I40" s="41">
        <f t="shared" si="8"/>
        <v>2513</v>
      </c>
      <c r="J40" s="41" t="e">
        <f t="shared" si="8"/>
        <v>#REF!</v>
      </c>
      <c r="K40" s="41" t="e">
        <f t="shared" si="8"/>
        <v>#REF!</v>
      </c>
      <c r="L40" s="41">
        <f t="shared" si="8"/>
        <v>6872</v>
      </c>
      <c r="M40" s="41" t="e">
        <f t="shared" si="8"/>
        <v>#REF!</v>
      </c>
      <c r="N40" s="41"/>
      <c r="O40" s="41">
        <f t="shared" si="8"/>
        <v>910</v>
      </c>
      <c r="P40" s="41">
        <f t="shared" si="8"/>
        <v>947</v>
      </c>
      <c r="Q40" s="41">
        <f t="shared" si="8"/>
        <v>1857</v>
      </c>
      <c r="R40" s="41">
        <f t="shared" si="8"/>
        <v>8729</v>
      </c>
      <c r="S40" s="41"/>
      <c r="T40" s="4"/>
      <c r="U40" s="47"/>
      <c r="V40" s="47"/>
    </row>
    <row r="41" spans="1:22" s="7" customFormat="1" ht="17.100000000000001" customHeight="1" x14ac:dyDescent="0.15">
      <c r="A41" s="304" t="s">
        <v>12</v>
      </c>
      <c r="B41" s="304"/>
      <c r="C41" s="41">
        <f>AVERAGE(C4:C39)</f>
        <v>77.916666666666671</v>
      </c>
      <c r="D41" s="41" t="e">
        <f t="shared" ref="D41:R41" si="9">AVERAGE(D4:D39)</f>
        <v>#REF!</v>
      </c>
      <c r="E41" s="41" t="e">
        <f t="shared" si="9"/>
        <v>#REF!</v>
      </c>
      <c r="F41" s="41">
        <f t="shared" si="9"/>
        <v>43.166666666666664</v>
      </c>
      <c r="G41" s="41" t="e">
        <f t="shared" si="9"/>
        <v>#REF!</v>
      </c>
      <c r="H41" s="41" t="e">
        <f t="shared" si="9"/>
        <v>#REF!</v>
      </c>
      <c r="I41" s="41">
        <f t="shared" si="9"/>
        <v>69.805555555555557</v>
      </c>
      <c r="J41" s="41" t="e">
        <f t="shared" si="9"/>
        <v>#REF!</v>
      </c>
      <c r="K41" s="41" t="e">
        <f t="shared" si="9"/>
        <v>#REF!</v>
      </c>
      <c r="L41" s="41">
        <f t="shared" si="9"/>
        <v>190.88888888888889</v>
      </c>
      <c r="M41" s="41" t="e">
        <f t="shared" si="9"/>
        <v>#REF!</v>
      </c>
      <c r="N41" s="41"/>
      <c r="O41" s="41">
        <f t="shared" si="9"/>
        <v>25.277777777777779</v>
      </c>
      <c r="P41" s="41">
        <f t="shared" si="9"/>
        <v>26.305555555555557</v>
      </c>
      <c r="Q41" s="41">
        <f t="shared" si="9"/>
        <v>51.583333333333336</v>
      </c>
      <c r="R41" s="41">
        <f t="shared" si="9"/>
        <v>242.47222222222223</v>
      </c>
      <c r="S41" s="41"/>
      <c r="T41" s="4"/>
      <c r="U41" s="47"/>
      <c r="V41" s="47"/>
    </row>
    <row r="42" spans="1:22" s="7" customFormat="1" ht="14.25" x14ac:dyDescent="0.15">
      <c r="T42" s="4"/>
      <c r="U42" s="47"/>
      <c r="V42" s="47"/>
    </row>
    <row r="43" spans="1:22" s="7" customFormat="1" ht="14.25" x14ac:dyDescent="0.15"/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ht="14.25" x14ac:dyDescent="0.1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</sheetData>
  <mergeCells count="13">
    <mergeCell ref="A41:B41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0:B40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0"/>
  <sheetViews>
    <sheetView topLeftCell="A7" zoomScaleNormal="100" workbookViewId="0">
      <selection activeCell="F26" sqref="F26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05" t="s">
        <v>336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</row>
    <row r="2" spans="1:23" ht="33.75" customHeight="1" thickBot="1" x14ac:dyDescent="0.2">
      <c r="A2" s="306" t="s">
        <v>344</v>
      </c>
      <c r="B2" s="306"/>
      <c r="C2" s="306"/>
      <c r="D2" s="306"/>
      <c r="E2" s="306"/>
      <c r="F2" s="306"/>
      <c r="G2" s="38"/>
      <c r="H2" s="38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08" t="s">
        <v>5</v>
      </c>
      <c r="P3" s="308"/>
      <c r="Q3" s="43" t="s">
        <v>15</v>
      </c>
      <c r="R3" s="70" t="s">
        <v>6</v>
      </c>
      <c r="S3" s="42" t="s">
        <v>7</v>
      </c>
      <c r="T3" s="2"/>
      <c r="U3" s="309" t="s">
        <v>8</v>
      </c>
      <c r="V3" s="310"/>
    </row>
    <row r="4" spans="1:23" s="7" customFormat="1" ht="17.100000000000001" customHeight="1" x14ac:dyDescent="0.15">
      <c r="A4" s="40">
        <v>1</v>
      </c>
      <c r="B4" s="71" t="s">
        <v>81</v>
      </c>
      <c r="C4">
        <v>98</v>
      </c>
      <c r="D4" s="37" t="e">
        <f>LOOKUP(C4,#REF!,#REF!)</f>
        <v>#REF!</v>
      </c>
      <c r="E4" s="44" t="e">
        <f>((C4-#REF!)/#REF!)*20+100</f>
        <v>#REF!</v>
      </c>
      <c r="F4">
        <v>88</v>
      </c>
      <c r="G4" s="37" t="e">
        <f>LOOKUP(F4,#REF!,#REF!)</f>
        <v>#REF!</v>
      </c>
      <c r="H4" s="44" t="e">
        <f>((F4-#REF!)/#REF!)*20+100</f>
        <v>#REF!</v>
      </c>
      <c r="I4">
        <v>92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278</v>
      </c>
      <c r="M4" s="45" t="e">
        <f>SUM(E4,H4,K4)</f>
        <v>#REF!</v>
      </c>
      <c r="N4" s="34">
        <f>RANK(L4,$L$4:$L$40)</f>
        <v>1</v>
      </c>
      <c r="O4">
        <v>47</v>
      </c>
      <c r="P4">
        <v>44</v>
      </c>
      <c r="Q4" s="36">
        <f>(SUM(O4:P4))</f>
        <v>91</v>
      </c>
      <c r="R4" s="35">
        <f t="shared" ref="R4:R40" si="0">SUM(L4,Q4)</f>
        <v>369</v>
      </c>
      <c r="S4" s="35">
        <f t="shared" ref="S4:S40" si="1">RANK(R4,$R$4:$R$40)</f>
        <v>1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82</v>
      </c>
      <c r="C5">
        <v>93</v>
      </c>
      <c r="D5" s="37" t="e">
        <f>LOOKUP(C5,#REF!,#REF!)</f>
        <v>#REF!</v>
      </c>
      <c r="E5" s="44" t="e">
        <f>((C5-#REF!)/#REF!)*20+100</f>
        <v>#REF!</v>
      </c>
      <c r="F5">
        <v>73</v>
      </c>
      <c r="G5" s="37" t="e">
        <f>LOOKUP(F5,#REF!,#REF!)</f>
        <v>#REF!</v>
      </c>
      <c r="H5" s="44" t="e">
        <f>((F5-#REF!)/#REF!)*20+100</f>
        <v>#REF!</v>
      </c>
      <c r="I5">
        <v>80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246</v>
      </c>
      <c r="M5" s="45" t="e">
        <f t="shared" ref="M5:M37" si="3">SUM(E5,H5,K5)</f>
        <v>#REF!</v>
      </c>
      <c r="N5" s="34">
        <f t="shared" ref="N5:N40" si="4">RANK(L5,$L$4:$L$40)</f>
        <v>6</v>
      </c>
      <c r="O5">
        <v>38</v>
      </c>
      <c r="P5">
        <v>42</v>
      </c>
      <c r="Q5" s="36">
        <f t="shared" ref="Q5:Q40" si="5">(SUM(O5:P5))</f>
        <v>80</v>
      </c>
      <c r="R5" s="35">
        <f t="shared" si="0"/>
        <v>326</v>
      </c>
      <c r="S5" s="35">
        <f t="shared" si="1"/>
        <v>4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83</v>
      </c>
      <c r="C6">
        <v>95</v>
      </c>
      <c r="D6" s="37" t="e">
        <f>LOOKUP(C6,#REF!,#REF!)</f>
        <v>#REF!</v>
      </c>
      <c r="E6" s="44" t="e">
        <f>((C6-#REF!)/#REF!)*20+100</f>
        <v>#REF!</v>
      </c>
      <c r="F6">
        <v>36</v>
      </c>
      <c r="G6" s="37" t="e">
        <f>LOOKUP(F6,#REF!,#REF!)</f>
        <v>#REF!</v>
      </c>
      <c r="H6" s="44" t="e">
        <f>((F6-#REF!)/#REF!)*20+100</f>
        <v>#REF!</v>
      </c>
      <c r="I6">
        <v>77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208</v>
      </c>
      <c r="M6" s="45" t="e">
        <f t="shared" si="3"/>
        <v>#REF!</v>
      </c>
      <c r="N6" s="34">
        <f t="shared" si="4"/>
        <v>14</v>
      </c>
      <c r="O6">
        <v>33</v>
      </c>
      <c r="P6">
        <v>31</v>
      </c>
      <c r="Q6" s="36">
        <f t="shared" si="5"/>
        <v>64</v>
      </c>
      <c r="R6" s="35">
        <f t="shared" si="0"/>
        <v>272</v>
      </c>
      <c r="S6" s="35">
        <f t="shared" si="1"/>
        <v>10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84</v>
      </c>
      <c r="C7">
        <v>97</v>
      </c>
      <c r="D7" s="37" t="e">
        <f>LOOKUP(C7,#REF!,#REF!)</f>
        <v>#REF!</v>
      </c>
      <c r="E7" s="44" t="e">
        <f>((C7-#REF!)/#REF!)*20+100</f>
        <v>#REF!</v>
      </c>
      <c r="F7">
        <v>81</v>
      </c>
      <c r="G7" s="37" t="e">
        <f>LOOKUP(F7,#REF!,#REF!)</f>
        <v>#REF!</v>
      </c>
      <c r="H7" s="44" t="e">
        <f>((F7-#REF!)/#REF!)*20+100</f>
        <v>#REF!</v>
      </c>
      <c r="I7">
        <v>94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272</v>
      </c>
      <c r="M7" s="45" t="e">
        <f t="shared" si="3"/>
        <v>#REF!</v>
      </c>
      <c r="N7" s="34">
        <f t="shared" si="4"/>
        <v>2</v>
      </c>
      <c r="O7">
        <v>36</v>
      </c>
      <c r="P7">
        <v>46</v>
      </c>
      <c r="Q7" s="36">
        <f t="shared" si="5"/>
        <v>82</v>
      </c>
      <c r="R7" s="35">
        <f t="shared" si="0"/>
        <v>354</v>
      </c>
      <c r="S7" s="35">
        <f t="shared" si="1"/>
        <v>2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85</v>
      </c>
      <c r="C8">
        <v>20</v>
      </c>
      <c r="D8" s="37" t="e">
        <f>LOOKUP(C8,#REF!,#REF!)</f>
        <v>#REF!</v>
      </c>
      <c r="E8" s="44" t="e">
        <f>((C8-#REF!)/#REF!)*20+100</f>
        <v>#REF!</v>
      </c>
      <c r="F8">
        <v>44</v>
      </c>
      <c r="G8" s="37" t="e">
        <f>LOOKUP(F8,#REF!,#REF!)</f>
        <v>#REF!</v>
      </c>
      <c r="H8" s="44" t="e">
        <f>((F8-#REF!)/#REF!)*20+100</f>
        <v>#REF!</v>
      </c>
      <c r="I8">
        <v>34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98</v>
      </c>
      <c r="M8" s="45" t="e">
        <f t="shared" si="3"/>
        <v>#REF!</v>
      </c>
      <c r="N8" s="34">
        <f t="shared" si="4"/>
        <v>32</v>
      </c>
      <c r="O8">
        <v>18</v>
      </c>
      <c r="P8">
        <v>6</v>
      </c>
      <c r="Q8" s="36">
        <f t="shared" si="5"/>
        <v>24</v>
      </c>
      <c r="R8" s="35">
        <f t="shared" si="0"/>
        <v>122</v>
      </c>
      <c r="S8" s="35">
        <f t="shared" si="1"/>
        <v>32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31</v>
      </c>
      <c r="C9">
        <v>71</v>
      </c>
      <c r="D9" s="37" t="e">
        <f>LOOKUP(C9,#REF!,#REF!)</f>
        <v>#REF!</v>
      </c>
      <c r="E9" s="44" t="e">
        <f>((C9-#REF!)/#REF!)*20+100</f>
        <v>#REF!</v>
      </c>
      <c r="F9">
        <v>38</v>
      </c>
      <c r="G9" s="37" t="e">
        <f>LOOKUP(F9,#REF!,#REF!)</f>
        <v>#REF!</v>
      </c>
      <c r="H9" s="44" t="e">
        <f>((F9-#REF!)/#REF!)*20+100</f>
        <v>#REF!</v>
      </c>
      <c r="I9">
        <v>47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156</v>
      </c>
      <c r="M9" s="45" t="e">
        <f t="shared" si="3"/>
        <v>#REF!</v>
      </c>
      <c r="N9" s="34">
        <f t="shared" si="4"/>
        <v>28</v>
      </c>
      <c r="O9">
        <v>37</v>
      </c>
      <c r="P9">
        <v>33</v>
      </c>
      <c r="Q9" s="36">
        <f t="shared" si="5"/>
        <v>70</v>
      </c>
      <c r="R9" s="35">
        <f t="shared" si="0"/>
        <v>226</v>
      </c>
      <c r="S9" s="35">
        <f t="shared" si="1"/>
        <v>22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86</v>
      </c>
      <c r="C10">
        <v>84</v>
      </c>
      <c r="D10" s="37" t="e">
        <f>LOOKUP(C10,#REF!,#REF!)</f>
        <v>#REF!</v>
      </c>
      <c r="E10" s="44" t="e">
        <f>((C10-#REF!)/#REF!)*20+100</f>
        <v>#REF!</v>
      </c>
      <c r="F10">
        <v>51</v>
      </c>
      <c r="G10" s="37" t="e">
        <f>LOOKUP(F10,#REF!,#REF!)</f>
        <v>#REF!</v>
      </c>
      <c r="H10" s="44" t="e">
        <f>((F10-#REF!)/#REF!)*20+100</f>
        <v>#REF!</v>
      </c>
      <c r="I10">
        <v>82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217</v>
      </c>
      <c r="M10" s="45" t="e">
        <f t="shared" si="3"/>
        <v>#REF!</v>
      </c>
      <c r="N10" s="34">
        <f t="shared" si="4"/>
        <v>11</v>
      </c>
      <c r="O10">
        <v>20</v>
      </c>
      <c r="P10">
        <v>18</v>
      </c>
      <c r="Q10" s="36">
        <f t="shared" si="5"/>
        <v>38</v>
      </c>
      <c r="R10" s="35">
        <f t="shared" si="0"/>
        <v>255</v>
      </c>
      <c r="S10" s="35">
        <f t="shared" si="1"/>
        <v>16</v>
      </c>
      <c r="T10" s="4"/>
      <c r="U10" s="11">
        <v>340</v>
      </c>
      <c r="V10" s="9">
        <f t="shared" si="6"/>
        <v>1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87</v>
      </c>
      <c r="C11">
        <v>75</v>
      </c>
      <c r="D11" s="37" t="e">
        <f>LOOKUP(C11,#REF!,#REF!)</f>
        <v>#REF!</v>
      </c>
      <c r="E11" s="44" t="e">
        <f>((C11-#REF!)/#REF!)*20+100</f>
        <v>#REF!</v>
      </c>
      <c r="F11">
        <v>30</v>
      </c>
      <c r="G11" s="37" t="e">
        <f>LOOKUP(F11,#REF!,#REF!)</f>
        <v>#REF!</v>
      </c>
      <c r="H11" s="44" t="e">
        <f>((F11-#REF!)/#REF!)*20+100</f>
        <v>#REF!</v>
      </c>
      <c r="I11">
        <v>81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186</v>
      </c>
      <c r="M11" s="45" t="e">
        <f t="shared" si="3"/>
        <v>#REF!</v>
      </c>
      <c r="N11" s="34">
        <f t="shared" si="4"/>
        <v>22</v>
      </c>
      <c r="O11">
        <v>16</v>
      </c>
      <c r="P11">
        <v>18</v>
      </c>
      <c r="Q11" s="36">
        <f t="shared" si="5"/>
        <v>34</v>
      </c>
      <c r="R11" s="35">
        <f t="shared" si="0"/>
        <v>220</v>
      </c>
      <c r="S11" s="35">
        <f t="shared" si="1"/>
        <v>25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88</v>
      </c>
      <c r="C12">
        <v>96</v>
      </c>
      <c r="D12" s="37" t="e">
        <f>LOOKUP(C12,#REF!,#REF!)</f>
        <v>#REF!</v>
      </c>
      <c r="E12" s="44" t="e">
        <f>((C12-#REF!)/#REF!)*20+100</f>
        <v>#REF!</v>
      </c>
      <c r="F12">
        <v>55</v>
      </c>
      <c r="G12" s="37" t="e">
        <f>LOOKUP(F12,#REF!,#REF!)</f>
        <v>#REF!</v>
      </c>
      <c r="H12" s="44" t="e">
        <f>((F12-#REF!)/#REF!)*20+100</f>
        <v>#REF!</v>
      </c>
      <c r="I12">
        <v>38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189</v>
      </c>
      <c r="M12" s="45" t="e">
        <f t="shared" si="3"/>
        <v>#REF!</v>
      </c>
      <c r="N12" s="34">
        <f t="shared" si="4"/>
        <v>21</v>
      </c>
      <c r="O12">
        <v>33</v>
      </c>
      <c r="P12">
        <v>27</v>
      </c>
      <c r="Q12" s="36">
        <f t="shared" si="5"/>
        <v>60</v>
      </c>
      <c r="R12" s="35">
        <f t="shared" si="0"/>
        <v>249</v>
      </c>
      <c r="S12" s="35">
        <f t="shared" si="1"/>
        <v>18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89</v>
      </c>
      <c r="C13">
        <v>80</v>
      </c>
      <c r="D13" s="37" t="e">
        <f>LOOKUP(C13,#REF!,#REF!)</f>
        <v>#REF!</v>
      </c>
      <c r="E13" s="44" t="e">
        <f>((C13-#REF!)/#REF!)*20+100</f>
        <v>#REF!</v>
      </c>
      <c r="F13">
        <v>38</v>
      </c>
      <c r="G13" s="37" t="e">
        <f>LOOKUP(F13,#REF!,#REF!)</f>
        <v>#REF!</v>
      </c>
      <c r="H13" s="44" t="e">
        <f>((F13-#REF!)/#REF!)*20+100</f>
        <v>#REF!</v>
      </c>
      <c r="I13">
        <v>47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165</v>
      </c>
      <c r="M13" s="45" t="e">
        <f t="shared" si="3"/>
        <v>#REF!</v>
      </c>
      <c r="N13" s="34">
        <f t="shared" si="4"/>
        <v>26</v>
      </c>
      <c r="O13">
        <v>28</v>
      </c>
      <c r="P13">
        <v>15</v>
      </c>
      <c r="Q13" s="36">
        <f t="shared" si="5"/>
        <v>43</v>
      </c>
      <c r="R13" s="35">
        <f t="shared" si="0"/>
        <v>208</v>
      </c>
      <c r="S13" s="35">
        <f t="shared" si="1"/>
        <v>28</v>
      </c>
      <c r="T13" s="4"/>
      <c r="U13" s="12">
        <v>310</v>
      </c>
      <c r="V13" s="9">
        <f t="shared" si="6"/>
        <v>1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90</v>
      </c>
      <c r="C14">
        <v>81</v>
      </c>
      <c r="D14" s="37" t="e">
        <f>LOOKUP(C14,#REF!,#REF!)</f>
        <v>#REF!</v>
      </c>
      <c r="E14" s="44" t="e">
        <f>((C14-#REF!)/#REF!)*20+100</f>
        <v>#REF!</v>
      </c>
      <c r="F14">
        <v>37</v>
      </c>
      <c r="G14" s="37" t="e">
        <f>LOOKUP(F14,#REF!,#REF!)</f>
        <v>#REF!</v>
      </c>
      <c r="H14" s="44" t="e">
        <f>((F14-#REF!)/#REF!)*20+100</f>
        <v>#REF!</v>
      </c>
      <c r="I14">
        <v>74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192</v>
      </c>
      <c r="M14" s="45" t="e">
        <f t="shared" si="3"/>
        <v>#REF!</v>
      </c>
      <c r="N14" s="34">
        <f t="shared" si="4"/>
        <v>18</v>
      </c>
      <c r="O14">
        <v>18</v>
      </c>
      <c r="P14">
        <v>21</v>
      </c>
      <c r="Q14" s="36">
        <f t="shared" si="5"/>
        <v>39</v>
      </c>
      <c r="R14" s="35">
        <f t="shared" si="0"/>
        <v>231</v>
      </c>
      <c r="S14" s="35">
        <f t="shared" si="1"/>
        <v>20</v>
      </c>
      <c r="T14" s="4"/>
      <c r="U14" s="13">
        <v>300</v>
      </c>
      <c r="V14" s="9">
        <f t="shared" si="6"/>
        <v>0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91</v>
      </c>
      <c r="C15">
        <v>57</v>
      </c>
      <c r="D15" s="37" t="e">
        <f>LOOKUP(C15,#REF!,#REF!)</f>
        <v>#REF!</v>
      </c>
      <c r="E15" s="44" t="e">
        <f>((C15-#REF!)/#REF!)*20+100</f>
        <v>#REF!</v>
      </c>
      <c r="F15">
        <v>29</v>
      </c>
      <c r="G15" s="37" t="e">
        <f>LOOKUP(F15,#REF!,#REF!)</f>
        <v>#REF!</v>
      </c>
      <c r="H15" s="44" t="e">
        <f>((F15-#REF!)/#REF!)*20+100</f>
        <v>#REF!</v>
      </c>
      <c r="I15">
        <v>86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172</v>
      </c>
      <c r="M15" s="45" t="e">
        <f t="shared" si="3"/>
        <v>#REF!</v>
      </c>
      <c r="N15" s="34">
        <f t="shared" si="4"/>
        <v>24</v>
      </c>
      <c r="O15">
        <v>21</v>
      </c>
      <c r="P15">
        <v>16</v>
      </c>
      <c r="Q15" s="36">
        <f t="shared" si="5"/>
        <v>37</v>
      </c>
      <c r="R15" s="35">
        <f t="shared" si="0"/>
        <v>209</v>
      </c>
      <c r="S15" s="35">
        <f t="shared" si="1"/>
        <v>27</v>
      </c>
      <c r="T15" s="4"/>
      <c r="U15" s="14">
        <v>290</v>
      </c>
      <c r="V15" s="9">
        <f t="shared" si="6"/>
        <v>3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92</v>
      </c>
      <c r="C16">
        <v>88</v>
      </c>
      <c r="D16" s="37" t="e">
        <f>LOOKUP(C16,#REF!,#REF!)</f>
        <v>#REF!</v>
      </c>
      <c r="E16" s="44" t="e">
        <f>((C16-#REF!)/#REF!)*20+100</f>
        <v>#REF!</v>
      </c>
      <c r="F16">
        <v>80</v>
      </c>
      <c r="G16" s="37" t="e">
        <f>LOOKUP(F16,#REF!,#REF!)</f>
        <v>#REF!</v>
      </c>
      <c r="H16" s="44" t="e">
        <f>((F16-#REF!)/#REF!)*20+100</f>
        <v>#REF!</v>
      </c>
      <c r="I16">
        <v>96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264</v>
      </c>
      <c r="M16" s="45" t="e">
        <f t="shared" si="3"/>
        <v>#REF!</v>
      </c>
      <c r="N16" s="34">
        <f t="shared" si="4"/>
        <v>3</v>
      </c>
      <c r="O16">
        <v>38</v>
      </c>
      <c r="P16">
        <v>44</v>
      </c>
      <c r="Q16" s="36">
        <f t="shared" si="5"/>
        <v>82</v>
      </c>
      <c r="R16" s="35">
        <f t="shared" si="0"/>
        <v>346</v>
      </c>
      <c r="S16" s="35">
        <f t="shared" si="1"/>
        <v>3</v>
      </c>
      <c r="T16" s="4"/>
      <c r="U16" s="15">
        <v>280</v>
      </c>
      <c r="V16" s="9">
        <f t="shared" si="6"/>
        <v>0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93</v>
      </c>
      <c r="C17">
        <v>98</v>
      </c>
      <c r="D17" s="37" t="e">
        <f>LOOKUP(C17,#REF!,#REF!)</f>
        <v>#REF!</v>
      </c>
      <c r="E17" s="44" t="e">
        <f>((C17-#REF!)/#REF!)*20+100</f>
        <v>#REF!</v>
      </c>
      <c r="F17">
        <v>36</v>
      </c>
      <c r="G17" s="37" t="e">
        <f>LOOKUP(F17,#REF!,#REF!)</f>
        <v>#REF!</v>
      </c>
      <c r="H17" s="44" t="e">
        <f>((F17-#REF!)/#REF!)*20+100</f>
        <v>#REF!</v>
      </c>
      <c r="I17">
        <v>82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216</v>
      </c>
      <c r="M17" s="45" t="e">
        <f t="shared" si="3"/>
        <v>#REF!</v>
      </c>
      <c r="N17" s="34">
        <f t="shared" si="4"/>
        <v>13</v>
      </c>
      <c r="O17">
        <v>24</v>
      </c>
      <c r="P17">
        <v>29</v>
      </c>
      <c r="Q17" s="36">
        <f t="shared" si="5"/>
        <v>53</v>
      </c>
      <c r="R17" s="35">
        <f t="shared" si="0"/>
        <v>269</v>
      </c>
      <c r="S17" s="35">
        <f t="shared" si="1"/>
        <v>11</v>
      </c>
      <c r="T17" s="4"/>
      <c r="U17" s="15">
        <v>270</v>
      </c>
      <c r="V17" s="9">
        <f t="shared" si="6"/>
        <v>1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94</v>
      </c>
      <c r="C18">
        <v>83</v>
      </c>
      <c r="D18" s="37" t="e">
        <f>LOOKUP(C18,#REF!,#REF!)</f>
        <v>#REF!</v>
      </c>
      <c r="E18" s="44" t="e">
        <f>((C18-#REF!)/#REF!)*20+100</f>
        <v>#REF!</v>
      </c>
      <c r="F18">
        <v>30</v>
      </c>
      <c r="G18" s="37" t="e">
        <f>LOOKUP(F18,#REF!,#REF!)</f>
        <v>#REF!</v>
      </c>
      <c r="H18" s="44" t="e">
        <f>((F18-#REF!)/#REF!)*20+100</f>
        <v>#REF!</v>
      </c>
      <c r="I18">
        <v>61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174</v>
      </c>
      <c r="M18" s="45" t="e">
        <f t="shared" si="3"/>
        <v>#REF!</v>
      </c>
      <c r="N18" s="34">
        <f t="shared" si="4"/>
        <v>23</v>
      </c>
      <c r="O18">
        <v>33</v>
      </c>
      <c r="P18">
        <v>15</v>
      </c>
      <c r="Q18" s="36">
        <f t="shared" si="5"/>
        <v>48</v>
      </c>
      <c r="R18" s="35">
        <f t="shared" si="0"/>
        <v>222</v>
      </c>
      <c r="S18" s="35">
        <f t="shared" si="1"/>
        <v>23</v>
      </c>
      <c r="T18" s="4"/>
      <c r="U18" s="15">
        <v>260</v>
      </c>
      <c r="V18" s="9">
        <f t="shared" si="6"/>
        <v>4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95</v>
      </c>
      <c r="C19">
        <v>34</v>
      </c>
      <c r="D19" s="37" t="e">
        <f>LOOKUP(C19,#REF!,#REF!)</f>
        <v>#REF!</v>
      </c>
      <c r="E19" s="44" t="e">
        <f>((C19-#REF!)/#REF!)*20+100</f>
        <v>#REF!</v>
      </c>
      <c r="F19">
        <v>15</v>
      </c>
      <c r="G19" s="37" t="e">
        <f>LOOKUP(F19,#REF!,#REF!)</f>
        <v>#REF!</v>
      </c>
      <c r="H19" s="44" t="e">
        <f>((F19-#REF!)/#REF!)*20+100</f>
        <v>#REF!</v>
      </c>
      <c r="I19">
        <v>28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77</v>
      </c>
      <c r="M19" s="45" t="e">
        <f t="shared" si="3"/>
        <v>#REF!</v>
      </c>
      <c r="N19" s="34">
        <f t="shared" si="4"/>
        <v>33</v>
      </c>
      <c r="O19">
        <v>11</v>
      </c>
      <c r="P19">
        <v>20</v>
      </c>
      <c r="Q19" s="36">
        <f t="shared" si="5"/>
        <v>31</v>
      </c>
      <c r="R19" s="35">
        <f t="shared" si="0"/>
        <v>108</v>
      </c>
      <c r="S19" s="35">
        <f t="shared" si="1"/>
        <v>33</v>
      </c>
      <c r="T19" s="4"/>
      <c r="U19" s="16">
        <v>250</v>
      </c>
      <c r="V19" s="9">
        <f>FREQUENCY($R$4:$R$40,W18:W40)</f>
        <v>3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96</v>
      </c>
      <c r="C20">
        <v>98</v>
      </c>
      <c r="D20" s="37" t="e">
        <f>LOOKUP(C20,#REF!,#REF!)</f>
        <v>#REF!</v>
      </c>
      <c r="E20" s="44" t="e">
        <f>((C20-#REF!)/#REF!)*20+100</f>
        <v>#REF!</v>
      </c>
      <c r="F20">
        <v>42</v>
      </c>
      <c r="G20" s="37" t="e">
        <f>LOOKUP(F20,#REF!,#REF!)</f>
        <v>#REF!</v>
      </c>
      <c r="H20" s="44" t="e">
        <f>((F20-#REF!)/#REF!)*20+100</f>
        <v>#REF!</v>
      </c>
      <c r="I20">
        <v>51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191</v>
      </c>
      <c r="M20" s="45" t="e">
        <f t="shared" si="3"/>
        <v>#REF!</v>
      </c>
      <c r="N20" s="34">
        <f t="shared" si="4"/>
        <v>19</v>
      </c>
      <c r="O20">
        <v>16</v>
      </c>
      <c r="P20">
        <v>24</v>
      </c>
      <c r="Q20" s="36">
        <f t="shared" si="5"/>
        <v>40</v>
      </c>
      <c r="R20" s="35">
        <f t="shared" si="0"/>
        <v>231</v>
      </c>
      <c r="S20" s="35">
        <f t="shared" si="1"/>
        <v>20</v>
      </c>
      <c r="T20" s="4"/>
      <c r="U20" s="17">
        <v>240</v>
      </c>
      <c r="V20" s="9">
        <f>FREQUENCY($R$4:$R$40,W19:W40)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97</v>
      </c>
      <c r="C21">
        <v>95</v>
      </c>
      <c r="D21" s="37" t="e">
        <f>LOOKUP(C21,#REF!,#REF!)</f>
        <v>#REF!</v>
      </c>
      <c r="E21" s="44" t="e">
        <f>((C21-#REF!)/#REF!)*20+100</f>
        <v>#REF!</v>
      </c>
      <c r="F21">
        <v>28</v>
      </c>
      <c r="G21" s="37" t="e">
        <f>LOOKUP(F21,#REF!,#REF!)</f>
        <v>#REF!</v>
      </c>
      <c r="H21" s="44" t="e">
        <f>((F21-#REF!)/#REF!)*20+100</f>
        <v>#REF!</v>
      </c>
      <c r="I21">
        <v>67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190</v>
      </c>
      <c r="M21" s="45" t="e">
        <f t="shared" si="3"/>
        <v>#REF!</v>
      </c>
      <c r="N21" s="34">
        <f t="shared" si="4"/>
        <v>20</v>
      </c>
      <c r="O21">
        <v>39</v>
      </c>
      <c r="P21">
        <v>35</v>
      </c>
      <c r="Q21" s="36">
        <f t="shared" si="5"/>
        <v>74</v>
      </c>
      <c r="R21" s="35">
        <f t="shared" si="0"/>
        <v>264</v>
      </c>
      <c r="S21" s="35">
        <f t="shared" si="1"/>
        <v>13</v>
      </c>
      <c r="T21" s="4"/>
      <c r="U21" s="18">
        <v>230</v>
      </c>
      <c r="V21" s="9">
        <f t="shared" ref="V21:V26" si="7">FREQUENCY($R$4:$R$40,W20:W40)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98</v>
      </c>
      <c r="C22">
        <v>75</v>
      </c>
      <c r="D22" s="37" t="e">
        <f>LOOKUP(C22,#REF!,#REF!)</f>
        <v>#REF!</v>
      </c>
      <c r="E22" s="44" t="e">
        <f>((C22-#REF!)/#REF!)*20+100</f>
        <v>#REF!</v>
      </c>
      <c r="F22">
        <v>30</v>
      </c>
      <c r="G22" s="37" t="e">
        <f>LOOKUP(F22,#REF!,#REF!)</f>
        <v>#REF!</v>
      </c>
      <c r="H22" s="44" t="e">
        <f>((F22-#REF!)/#REF!)*20+100</f>
        <v>#REF!</v>
      </c>
      <c r="I22">
        <v>51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156</v>
      </c>
      <c r="M22" s="45" t="e">
        <f t="shared" si="3"/>
        <v>#REF!</v>
      </c>
      <c r="N22" s="34">
        <f t="shared" si="4"/>
        <v>28</v>
      </c>
      <c r="O22">
        <v>41</v>
      </c>
      <c r="P22">
        <v>16</v>
      </c>
      <c r="Q22" s="36">
        <f t="shared" si="5"/>
        <v>57</v>
      </c>
      <c r="R22" s="35">
        <f t="shared" si="0"/>
        <v>213</v>
      </c>
      <c r="S22" s="35">
        <f t="shared" si="1"/>
        <v>26</v>
      </c>
      <c r="T22" s="4"/>
      <c r="U22" s="18">
        <v>220</v>
      </c>
      <c r="V22" s="9">
        <f t="shared" si="7"/>
        <v>4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99</v>
      </c>
      <c r="C23">
        <v>93</v>
      </c>
      <c r="D23" s="37" t="e">
        <f>LOOKUP(C23,#REF!,#REF!)</f>
        <v>#REF!</v>
      </c>
      <c r="E23" s="44" t="e">
        <f>((C23-#REF!)/#REF!)*20+100</f>
        <v>#REF!</v>
      </c>
      <c r="F23">
        <v>60</v>
      </c>
      <c r="G23" s="37" t="e">
        <f>LOOKUP(F23,#REF!,#REF!)</f>
        <v>#REF!</v>
      </c>
      <c r="H23" s="44" t="e">
        <f>((F23-#REF!)/#REF!)*20+100</f>
        <v>#REF!</v>
      </c>
      <c r="I23">
        <v>75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228</v>
      </c>
      <c r="M23" s="45" t="e">
        <f t="shared" si="3"/>
        <v>#REF!</v>
      </c>
      <c r="N23" s="34">
        <f t="shared" si="4"/>
        <v>8</v>
      </c>
      <c r="O23">
        <v>16</v>
      </c>
      <c r="P23">
        <v>12</v>
      </c>
      <c r="Q23" s="36">
        <f t="shared" si="5"/>
        <v>28</v>
      </c>
      <c r="R23" s="35">
        <f t="shared" si="0"/>
        <v>256</v>
      </c>
      <c r="S23" s="35">
        <f t="shared" si="1"/>
        <v>15</v>
      </c>
      <c r="T23" s="4"/>
      <c r="U23" s="18">
        <v>210</v>
      </c>
      <c r="V23" s="9">
        <f t="shared" si="7"/>
        <v>1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100</v>
      </c>
      <c r="C24">
        <v>92</v>
      </c>
      <c r="D24" s="37" t="e">
        <f>LOOKUP(C24,#REF!,#REF!)</f>
        <v>#REF!</v>
      </c>
      <c r="E24" s="44" t="e">
        <f>((C24-#REF!)/#REF!)*20+100</f>
        <v>#REF!</v>
      </c>
      <c r="F24">
        <v>78</v>
      </c>
      <c r="G24" s="37" t="e">
        <f>LOOKUP(F24,#REF!,#REF!)</f>
        <v>#REF!</v>
      </c>
      <c r="H24" s="44" t="e">
        <f>((F24-#REF!)/#REF!)*20+100</f>
        <v>#REF!</v>
      </c>
      <c r="I24">
        <v>77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247</v>
      </c>
      <c r="M24" s="45" t="e">
        <f t="shared" si="3"/>
        <v>#REF!</v>
      </c>
      <c r="N24" s="34">
        <f t="shared" si="4"/>
        <v>5</v>
      </c>
      <c r="O24">
        <v>30</v>
      </c>
      <c r="P24">
        <v>41</v>
      </c>
      <c r="Q24" s="36">
        <f t="shared" si="5"/>
        <v>71</v>
      </c>
      <c r="R24" s="35">
        <f t="shared" si="0"/>
        <v>318</v>
      </c>
      <c r="S24" s="35">
        <f t="shared" si="1"/>
        <v>6</v>
      </c>
      <c r="T24" s="4"/>
      <c r="U24" s="19">
        <v>200</v>
      </c>
      <c r="V24" s="9">
        <f t="shared" si="7"/>
        <v>2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101</v>
      </c>
      <c r="C25">
        <v>88</v>
      </c>
      <c r="D25" s="37" t="e">
        <f>LOOKUP(C25,#REF!,#REF!)</f>
        <v>#REF!</v>
      </c>
      <c r="E25" s="44" t="e">
        <f>((C25-#REF!)/#REF!)*20+100</f>
        <v>#REF!</v>
      </c>
      <c r="F25">
        <v>41</v>
      </c>
      <c r="G25" s="37" t="e">
        <f>LOOKUP(F25,#REF!,#REF!)</f>
        <v>#REF!</v>
      </c>
      <c r="H25" s="44" t="e">
        <f>((F25-#REF!)/#REF!)*20+100</f>
        <v>#REF!</v>
      </c>
      <c r="I25">
        <v>77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206</v>
      </c>
      <c r="M25" s="45" t="e">
        <f t="shared" si="3"/>
        <v>#REF!</v>
      </c>
      <c r="N25" s="34">
        <f t="shared" si="4"/>
        <v>15</v>
      </c>
      <c r="O25">
        <v>32</v>
      </c>
      <c r="P25">
        <v>22</v>
      </c>
      <c r="Q25" s="36">
        <f t="shared" si="5"/>
        <v>54</v>
      </c>
      <c r="R25" s="35">
        <f t="shared" si="0"/>
        <v>260</v>
      </c>
      <c r="S25" s="35">
        <f t="shared" si="1"/>
        <v>14</v>
      </c>
      <c r="T25" s="4"/>
      <c r="U25" s="20">
        <v>190</v>
      </c>
      <c r="V25" s="9">
        <f t="shared" si="7"/>
        <v>0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102</v>
      </c>
      <c r="C26">
        <v>95</v>
      </c>
      <c r="D26" s="37" t="e">
        <f>LOOKUP(C26,#REF!,#REF!)</f>
        <v>#REF!</v>
      </c>
      <c r="E26" s="44" t="e">
        <f>((C26-#REF!)/#REF!)*20+100</f>
        <v>#REF!</v>
      </c>
      <c r="F26">
        <v>21</v>
      </c>
      <c r="G26" s="37" t="e">
        <f>LOOKUP(F26,#REF!,#REF!)</f>
        <v>#REF!</v>
      </c>
      <c r="H26" s="44" t="e">
        <f>((F26-#REF!)/#REF!)*20+100</f>
        <v>#REF!</v>
      </c>
      <c r="I26">
        <v>47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163</v>
      </c>
      <c r="M26" s="45" t="e">
        <f t="shared" si="3"/>
        <v>#REF!</v>
      </c>
      <c r="N26" s="34">
        <f t="shared" si="4"/>
        <v>27</v>
      </c>
      <c r="O26">
        <v>5</v>
      </c>
      <c r="P26">
        <v>11</v>
      </c>
      <c r="Q26" s="36">
        <f t="shared" si="5"/>
        <v>16</v>
      </c>
      <c r="R26" s="35">
        <f t="shared" si="0"/>
        <v>179</v>
      </c>
      <c r="S26" s="35">
        <f t="shared" si="1"/>
        <v>29</v>
      </c>
      <c r="T26" s="4"/>
      <c r="U26" s="21" t="s">
        <v>20</v>
      </c>
      <c r="V26" s="9">
        <f t="shared" si="7"/>
        <v>9</v>
      </c>
    </row>
    <row r="27" spans="1:23" s="7" customFormat="1" ht="17.100000000000001" customHeight="1" x14ac:dyDescent="0.15">
      <c r="A27" s="40">
        <v>24</v>
      </c>
      <c r="B27" s="71" t="s">
        <v>103</v>
      </c>
      <c r="C27">
        <v>30</v>
      </c>
      <c r="D27" s="37" t="e">
        <f>LOOKUP(C27,#REF!,#REF!)</f>
        <v>#REF!</v>
      </c>
      <c r="E27" s="44" t="e">
        <f>((C27-#REF!)/#REF!)*20+100</f>
        <v>#REF!</v>
      </c>
      <c r="F27">
        <v>15</v>
      </c>
      <c r="G27" s="37" t="e">
        <f>LOOKUP(F27,#REF!,#REF!)</f>
        <v>#REF!</v>
      </c>
      <c r="H27" s="44" t="e">
        <f>((F27-#REF!)/#REF!)*20+100</f>
        <v>#REF!</v>
      </c>
      <c r="I27">
        <v>29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74</v>
      </c>
      <c r="M27" s="45" t="e">
        <f t="shared" si="3"/>
        <v>#REF!</v>
      </c>
      <c r="N27" s="34">
        <f t="shared" si="4"/>
        <v>34</v>
      </c>
      <c r="O27">
        <v>13</v>
      </c>
      <c r="P27">
        <v>10</v>
      </c>
      <c r="Q27" s="36">
        <f t="shared" si="5"/>
        <v>23</v>
      </c>
      <c r="R27" s="35">
        <f t="shared" si="0"/>
        <v>97</v>
      </c>
      <c r="S27" s="35">
        <f t="shared" si="1"/>
        <v>34</v>
      </c>
      <c r="T27" s="4"/>
      <c r="U27" s="311" t="s">
        <v>9</v>
      </c>
      <c r="V27" s="313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104</v>
      </c>
      <c r="C28">
        <v>93</v>
      </c>
      <c r="D28" s="37" t="e">
        <f>LOOKUP(C28,#REF!,#REF!)</f>
        <v>#REF!</v>
      </c>
      <c r="E28" s="44" t="e">
        <f>((C28-#REF!)/#REF!)*20+100</f>
        <v>#REF!</v>
      </c>
      <c r="F28">
        <v>37</v>
      </c>
      <c r="G28" s="37" t="e">
        <f>LOOKUP(F28,#REF!,#REF!)</f>
        <v>#REF!</v>
      </c>
      <c r="H28" s="44" t="e">
        <f>((F28-#REF!)/#REF!)*20+100</f>
        <v>#REF!</v>
      </c>
      <c r="I28">
        <v>69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199</v>
      </c>
      <c r="M28" s="45" t="e">
        <f t="shared" si="3"/>
        <v>#REF!</v>
      </c>
      <c r="N28" s="34">
        <f t="shared" si="4"/>
        <v>17</v>
      </c>
      <c r="O28">
        <v>25</v>
      </c>
      <c r="P28">
        <v>22</v>
      </c>
      <c r="Q28" s="36">
        <f t="shared" si="5"/>
        <v>47</v>
      </c>
      <c r="R28" s="35">
        <f t="shared" si="0"/>
        <v>246</v>
      </c>
      <c r="S28" s="35">
        <f t="shared" si="1"/>
        <v>19</v>
      </c>
      <c r="T28" s="4"/>
      <c r="U28" s="312"/>
      <c r="V28" s="314"/>
    </row>
    <row r="29" spans="1:23" s="7" customFormat="1" ht="17.100000000000001" customHeight="1" thickBot="1" x14ac:dyDescent="0.2">
      <c r="A29" s="40">
        <v>26</v>
      </c>
      <c r="B29" s="71" t="s">
        <v>105</v>
      </c>
      <c r="C29">
        <v>88</v>
      </c>
      <c r="D29" s="37" t="e">
        <f>LOOKUP(C29,#REF!,#REF!)</f>
        <v>#REF!</v>
      </c>
      <c r="E29" s="44" t="e">
        <f>((C29-#REF!)/#REF!)*20+100</f>
        <v>#REF!</v>
      </c>
      <c r="F29">
        <v>41</v>
      </c>
      <c r="G29" s="37" t="e">
        <f>LOOKUP(F29,#REF!,#REF!)</f>
        <v>#REF!</v>
      </c>
      <c r="H29" s="44" t="e">
        <f>((F29-#REF!)/#REF!)*20+100</f>
        <v>#REF!</v>
      </c>
      <c r="I29">
        <v>73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202</v>
      </c>
      <c r="M29" s="45" t="e">
        <f t="shared" si="3"/>
        <v>#REF!</v>
      </c>
      <c r="N29" s="34">
        <f t="shared" si="4"/>
        <v>16</v>
      </c>
      <c r="O29">
        <v>24</v>
      </c>
      <c r="P29">
        <v>26</v>
      </c>
      <c r="Q29" s="36">
        <f t="shared" si="5"/>
        <v>50</v>
      </c>
      <c r="R29" s="35">
        <f t="shared" si="0"/>
        <v>252</v>
      </c>
      <c r="S29" s="35">
        <f t="shared" si="1"/>
        <v>17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106</v>
      </c>
      <c r="C30">
        <v>86</v>
      </c>
      <c r="D30" s="37" t="e">
        <f>LOOKUP(C30,#REF!,#REF!)</f>
        <v>#REF!</v>
      </c>
      <c r="E30" s="44" t="e">
        <f>((C30-#REF!)/#REF!)*20+100</f>
        <v>#REF!</v>
      </c>
      <c r="F30">
        <v>53</v>
      </c>
      <c r="G30" s="37" t="e">
        <f>LOOKUP(F30,#REF!,#REF!)</f>
        <v>#REF!</v>
      </c>
      <c r="H30" s="44" t="e">
        <f>((F30-#REF!)/#REF!)*20+100</f>
        <v>#REF!</v>
      </c>
      <c r="I30">
        <v>82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221</v>
      </c>
      <c r="M30" s="45" t="e">
        <f t="shared" si="3"/>
        <v>#REF!</v>
      </c>
      <c r="N30" s="34">
        <f t="shared" si="4"/>
        <v>9</v>
      </c>
      <c r="O30">
        <v>38</v>
      </c>
      <c r="P30">
        <v>34</v>
      </c>
      <c r="Q30" s="36">
        <f t="shared" si="5"/>
        <v>72</v>
      </c>
      <c r="R30" s="35">
        <f t="shared" si="0"/>
        <v>293</v>
      </c>
      <c r="S30" s="35">
        <f t="shared" si="1"/>
        <v>9</v>
      </c>
      <c r="T30" s="4"/>
      <c r="U30" s="315" t="s">
        <v>10</v>
      </c>
      <c r="V30" s="316"/>
    </row>
    <row r="31" spans="1:23" s="7" customFormat="1" ht="17.100000000000001" customHeight="1" x14ac:dyDescent="0.15">
      <c r="A31" s="40">
        <v>28</v>
      </c>
      <c r="B31" s="71" t="s">
        <v>71</v>
      </c>
      <c r="C31">
        <v>98</v>
      </c>
      <c r="D31" s="37" t="e">
        <f>LOOKUP(C31,#REF!,#REF!)</f>
        <v>#REF!</v>
      </c>
      <c r="E31" s="44" t="e">
        <f>((C31-#REF!)/#REF!)*20+100</f>
        <v>#REF!</v>
      </c>
      <c r="F31">
        <v>48</v>
      </c>
      <c r="G31" s="37" t="e">
        <f>LOOKUP(F31,#REF!,#REF!)</f>
        <v>#REF!</v>
      </c>
      <c r="H31" s="44" t="e">
        <f>((F31-#REF!)/#REF!)*20+100</f>
        <v>#REF!</v>
      </c>
      <c r="I31">
        <v>73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219</v>
      </c>
      <c r="M31" s="45" t="e">
        <f t="shared" si="3"/>
        <v>#REF!</v>
      </c>
      <c r="N31" s="34">
        <f t="shared" si="4"/>
        <v>10</v>
      </c>
      <c r="O31">
        <v>20</v>
      </c>
      <c r="P31">
        <v>30</v>
      </c>
      <c r="Q31" s="36">
        <f t="shared" si="5"/>
        <v>50</v>
      </c>
      <c r="R31" s="35">
        <f t="shared" si="0"/>
        <v>269</v>
      </c>
      <c r="S31" s="35">
        <f t="shared" si="1"/>
        <v>11</v>
      </c>
      <c r="T31" s="4"/>
      <c r="U31" s="317">
        <f>MAX(R4:R40)</f>
        <v>369</v>
      </c>
      <c r="V31" s="318"/>
    </row>
    <row r="32" spans="1:23" s="7" customFormat="1" ht="17.100000000000001" customHeight="1" thickBot="1" x14ac:dyDescent="0.2">
      <c r="A32" s="40">
        <v>29</v>
      </c>
      <c r="B32" s="71" t="s">
        <v>107</v>
      </c>
      <c r="C32">
        <v>18</v>
      </c>
      <c r="D32" s="37" t="e">
        <f>LOOKUP(C32,#REF!,#REF!)</f>
        <v>#REF!</v>
      </c>
      <c r="E32" s="44" t="e">
        <f>((C32-#REF!)/#REF!)*20+100</f>
        <v>#REF!</v>
      </c>
      <c r="F32">
        <v>16</v>
      </c>
      <c r="G32" s="37" t="e">
        <f>LOOKUP(F32,#REF!,#REF!)</f>
        <v>#REF!</v>
      </c>
      <c r="H32" s="44" t="e">
        <f>((F32-#REF!)/#REF!)*20+100</f>
        <v>#REF!</v>
      </c>
      <c r="I32">
        <v>20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54</v>
      </c>
      <c r="M32" s="45" t="e">
        <f t="shared" si="3"/>
        <v>#REF!</v>
      </c>
      <c r="N32" s="34">
        <f t="shared" si="4"/>
        <v>37</v>
      </c>
      <c r="O32">
        <v>6</v>
      </c>
      <c r="P32">
        <v>20</v>
      </c>
      <c r="Q32" s="36">
        <f t="shared" si="5"/>
        <v>26</v>
      </c>
      <c r="R32" s="35">
        <f t="shared" si="0"/>
        <v>80</v>
      </c>
      <c r="S32" s="35">
        <f t="shared" si="1"/>
        <v>36</v>
      </c>
      <c r="T32" s="4"/>
      <c r="U32" s="319"/>
      <c r="V32" s="320"/>
    </row>
    <row r="33" spans="1:22" s="7" customFormat="1" ht="17.100000000000001" customHeight="1" x14ac:dyDescent="0.15">
      <c r="A33" s="40">
        <v>30</v>
      </c>
      <c r="B33" s="71" t="s">
        <v>108</v>
      </c>
      <c r="C33">
        <v>85</v>
      </c>
      <c r="D33" s="37" t="e">
        <f>LOOKUP(C33,#REF!,#REF!)</f>
        <v>#REF!</v>
      </c>
      <c r="E33" s="44" t="e">
        <f>((C33-#REF!)/#REF!)*20+100</f>
        <v>#REF!</v>
      </c>
      <c r="F33">
        <v>34</v>
      </c>
      <c r="G33" s="37" t="e">
        <f>LOOKUP(F33,#REF!,#REF!)</f>
        <v>#REF!</v>
      </c>
      <c r="H33" s="44" t="e">
        <f>((F33-#REF!)/#REF!)*20+100</f>
        <v>#REF!</v>
      </c>
      <c r="I33">
        <v>51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170</v>
      </c>
      <c r="M33" s="45" t="e">
        <f t="shared" si="3"/>
        <v>#REF!</v>
      </c>
      <c r="N33" s="34">
        <f t="shared" si="4"/>
        <v>25</v>
      </c>
      <c r="O33">
        <v>24</v>
      </c>
      <c r="P33">
        <v>28</v>
      </c>
      <c r="Q33" s="36">
        <f t="shared" si="5"/>
        <v>52</v>
      </c>
      <c r="R33" s="35">
        <f t="shared" si="0"/>
        <v>222</v>
      </c>
      <c r="S33" s="35">
        <f t="shared" si="1"/>
        <v>23</v>
      </c>
      <c r="T33" s="4"/>
      <c r="U33" s="315" t="s">
        <v>11</v>
      </c>
      <c r="V33" s="316"/>
    </row>
    <row r="34" spans="1:22" s="7" customFormat="1" ht="17.100000000000001" customHeight="1" x14ac:dyDescent="0.15">
      <c r="A34" s="40">
        <v>31</v>
      </c>
      <c r="B34" s="71" t="s">
        <v>109</v>
      </c>
      <c r="C34">
        <v>100</v>
      </c>
      <c r="D34" s="37" t="e">
        <f>LOOKUP(C34,#REF!,#REF!)</f>
        <v>#REF!</v>
      </c>
      <c r="E34" s="44" t="e">
        <f>((C34-#REF!)/#REF!)*20+100</f>
        <v>#REF!</v>
      </c>
      <c r="F34">
        <v>63</v>
      </c>
      <c r="G34" s="37" t="e">
        <f>LOOKUP(F34,#REF!,#REF!)</f>
        <v>#REF!</v>
      </c>
      <c r="H34" s="44" t="e">
        <f>((F34-#REF!)/#REF!)*20+100</f>
        <v>#REF!</v>
      </c>
      <c r="I34">
        <v>94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257</v>
      </c>
      <c r="M34" s="45" t="e">
        <f t="shared" si="3"/>
        <v>#REF!</v>
      </c>
      <c r="N34" s="34">
        <f t="shared" si="4"/>
        <v>4</v>
      </c>
      <c r="O34">
        <v>33</v>
      </c>
      <c r="P34">
        <v>35</v>
      </c>
      <c r="Q34" s="36">
        <f t="shared" si="5"/>
        <v>68</v>
      </c>
      <c r="R34" s="35">
        <f t="shared" si="0"/>
        <v>325</v>
      </c>
      <c r="S34" s="35">
        <f t="shared" si="1"/>
        <v>5</v>
      </c>
      <c r="T34" s="4"/>
      <c r="U34" s="321">
        <f>MIN(R4:R40)</f>
        <v>76</v>
      </c>
      <c r="V34" s="322"/>
    </row>
    <row r="35" spans="1:22" s="7" customFormat="1" ht="17.100000000000001" customHeight="1" thickBot="1" x14ac:dyDescent="0.2">
      <c r="A35" s="40">
        <v>32</v>
      </c>
      <c r="B35" s="71" t="s">
        <v>110</v>
      </c>
      <c r="C35">
        <v>91</v>
      </c>
      <c r="D35" s="37" t="e">
        <f>LOOKUP(C35,#REF!,#REF!)</f>
        <v>#REF!</v>
      </c>
      <c r="E35" s="44" t="e">
        <f>((C35-#REF!)/#REF!)*20+100</f>
        <v>#REF!</v>
      </c>
      <c r="F35">
        <v>70</v>
      </c>
      <c r="G35" s="37" t="e">
        <f>LOOKUP(F35,#REF!,#REF!)</f>
        <v>#REF!</v>
      </c>
      <c r="H35" s="44" t="e">
        <f>((F35-#REF!)/#REF!)*20+100</f>
        <v>#REF!</v>
      </c>
      <c r="I35">
        <v>68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229</v>
      </c>
      <c r="M35" s="45" t="e">
        <f t="shared" si="3"/>
        <v>#REF!</v>
      </c>
      <c r="N35" s="34">
        <f t="shared" si="4"/>
        <v>7</v>
      </c>
      <c r="O35">
        <v>36</v>
      </c>
      <c r="P35">
        <v>30</v>
      </c>
      <c r="Q35" s="36">
        <f t="shared" si="5"/>
        <v>66</v>
      </c>
      <c r="R35" s="35">
        <f t="shared" si="0"/>
        <v>295</v>
      </c>
      <c r="S35" s="35">
        <f t="shared" si="1"/>
        <v>8</v>
      </c>
      <c r="T35" s="4"/>
      <c r="U35" s="323"/>
      <c r="V35" s="324"/>
    </row>
    <row r="36" spans="1:22" s="7" customFormat="1" ht="17.100000000000001" customHeight="1" x14ac:dyDescent="0.15">
      <c r="A36" s="40">
        <v>33</v>
      </c>
      <c r="B36" s="71" t="s">
        <v>111</v>
      </c>
      <c r="C36">
        <v>65</v>
      </c>
      <c r="D36" s="37" t="e">
        <f>LOOKUP(C36,#REF!,#REF!)</f>
        <v>#REF!</v>
      </c>
      <c r="E36" s="44" t="e">
        <f>((C36-#REF!)/#REF!)*20+100</f>
        <v>#REF!</v>
      </c>
      <c r="F36">
        <v>29</v>
      </c>
      <c r="G36" s="37" t="e">
        <f>LOOKUP(F36,#REF!,#REF!)</f>
        <v>#REF!</v>
      </c>
      <c r="H36" s="44" t="e">
        <f>((F36-#REF!)/#REF!)*20+100</f>
        <v>#REF!</v>
      </c>
      <c r="I36">
        <v>50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144</v>
      </c>
      <c r="M36" s="45" t="e">
        <f t="shared" si="3"/>
        <v>#REF!</v>
      </c>
      <c r="N36" s="34">
        <f t="shared" si="4"/>
        <v>30</v>
      </c>
      <c r="O36">
        <v>23</v>
      </c>
      <c r="P36">
        <v>11</v>
      </c>
      <c r="Q36" s="36">
        <f t="shared" si="5"/>
        <v>34</v>
      </c>
      <c r="R36" s="35">
        <f t="shared" si="0"/>
        <v>178</v>
      </c>
      <c r="S36" s="35">
        <f t="shared" si="1"/>
        <v>30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112</v>
      </c>
      <c r="C37">
        <v>21</v>
      </c>
      <c r="D37" s="37" t="e">
        <f>LOOKUP(C37,#REF!,#REF!)</f>
        <v>#REF!</v>
      </c>
      <c r="E37" s="44" t="e">
        <f>((C37-#REF!)/#REF!)*20+100</f>
        <v>#REF!</v>
      </c>
      <c r="F37">
        <v>12</v>
      </c>
      <c r="G37" s="37" t="e">
        <f>LOOKUP(F37,#REF!,#REF!)</f>
        <v>#REF!</v>
      </c>
      <c r="H37" s="44" t="e">
        <f>((F37-#REF!)/#REF!)*20+100</f>
        <v>#REF!</v>
      </c>
      <c r="I37">
        <v>22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55</v>
      </c>
      <c r="M37" s="45" t="e">
        <f t="shared" si="3"/>
        <v>#REF!</v>
      </c>
      <c r="N37" s="34">
        <f t="shared" si="4"/>
        <v>36</v>
      </c>
      <c r="O37">
        <v>10</v>
      </c>
      <c r="P37">
        <v>11</v>
      </c>
      <c r="Q37" s="36">
        <f t="shared" si="5"/>
        <v>21</v>
      </c>
      <c r="R37" s="35">
        <f t="shared" si="0"/>
        <v>76</v>
      </c>
      <c r="S37" s="35">
        <f t="shared" si="1"/>
        <v>37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23</v>
      </c>
      <c r="C38">
        <v>46</v>
      </c>
      <c r="D38" s="37" t="e">
        <f>LOOKUP(C38,#REF!,#REF!)</f>
        <v>#REF!</v>
      </c>
      <c r="E38" s="44" t="e">
        <f>((C38-#REF!)/#REF!)*20+100</f>
        <v>#REF!</v>
      </c>
      <c r="F38">
        <v>20</v>
      </c>
      <c r="G38" s="37" t="e">
        <f>LOOKUP(F38,#REF!,#REF!)</f>
        <v>#REF!</v>
      </c>
      <c r="H38" s="44" t="e">
        <f>((F38-#REF!)/#REF!)*20+100</f>
        <v>#REF!</v>
      </c>
      <c r="I38">
        <v>43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109</v>
      </c>
      <c r="M38" s="45" t="e">
        <f>SUM(E38,H38,K38)</f>
        <v>#REF!</v>
      </c>
      <c r="N38" s="34">
        <f t="shared" si="4"/>
        <v>31</v>
      </c>
      <c r="O38">
        <v>16</v>
      </c>
      <c r="P38">
        <v>16</v>
      </c>
      <c r="Q38" s="36">
        <f t="shared" si="5"/>
        <v>32</v>
      </c>
      <c r="R38" s="35">
        <f t="shared" si="0"/>
        <v>141</v>
      </c>
      <c r="S38" s="35">
        <f t="shared" si="1"/>
        <v>31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113</v>
      </c>
      <c r="C39">
        <v>89</v>
      </c>
      <c r="D39" s="37" t="e">
        <f>LOOKUP(C39,#REF!,#REF!)</f>
        <v>#REF!</v>
      </c>
      <c r="E39" s="44" t="e">
        <f>((C39-#REF!)/#REF!)*20+100</f>
        <v>#REF!</v>
      </c>
      <c r="F39">
        <v>60</v>
      </c>
      <c r="G39" s="37" t="e">
        <f>LOOKUP(F39,#REF!,#REF!)</f>
        <v>#REF!</v>
      </c>
      <c r="H39" s="44" t="e">
        <f>((F39-#REF!)/#REF!)*20+100</f>
        <v>#REF!</v>
      </c>
      <c r="I39">
        <v>68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217</v>
      </c>
      <c r="M39" s="45" t="e">
        <f>SUM(E39,H39,K39)</f>
        <v>#REF!</v>
      </c>
      <c r="N39" s="34">
        <f t="shared" si="4"/>
        <v>11</v>
      </c>
      <c r="O39">
        <v>33</v>
      </c>
      <c r="P39">
        <v>47</v>
      </c>
      <c r="Q39" s="36">
        <f t="shared" si="5"/>
        <v>80</v>
      </c>
      <c r="R39" s="35">
        <f t="shared" si="0"/>
        <v>297</v>
      </c>
      <c r="S39" s="35">
        <f t="shared" si="1"/>
        <v>7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114</v>
      </c>
      <c r="C40">
        <v>21</v>
      </c>
      <c r="D40" s="37" t="e">
        <f>LOOKUP(C40,#REF!,#REF!)</f>
        <v>#REF!</v>
      </c>
      <c r="E40" s="44" t="e">
        <f>((C40-#REF!)/#REF!)*20+100</f>
        <v>#REF!</v>
      </c>
      <c r="F40">
        <v>15</v>
      </c>
      <c r="G40" s="37" t="e">
        <f>LOOKUP(F40,#REF!,#REF!)</f>
        <v>#REF!</v>
      </c>
      <c r="H40" s="44" t="e">
        <f>((F40-#REF!)/#REF!)*20+100</f>
        <v>#REF!</v>
      </c>
      <c r="I40">
        <v>34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70</v>
      </c>
      <c r="M40" s="45" t="e">
        <f>SUM(E40,H40,K40)</f>
        <v>#REF!</v>
      </c>
      <c r="N40" s="34">
        <f t="shared" si="4"/>
        <v>35</v>
      </c>
      <c r="O40">
        <v>6</v>
      </c>
      <c r="P40">
        <v>6</v>
      </c>
      <c r="Q40" s="36">
        <f t="shared" si="5"/>
        <v>12</v>
      </c>
      <c r="R40" s="35">
        <f t="shared" si="0"/>
        <v>82</v>
      </c>
      <c r="S40" s="35">
        <f t="shared" si="1"/>
        <v>35</v>
      </c>
      <c r="T40" s="4"/>
      <c r="U40" s="47"/>
      <c r="V40" s="47"/>
    </row>
    <row r="41" spans="1:22" s="7" customFormat="1" ht="17.100000000000001" customHeight="1" x14ac:dyDescent="0.15">
      <c r="A41" s="304" t="s">
        <v>6</v>
      </c>
      <c r="B41" s="304"/>
      <c r="C41" s="41">
        <f>SUM(C4:C40)</f>
        <v>2817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1574</v>
      </c>
      <c r="G41" s="41" t="e">
        <f t="shared" si="8"/>
        <v>#REF!</v>
      </c>
      <c r="H41" s="41" t="e">
        <f t="shared" si="8"/>
        <v>#REF!</v>
      </c>
      <c r="I41" s="41">
        <f t="shared" si="8"/>
        <v>2320</v>
      </c>
      <c r="J41" s="41" t="e">
        <f t="shared" si="8"/>
        <v>#REF!</v>
      </c>
      <c r="K41" s="41" t="e">
        <f t="shared" si="8"/>
        <v>#REF!</v>
      </c>
      <c r="L41" s="41">
        <f t="shared" si="8"/>
        <v>6711</v>
      </c>
      <c r="M41" s="41" t="e">
        <f t="shared" si="8"/>
        <v>#REF!</v>
      </c>
      <c r="N41" s="41"/>
      <c r="O41" s="41">
        <f t="shared" si="8"/>
        <v>937</v>
      </c>
      <c r="P41" s="41">
        <f t="shared" si="8"/>
        <v>912</v>
      </c>
      <c r="Q41" s="41">
        <f t="shared" si="8"/>
        <v>1849</v>
      </c>
      <c r="R41" s="41">
        <f t="shared" si="8"/>
        <v>8560</v>
      </c>
      <c r="S41" s="41"/>
      <c r="T41" s="4"/>
      <c r="U41" s="47"/>
      <c r="V41" s="47"/>
    </row>
    <row r="42" spans="1:22" s="7" customFormat="1" ht="17.100000000000001" customHeight="1" x14ac:dyDescent="0.15">
      <c r="A42" s="304" t="s">
        <v>12</v>
      </c>
      <c r="B42" s="304"/>
      <c r="C42" s="41">
        <f>AVERAGE(C4:C40)</f>
        <v>76.13513513513513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42.54054054054054</v>
      </c>
      <c r="G42" s="41" t="e">
        <f t="shared" si="9"/>
        <v>#REF!</v>
      </c>
      <c r="H42" s="41" t="e">
        <f t="shared" si="9"/>
        <v>#REF!</v>
      </c>
      <c r="I42" s="41">
        <f t="shared" si="9"/>
        <v>62.702702702702702</v>
      </c>
      <c r="J42" s="41" t="e">
        <f t="shared" si="9"/>
        <v>#REF!</v>
      </c>
      <c r="K42" s="41" t="e">
        <f t="shared" si="9"/>
        <v>#REF!</v>
      </c>
      <c r="L42" s="41">
        <f t="shared" si="9"/>
        <v>181.37837837837839</v>
      </c>
      <c r="M42" s="41" t="e">
        <f t="shared" si="9"/>
        <v>#REF!</v>
      </c>
      <c r="N42" s="41"/>
      <c r="O42" s="41">
        <f t="shared" si="9"/>
        <v>25.324324324324323</v>
      </c>
      <c r="P42" s="41">
        <f t="shared" si="9"/>
        <v>24.648648648648649</v>
      </c>
      <c r="Q42" s="41">
        <f t="shared" si="9"/>
        <v>49.972972972972975</v>
      </c>
      <c r="R42" s="41">
        <f t="shared" si="9"/>
        <v>231.35135135135135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0"/>
  <sheetViews>
    <sheetView topLeftCell="A10" zoomScaleNormal="100" workbookViewId="0">
      <selection activeCell="D38" activeCellId="1" sqref="G19:H19 D38:H38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05" t="s">
        <v>337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</row>
    <row r="2" spans="1:23" ht="33.75" customHeight="1" thickBot="1" x14ac:dyDescent="0.2">
      <c r="A2" s="306" t="s">
        <v>344</v>
      </c>
      <c r="B2" s="306"/>
      <c r="C2" s="306"/>
      <c r="D2" s="306"/>
      <c r="E2" s="306"/>
      <c r="F2" s="306"/>
      <c r="G2" s="38"/>
      <c r="H2" s="38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08" t="s">
        <v>5</v>
      </c>
      <c r="P3" s="308"/>
      <c r="Q3" s="43" t="s">
        <v>15</v>
      </c>
      <c r="R3" s="70" t="s">
        <v>6</v>
      </c>
      <c r="S3" s="42" t="s">
        <v>7</v>
      </c>
      <c r="T3" s="2"/>
      <c r="U3" s="309" t="s">
        <v>8</v>
      </c>
      <c r="V3" s="310"/>
    </row>
    <row r="4" spans="1:23" s="7" customFormat="1" ht="17.100000000000001" customHeight="1" x14ac:dyDescent="0.15">
      <c r="A4" s="40">
        <v>1</v>
      </c>
      <c r="B4" s="71" t="s">
        <v>115</v>
      </c>
      <c r="C4">
        <v>98</v>
      </c>
      <c r="D4" s="37" t="e">
        <f>LOOKUP(C4,#REF!,#REF!)</f>
        <v>#REF!</v>
      </c>
      <c r="E4" s="44" t="e">
        <f>((C4-#REF!)/#REF!)*20+100</f>
        <v>#REF!</v>
      </c>
      <c r="F4">
        <v>43</v>
      </c>
      <c r="G4" s="37" t="e">
        <f>LOOKUP(F4,#REF!,#REF!)</f>
        <v>#REF!</v>
      </c>
      <c r="H4" s="44" t="e">
        <f>((F4-#REF!)/#REF!)*20+100</f>
        <v>#REF!</v>
      </c>
      <c r="I4">
        <v>52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193</v>
      </c>
      <c r="M4" s="45" t="e">
        <f>SUM(E4,H4,K4)</f>
        <v>#REF!</v>
      </c>
      <c r="N4" s="34">
        <f>RANK(L4,$L$4:$L$40)</f>
        <v>16</v>
      </c>
      <c r="O4">
        <v>25</v>
      </c>
      <c r="P4">
        <v>30</v>
      </c>
      <c r="Q4" s="36">
        <f>(SUM(O4:P4))</f>
        <v>55</v>
      </c>
      <c r="R4" s="35">
        <f t="shared" ref="R4:R40" si="0">SUM(L4,Q4)</f>
        <v>248</v>
      </c>
      <c r="S4" s="35">
        <f t="shared" ref="S4:S40" si="1">RANK(R4,$R$4:$R$40)</f>
        <v>15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116</v>
      </c>
      <c r="C5">
        <v>44</v>
      </c>
      <c r="D5" s="37" t="e">
        <f>LOOKUP(C5,#REF!,#REF!)</f>
        <v>#REF!</v>
      </c>
      <c r="E5" s="44" t="e">
        <f>((C5-#REF!)/#REF!)*20+100</f>
        <v>#REF!</v>
      </c>
      <c r="F5">
        <v>44</v>
      </c>
      <c r="G5" s="37" t="e">
        <f>LOOKUP(F5,#REF!,#REF!)</f>
        <v>#REF!</v>
      </c>
      <c r="H5" s="44" t="e">
        <f>((F5-#REF!)/#REF!)*20+100</f>
        <v>#REF!</v>
      </c>
      <c r="I5">
        <v>52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140</v>
      </c>
      <c r="M5" s="45" t="e">
        <f t="shared" ref="M5:M37" si="3">SUM(E5,H5,K5)</f>
        <v>#REF!</v>
      </c>
      <c r="N5" s="34">
        <f t="shared" ref="N5:N40" si="4">RANK(L5,$L$4:$L$40)</f>
        <v>26</v>
      </c>
      <c r="O5">
        <v>18</v>
      </c>
      <c r="P5">
        <v>8</v>
      </c>
      <c r="Q5" s="36">
        <f t="shared" ref="Q5:Q40" si="5">(SUM(O5:P5))</f>
        <v>26</v>
      </c>
      <c r="R5" s="35">
        <f t="shared" si="0"/>
        <v>166</v>
      </c>
      <c r="S5" s="35">
        <f t="shared" si="1"/>
        <v>28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117</v>
      </c>
      <c r="C6" s="98">
        <v>97</v>
      </c>
      <c r="D6" s="48">
        <f>LOOKUP(C6,예상등급!$A$5:$A$13,예상등급!$B$5:$B$13)</f>
        <v>1</v>
      </c>
      <c r="E6" s="99" t="e">
        <f>((C6-예상등급!#REF!)/예상등급!#REF!)*20+100</f>
        <v>#REF!</v>
      </c>
      <c r="F6" s="98">
        <v>77</v>
      </c>
      <c r="G6" s="37">
        <f>LOOKUP(F6,예상등급!$D$19:$D$27,예상등급!$E$19:$E$27)</f>
        <v>1</v>
      </c>
      <c r="H6" s="44" t="e">
        <f>((F6-예상등급!#REF!)/예상등급!#REF!)*20+100</f>
        <v>#REF!</v>
      </c>
      <c r="I6">
        <v>80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254</v>
      </c>
      <c r="M6" s="45" t="e">
        <f t="shared" si="3"/>
        <v>#REF!</v>
      </c>
      <c r="N6" s="34">
        <f t="shared" si="4"/>
        <v>5</v>
      </c>
      <c r="O6">
        <v>38</v>
      </c>
      <c r="P6">
        <v>30</v>
      </c>
      <c r="Q6" s="36">
        <f t="shared" si="5"/>
        <v>68</v>
      </c>
      <c r="R6" s="35">
        <f t="shared" si="0"/>
        <v>322</v>
      </c>
      <c r="S6" s="35">
        <f t="shared" si="1"/>
        <v>4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118</v>
      </c>
      <c r="C7">
        <v>98</v>
      </c>
      <c r="D7" s="37" t="e">
        <f>LOOKUP(C7,#REF!,#REF!)</f>
        <v>#REF!</v>
      </c>
      <c r="E7" s="44" t="e">
        <f>((C7-#REF!)/#REF!)*20+100</f>
        <v>#REF!</v>
      </c>
      <c r="F7">
        <v>70</v>
      </c>
      <c r="G7" s="37" t="e">
        <f>LOOKUP(F7,#REF!,#REF!)</f>
        <v>#REF!</v>
      </c>
      <c r="H7" s="44" t="e">
        <f>((F7-#REF!)/#REF!)*20+100</f>
        <v>#REF!</v>
      </c>
      <c r="I7">
        <v>97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265</v>
      </c>
      <c r="M7" s="45" t="e">
        <f t="shared" si="3"/>
        <v>#REF!</v>
      </c>
      <c r="N7" s="34">
        <f t="shared" si="4"/>
        <v>3</v>
      </c>
      <c r="O7">
        <v>38</v>
      </c>
      <c r="P7">
        <v>25</v>
      </c>
      <c r="Q7" s="36">
        <f t="shared" si="5"/>
        <v>63</v>
      </c>
      <c r="R7" s="35">
        <f t="shared" si="0"/>
        <v>328</v>
      </c>
      <c r="S7" s="35">
        <f t="shared" si="1"/>
        <v>3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119</v>
      </c>
      <c r="C8">
        <v>95</v>
      </c>
      <c r="D8" s="37" t="e">
        <f>LOOKUP(C8,#REF!,#REF!)</f>
        <v>#REF!</v>
      </c>
      <c r="E8" s="44" t="e">
        <f>((C8-#REF!)/#REF!)*20+100</f>
        <v>#REF!</v>
      </c>
      <c r="F8">
        <v>58</v>
      </c>
      <c r="G8" s="37" t="e">
        <f>LOOKUP(F8,#REF!,#REF!)</f>
        <v>#REF!</v>
      </c>
      <c r="H8" s="44" t="e">
        <f>((F8-#REF!)/#REF!)*20+100</f>
        <v>#REF!</v>
      </c>
      <c r="I8">
        <v>71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224</v>
      </c>
      <c r="M8" s="45" t="e">
        <f t="shared" si="3"/>
        <v>#REF!</v>
      </c>
      <c r="N8" s="34">
        <f t="shared" si="4"/>
        <v>13</v>
      </c>
      <c r="O8">
        <v>36</v>
      </c>
      <c r="P8">
        <v>35</v>
      </c>
      <c r="Q8" s="36">
        <f t="shared" si="5"/>
        <v>71</v>
      </c>
      <c r="R8" s="35">
        <f t="shared" si="0"/>
        <v>295</v>
      </c>
      <c r="S8" s="35">
        <f t="shared" si="1"/>
        <v>11</v>
      </c>
      <c r="T8" s="4"/>
      <c r="U8" s="8">
        <v>360</v>
      </c>
      <c r="V8" s="9">
        <f t="shared" si="6"/>
        <v>2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120</v>
      </c>
      <c r="C9">
        <v>84</v>
      </c>
      <c r="D9" s="37" t="e">
        <f>LOOKUP(C9,#REF!,#REF!)</f>
        <v>#REF!</v>
      </c>
      <c r="E9" s="44" t="e">
        <f>((C9-#REF!)/#REF!)*20+100</f>
        <v>#REF!</v>
      </c>
      <c r="F9">
        <v>63</v>
      </c>
      <c r="G9" s="37" t="e">
        <f>LOOKUP(F9,#REF!,#REF!)</f>
        <v>#REF!</v>
      </c>
      <c r="H9" s="44" t="e">
        <f>((F9-#REF!)/#REF!)*20+100</f>
        <v>#REF!</v>
      </c>
      <c r="I9">
        <v>78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225</v>
      </c>
      <c r="M9" s="45" t="e">
        <f t="shared" si="3"/>
        <v>#REF!</v>
      </c>
      <c r="N9" s="34">
        <f t="shared" si="4"/>
        <v>12</v>
      </c>
      <c r="O9">
        <v>21</v>
      </c>
      <c r="P9">
        <v>29</v>
      </c>
      <c r="Q9" s="36">
        <f t="shared" si="5"/>
        <v>50</v>
      </c>
      <c r="R9" s="35">
        <f t="shared" si="0"/>
        <v>275</v>
      </c>
      <c r="S9" s="35">
        <f t="shared" si="1"/>
        <v>12</v>
      </c>
      <c r="T9" s="4"/>
      <c r="U9" s="10">
        <v>350</v>
      </c>
      <c r="V9" s="9">
        <f t="shared" si="6"/>
        <v>0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121</v>
      </c>
      <c r="C10">
        <v>34</v>
      </c>
      <c r="D10" s="37" t="e">
        <f>LOOKUP(C10,#REF!,#REF!)</f>
        <v>#REF!</v>
      </c>
      <c r="E10" s="44" t="e">
        <f>((C10-#REF!)/#REF!)*20+100</f>
        <v>#REF!</v>
      </c>
      <c r="F10">
        <v>22</v>
      </c>
      <c r="G10" s="37" t="e">
        <f>LOOKUP(F10,#REF!,#REF!)</f>
        <v>#REF!</v>
      </c>
      <c r="H10" s="44" t="e">
        <f>((F10-#REF!)/#REF!)*20+100</f>
        <v>#REF!</v>
      </c>
      <c r="I10">
        <v>27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83</v>
      </c>
      <c r="M10" s="45" t="e">
        <f t="shared" si="3"/>
        <v>#REF!</v>
      </c>
      <c r="N10" s="34">
        <f t="shared" si="4"/>
        <v>33</v>
      </c>
      <c r="O10">
        <v>17</v>
      </c>
      <c r="P10">
        <v>10</v>
      </c>
      <c r="Q10" s="36">
        <f t="shared" si="5"/>
        <v>27</v>
      </c>
      <c r="R10" s="35">
        <f t="shared" si="0"/>
        <v>110</v>
      </c>
      <c r="S10" s="35">
        <f t="shared" si="1"/>
        <v>33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122</v>
      </c>
      <c r="C11">
        <v>94</v>
      </c>
      <c r="D11" s="37" t="e">
        <f>LOOKUP(C11,#REF!,#REF!)</f>
        <v>#REF!</v>
      </c>
      <c r="E11" s="44" t="e">
        <f>((C11-#REF!)/#REF!)*20+100</f>
        <v>#REF!</v>
      </c>
      <c r="F11">
        <v>62</v>
      </c>
      <c r="G11" s="37" t="e">
        <f>LOOKUP(F11,#REF!,#REF!)</f>
        <v>#REF!</v>
      </c>
      <c r="H11" s="44" t="e">
        <f>((F11-#REF!)/#REF!)*20+100</f>
        <v>#REF!</v>
      </c>
      <c r="I11">
        <v>92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248</v>
      </c>
      <c r="M11" s="45" t="e">
        <f t="shared" si="3"/>
        <v>#REF!</v>
      </c>
      <c r="N11" s="34">
        <f t="shared" si="4"/>
        <v>6</v>
      </c>
      <c r="O11">
        <v>26</v>
      </c>
      <c r="P11">
        <v>25</v>
      </c>
      <c r="Q11" s="36">
        <f t="shared" si="5"/>
        <v>51</v>
      </c>
      <c r="R11" s="35">
        <f t="shared" si="0"/>
        <v>299</v>
      </c>
      <c r="S11" s="35">
        <f t="shared" si="1"/>
        <v>10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123</v>
      </c>
      <c r="C12">
        <v>68</v>
      </c>
      <c r="D12" s="37" t="e">
        <f>LOOKUP(C12,#REF!,#REF!)</f>
        <v>#REF!</v>
      </c>
      <c r="E12" s="44" t="e">
        <f>((C12-#REF!)/#REF!)*20+100</f>
        <v>#REF!</v>
      </c>
      <c r="F12">
        <v>20</v>
      </c>
      <c r="G12" s="37" t="e">
        <f>LOOKUP(F12,#REF!,#REF!)</f>
        <v>#REF!</v>
      </c>
      <c r="H12" s="44" t="e">
        <f>((F12-#REF!)/#REF!)*20+100</f>
        <v>#REF!</v>
      </c>
      <c r="I12">
        <v>47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135</v>
      </c>
      <c r="M12" s="45" t="e">
        <f t="shared" si="3"/>
        <v>#REF!</v>
      </c>
      <c r="N12" s="34">
        <f t="shared" si="4"/>
        <v>27</v>
      </c>
      <c r="O12">
        <v>9</v>
      </c>
      <c r="P12">
        <v>10</v>
      </c>
      <c r="Q12" s="36">
        <f t="shared" si="5"/>
        <v>19</v>
      </c>
      <c r="R12" s="35">
        <f t="shared" si="0"/>
        <v>154</v>
      </c>
      <c r="S12" s="35">
        <f t="shared" si="1"/>
        <v>29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124</v>
      </c>
      <c r="C13">
        <v>100</v>
      </c>
      <c r="D13" s="37" t="e">
        <f>LOOKUP(C13,#REF!,#REF!)</f>
        <v>#REF!</v>
      </c>
      <c r="E13" s="44" t="e">
        <f>((C13-#REF!)/#REF!)*20+100</f>
        <v>#REF!</v>
      </c>
      <c r="F13">
        <v>73</v>
      </c>
      <c r="G13" s="37" t="e">
        <f>LOOKUP(F13,#REF!,#REF!)</f>
        <v>#REF!</v>
      </c>
      <c r="H13" s="44" t="e">
        <f>((F13-#REF!)/#REF!)*20+100</f>
        <v>#REF!</v>
      </c>
      <c r="I13">
        <v>97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270</v>
      </c>
      <c r="M13" s="45" t="e">
        <f t="shared" si="3"/>
        <v>#REF!</v>
      </c>
      <c r="N13" s="34">
        <f t="shared" si="4"/>
        <v>2</v>
      </c>
      <c r="O13">
        <v>42</v>
      </c>
      <c r="P13">
        <v>50</v>
      </c>
      <c r="Q13" s="36">
        <f t="shared" si="5"/>
        <v>92</v>
      </c>
      <c r="R13" s="35">
        <f t="shared" si="0"/>
        <v>362</v>
      </c>
      <c r="S13" s="35">
        <f t="shared" si="1"/>
        <v>2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125</v>
      </c>
      <c r="C14">
        <v>19</v>
      </c>
      <c r="D14" s="37" t="e">
        <f>LOOKUP(C14,#REF!,#REF!)</f>
        <v>#REF!</v>
      </c>
      <c r="E14" s="44" t="e">
        <f>((C14-#REF!)/#REF!)*20+100</f>
        <v>#REF!</v>
      </c>
      <c r="F14">
        <v>20</v>
      </c>
      <c r="G14" s="37" t="e">
        <f>LOOKUP(F14,#REF!,#REF!)</f>
        <v>#REF!</v>
      </c>
      <c r="H14" s="44" t="e">
        <f>((F14-#REF!)/#REF!)*20+100</f>
        <v>#REF!</v>
      </c>
      <c r="I14">
        <v>23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62</v>
      </c>
      <c r="M14" s="45" t="e">
        <f t="shared" si="3"/>
        <v>#REF!</v>
      </c>
      <c r="N14" s="34">
        <f t="shared" si="4"/>
        <v>36</v>
      </c>
      <c r="O14">
        <v>15</v>
      </c>
      <c r="P14">
        <v>5</v>
      </c>
      <c r="Q14" s="36">
        <f t="shared" si="5"/>
        <v>20</v>
      </c>
      <c r="R14" s="35">
        <f t="shared" si="0"/>
        <v>82</v>
      </c>
      <c r="S14" s="35">
        <f t="shared" si="1"/>
        <v>36</v>
      </c>
      <c r="T14" s="4"/>
      <c r="U14" s="13">
        <v>300</v>
      </c>
      <c r="V14" s="9">
        <f t="shared" si="6"/>
        <v>3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126</v>
      </c>
      <c r="C15">
        <v>94</v>
      </c>
      <c r="D15" s="37" t="e">
        <f>LOOKUP(C15,#REF!,#REF!)</f>
        <v>#REF!</v>
      </c>
      <c r="E15" s="44" t="e">
        <f>((C15-#REF!)/#REF!)*20+100</f>
        <v>#REF!</v>
      </c>
      <c r="F15">
        <v>48</v>
      </c>
      <c r="G15" s="37" t="e">
        <f>LOOKUP(F15,#REF!,#REF!)</f>
        <v>#REF!</v>
      </c>
      <c r="H15" s="44" t="e">
        <f>((F15-#REF!)/#REF!)*20+100</f>
        <v>#REF!</v>
      </c>
      <c r="I15">
        <v>47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189</v>
      </c>
      <c r="M15" s="45" t="e">
        <f t="shared" si="3"/>
        <v>#REF!</v>
      </c>
      <c r="N15" s="34">
        <f t="shared" si="4"/>
        <v>18</v>
      </c>
      <c r="O15">
        <v>22</v>
      </c>
      <c r="P15">
        <v>23</v>
      </c>
      <c r="Q15" s="36">
        <f t="shared" si="5"/>
        <v>45</v>
      </c>
      <c r="R15" s="35">
        <f t="shared" si="0"/>
        <v>234</v>
      </c>
      <c r="S15" s="35">
        <f t="shared" si="1"/>
        <v>18</v>
      </c>
      <c r="T15" s="4"/>
      <c r="U15" s="14">
        <v>290</v>
      </c>
      <c r="V15" s="9">
        <f t="shared" si="6"/>
        <v>2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127</v>
      </c>
      <c r="C16">
        <v>96</v>
      </c>
      <c r="D16" s="37" t="e">
        <f>LOOKUP(C16,#REF!,#REF!)</f>
        <v>#REF!</v>
      </c>
      <c r="E16" s="44" t="e">
        <f>((C16-#REF!)/#REF!)*20+100</f>
        <v>#REF!</v>
      </c>
      <c r="F16">
        <v>53</v>
      </c>
      <c r="G16" s="37" t="e">
        <f>LOOKUP(F16,#REF!,#REF!)</f>
        <v>#REF!</v>
      </c>
      <c r="H16" s="44" t="e">
        <f>((F16-#REF!)/#REF!)*20+100</f>
        <v>#REF!</v>
      </c>
      <c r="I16">
        <v>77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226</v>
      </c>
      <c r="M16" s="45" t="e">
        <f t="shared" si="3"/>
        <v>#REF!</v>
      </c>
      <c r="N16" s="34">
        <f t="shared" si="4"/>
        <v>11</v>
      </c>
      <c r="O16">
        <v>25</v>
      </c>
      <c r="P16">
        <v>24</v>
      </c>
      <c r="Q16" s="36">
        <f t="shared" si="5"/>
        <v>49</v>
      </c>
      <c r="R16" s="35">
        <f t="shared" si="0"/>
        <v>275</v>
      </c>
      <c r="S16" s="35">
        <f t="shared" si="1"/>
        <v>12</v>
      </c>
      <c r="T16" s="4"/>
      <c r="U16" s="15">
        <v>280</v>
      </c>
      <c r="V16" s="9">
        <f t="shared" si="6"/>
        <v>0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128</v>
      </c>
      <c r="C17">
        <v>90</v>
      </c>
      <c r="D17" s="37" t="e">
        <f>LOOKUP(C17,#REF!,#REF!)</f>
        <v>#REF!</v>
      </c>
      <c r="E17" s="44" t="e">
        <f>((C17-#REF!)/#REF!)*20+100</f>
        <v>#REF!</v>
      </c>
      <c r="F17">
        <v>51</v>
      </c>
      <c r="G17" s="37" t="e">
        <f>LOOKUP(F17,#REF!,#REF!)</f>
        <v>#REF!</v>
      </c>
      <c r="H17" s="44" t="e">
        <f>((F17-#REF!)/#REF!)*20+100</f>
        <v>#REF!</v>
      </c>
      <c r="I17">
        <v>22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163</v>
      </c>
      <c r="M17" s="45" t="e">
        <f t="shared" si="3"/>
        <v>#REF!</v>
      </c>
      <c r="N17" s="34">
        <f t="shared" si="4"/>
        <v>21</v>
      </c>
      <c r="O17">
        <v>23</v>
      </c>
      <c r="P17">
        <v>13</v>
      </c>
      <c r="Q17" s="36">
        <f t="shared" si="5"/>
        <v>36</v>
      </c>
      <c r="R17" s="35">
        <f t="shared" si="0"/>
        <v>199</v>
      </c>
      <c r="S17" s="35">
        <f t="shared" si="1"/>
        <v>25</v>
      </c>
      <c r="T17" s="4"/>
      <c r="U17" s="15">
        <v>270</v>
      </c>
      <c r="V17" s="9">
        <f t="shared" si="6"/>
        <v>3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129</v>
      </c>
      <c r="C18">
        <v>97</v>
      </c>
      <c r="D18" s="37" t="e">
        <f>LOOKUP(C18,#REF!,#REF!)</f>
        <v>#REF!</v>
      </c>
      <c r="E18" s="44" t="e">
        <f>((C18-#REF!)/#REF!)*20+100</f>
        <v>#REF!</v>
      </c>
      <c r="F18">
        <v>59</v>
      </c>
      <c r="G18" s="37" t="e">
        <f>LOOKUP(F18,#REF!,#REF!)</f>
        <v>#REF!</v>
      </c>
      <c r="H18" s="44" t="e">
        <f>((F18-#REF!)/#REF!)*20+100</f>
        <v>#REF!</v>
      </c>
      <c r="I18">
        <v>87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243</v>
      </c>
      <c r="M18" s="45" t="e">
        <f t="shared" si="3"/>
        <v>#REF!</v>
      </c>
      <c r="N18" s="34">
        <f t="shared" si="4"/>
        <v>7</v>
      </c>
      <c r="O18">
        <v>26</v>
      </c>
      <c r="P18">
        <v>38</v>
      </c>
      <c r="Q18" s="36">
        <f t="shared" si="5"/>
        <v>64</v>
      </c>
      <c r="R18" s="35">
        <f t="shared" si="0"/>
        <v>307</v>
      </c>
      <c r="S18" s="35">
        <f t="shared" si="1"/>
        <v>7</v>
      </c>
      <c r="T18" s="4"/>
      <c r="U18" s="15">
        <v>260</v>
      </c>
      <c r="V18" s="9">
        <f t="shared" si="6"/>
        <v>0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130</v>
      </c>
      <c r="C19">
        <v>47</v>
      </c>
      <c r="D19" s="37" t="e">
        <f>LOOKUP(C19,#REF!,#REF!)</f>
        <v>#REF!</v>
      </c>
      <c r="E19" s="44" t="e">
        <f>((C19-#REF!)/#REF!)*20+100</f>
        <v>#REF!</v>
      </c>
      <c r="F19" s="98">
        <v>12</v>
      </c>
      <c r="G19" s="37">
        <f>LOOKUP(F19,예상등급!$D$19:$D$27,예상등급!$E$19:$E$27)</f>
        <v>7</v>
      </c>
      <c r="H19" s="44" t="e">
        <f>((F19-예상등급!#REF!)/예상등급!#REF!)*20+100</f>
        <v>#REF!</v>
      </c>
      <c r="I19">
        <v>22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81</v>
      </c>
      <c r="M19" s="45" t="e">
        <f t="shared" si="3"/>
        <v>#REF!</v>
      </c>
      <c r="N19" s="34">
        <f t="shared" si="4"/>
        <v>34</v>
      </c>
      <c r="O19">
        <v>14</v>
      </c>
      <c r="P19">
        <v>13</v>
      </c>
      <c r="Q19" s="36">
        <f t="shared" si="5"/>
        <v>27</v>
      </c>
      <c r="R19" s="35">
        <f t="shared" si="0"/>
        <v>108</v>
      </c>
      <c r="S19" s="35">
        <f t="shared" si="1"/>
        <v>34</v>
      </c>
      <c r="T19" s="4"/>
      <c r="U19" s="16">
        <v>250</v>
      </c>
      <c r="V19" s="9">
        <f>FREQUENCY($R$4:$R$40,W18:W40)</f>
        <v>0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131</v>
      </c>
      <c r="C20">
        <v>96</v>
      </c>
      <c r="D20" s="37" t="e">
        <f>LOOKUP(C20,#REF!,#REF!)</f>
        <v>#REF!</v>
      </c>
      <c r="E20" s="44" t="e">
        <f>((C20-#REF!)/#REF!)*20+100</f>
        <v>#REF!</v>
      </c>
      <c r="F20">
        <v>59</v>
      </c>
      <c r="G20" s="37" t="e">
        <f>LOOKUP(F20,#REF!,#REF!)</f>
        <v>#REF!</v>
      </c>
      <c r="H20" s="44" t="e">
        <f>((F20-#REF!)/#REF!)*20+100</f>
        <v>#REF!</v>
      </c>
      <c r="I20">
        <v>54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209</v>
      </c>
      <c r="M20" s="45" t="e">
        <f t="shared" si="3"/>
        <v>#REF!</v>
      </c>
      <c r="N20" s="34">
        <f t="shared" si="4"/>
        <v>15</v>
      </c>
      <c r="O20">
        <v>15</v>
      </c>
      <c r="P20">
        <v>20</v>
      </c>
      <c r="Q20" s="36">
        <f t="shared" si="5"/>
        <v>35</v>
      </c>
      <c r="R20" s="35">
        <f t="shared" si="0"/>
        <v>244</v>
      </c>
      <c r="S20" s="35">
        <f t="shared" si="1"/>
        <v>16</v>
      </c>
      <c r="T20" s="4"/>
      <c r="U20" s="17">
        <v>240</v>
      </c>
      <c r="V20" s="9">
        <f>FREQUENCY($R$4:$R$40,W19:W40)</f>
        <v>3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132</v>
      </c>
      <c r="C21">
        <v>39</v>
      </c>
      <c r="D21" s="37" t="e">
        <f>LOOKUP(C21,#REF!,#REF!)</f>
        <v>#REF!</v>
      </c>
      <c r="E21" s="44" t="e">
        <f>((C21-#REF!)/#REF!)*20+100</f>
        <v>#REF!</v>
      </c>
      <c r="F21">
        <v>16</v>
      </c>
      <c r="G21" s="37" t="e">
        <f>LOOKUP(F21,#REF!,#REF!)</f>
        <v>#REF!</v>
      </c>
      <c r="H21" s="44" t="e">
        <f>((F21-#REF!)/#REF!)*20+100</f>
        <v>#REF!</v>
      </c>
      <c r="I21">
        <v>47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102</v>
      </c>
      <c r="M21" s="45" t="e">
        <f t="shared" si="3"/>
        <v>#REF!</v>
      </c>
      <c r="N21" s="34">
        <f t="shared" si="4"/>
        <v>30</v>
      </c>
      <c r="O21">
        <v>13</v>
      </c>
      <c r="P21">
        <v>17</v>
      </c>
      <c r="Q21" s="36">
        <f t="shared" si="5"/>
        <v>30</v>
      </c>
      <c r="R21" s="35">
        <f t="shared" si="0"/>
        <v>132</v>
      </c>
      <c r="S21" s="35">
        <f t="shared" si="1"/>
        <v>31</v>
      </c>
      <c r="T21" s="4"/>
      <c r="U21" s="18">
        <v>230</v>
      </c>
      <c r="V21" s="9">
        <f t="shared" ref="V21:V26" si="7">FREQUENCY($R$4:$R$40,W20:W40)</f>
        <v>1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133</v>
      </c>
      <c r="C22">
        <v>53</v>
      </c>
      <c r="D22" s="37" t="e">
        <f>LOOKUP(C22,#REF!,#REF!)</f>
        <v>#REF!</v>
      </c>
      <c r="E22" s="44" t="e">
        <f>((C22-#REF!)/#REF!)*20+100</f>
        <v>#REF!</v>
      </c>
      <c r="F22">
        <v>7</v>
      </c>
      <c r="G22" s="37" t="e">
        <f>LOOKUP(F22,#REF!,#REF!)</f>
        <v>#REF!</v>
      </c>
      <c r="H22" s="44" t="e">
        <f>((F22-#REF!)/#REF!)*20+100</f>
        <v>#REF!</v>
      </c>
      <c r="I22">
        <v>42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102</v>
      </c>
      <c r="M22" s="45" t="e">
        <f t="shared" si="3"/>
        <v>#REF!</v>
      </c>
      <c r="N22" s="34">
        <f t="shared" si="4"/>
        <v>30</v>
      </c>
      <c r="O22">
        <v>21</v>
      </c>
      <c r="P22">
        <v>16</v>
      </c>
      <c r="Q22" s="36">
        <f t="shared" si="5"/>
        <v>37</v>
      </c>
      <c r="R22" s="35">
        <f t="shared" si="0"/>
        <v>139</v>
      </c>
      <c r="S22" s="35">
        <f t="shared" si="1"/>
        <v>30</v>
      </c>
      <c r="T22" s="4"/>
      <c r="U22" s="18">
        <v>220</v>
      </c>
      <c r="V22" s="9">
        <f t="shared" si="7"/>
        <v>2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134</v>
      </c>
      <c r="C23">
        <v>35</v>
      </c>
      <c r="D23" s="37" t="e">
        <f>LOOKUP(C23,#REF!,#REF!)</f>
        <v>#REF!</v>
      </c>
      <c r="E23" s="44" t="e">
        <f>((C23-#REF!)/#REF!)*20+100</f>
        <v>#REF!</v>
      </c>
      <c r="F23">
        <v>31</v>
      </c>
      <c r="G23" s="37" t="e">
        <f>LOOKUP(F23,#REF!,#REF!)</f>
        <v>#REF!</v>
      </c>
      <c r="H23" s="44" t="e">
        <f>((F23-#REF!)/#REF!)*20+100</f>
        <v>#REF!</v>
      </c>
      <c r="I23">
        <v>32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98</v>
      </c>
      <c r="M23" s="45" t="e">
        <f t="shared" si="3"/>
        <v>#REF!</v>
      </c>
      <c r="N23" s="34">
        <f t="shared" si="4"/>
        <v>32</v>
      </c>
      <c r="O23">
        <v>6</v>
      </c>
      <c r="P23">
        <v>16</v>
      </c>
      <c r="Q23" s="36">
        <f t="shared" si="5"/>
        <v>22</v>
      </c>
      <c r="R23" s="35">
        <f t="shared" si="0"/>
        <v>120</v>
      </c>
      <c r="S23" s="35">
        <f t="shared" si="1"/>
        <v>32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135</v>
      </c>
      <c r="C24">
        <v>77</v>
      </c>
      <c r="D24" s="37" t="e">
        <f>LOOKUP(C24,#REF!,#REF!)</f>
        <v>#REF!</v>
      </c>
      <c r="E24" s="44" t="e">
        <f>((C24-#REF!)/#REF!)*20+100</f>
        <v>#REF!</v>
      </c>
      <c r="F24">
        <v>39</v>
      </c>
      <c r="G24" s="37" t="e">
        <f>LOOKUP(F24,#REF!,#REF!)</f>
        <v>#REF!</v>
      </c>
      <c r="H24" s="44" t="e">
        <f>((F24-#REF!)/#REF!)*20+100</f>
        <v>#REF!</v>
      </c>
      <c r="I24">
        <v>41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157</v>
      </c>
      <c r="M24" s="45" t="e">
        <f t="shared" si="3"/>
        <v>#REF!</v>
      </c>
      <c r="N24" s="34">
        <f t="shared" si="4"/>
        <v>22</v>
      </c>
      <c r="O24">
        <v>16</v>
      </c>
      <c r="P24">
        <v>21</v>
      </c>
      <c r="Q24" s="36">
        <f t="shared" si="5"/>
        <v>37</v>
      </c>
      <c r="R24" s="35">
        <f t="shared" si="0"/>
        <v>194</v>
      </c>
      <c r="S24" s="35">
        <f t="shared" si="1"/>
        <v>27</v>
      </c>
      <c r="T24" s="4"/>
      <c r="U24" s="19">
        <v>200</v>
      </c>
      <c r="V24" s="9">
        <f t="shared" si="7"/>
        <v>4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136</v>
      </c>
      <c r="C25">
        <v>19</v>
      </c>
      <c r="D25" s="37" t="e">
        <f>LOOKUP(C25,#REF!,#REF!)</f>
        <v>#REF!</v>
      </c>
      <c r="E25" s="44" t="e">
        <f>((C25-#REF!)/#REF!)*20+100</f>
        <v>#REF!</v>
      </c>
      <c r="F25">
        <v>15</v>
      </c>
      <c r="G25" s="37" t="e">
        <f>LOOKUP(F25,#REF!,#REF!)</f>
        <v>#REF!</v>
      </c>
      <c r="H25" s="44" t="e">
        <f>((F25-#REF!)/#REF!)*20+100</f>
        <v>#REF!</v>
      </c>
      <c r="I25">
        <v>28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62</v>
      </c>
      <c r="M25" s="45" t="e">
        <f t="shared" si="3"/>
        <v>#REF!</v>
      </c>
      <c r="N25" s="34">
        <f t="shared" si="4"/>
        <v>36</v>
      </c>
      <c r="O25">
        <v>9</v>
      </c>
      <c r="P25"/>
      <c r="Q25" s="36">
        <f t="shared" si="5"/>
        <v>9</v>
      </c>
      <c r="R25" s="35">
        <f t="shared" si="0"/>
        <v>71</v>
      </c>
      <c r="S25" s="35">
        <f t="shared" si="1"/>
        <v>37</v>
      </c>
      <c r="T25" s="4"/>
      <c r="U25" s="20">
        <v>190</v>
      </c>
      <c r="V25" s="9">
        <f t="shared" si="7"/>
        <v>3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137</v>
      </c>
      <c r="C26">
        <v>100</v>
      </c>
      <c r="D26" s="37" t="e">
        <f>LOOKUP(C26,#REF!,#REF!)</f>
        <v>#REF!</v>
      </c>
      <c r="E26" s="44" t="e">
        <f>((C26-#REF!)/#REF!)*20+100</f>
        <v>#REF!</v>
      </c>
      <c r="F26">
        <v>58</v>
      </c>
      <c r="G26" s="37" t="e">
        <f>LOOKUP(F26,#REF!,#REF!)</f>
        <v>#REF!</v>
      </c>
      <c r="H26" s="44" t="e">
        <f>((F26-#REF!)/#REF!)*20+100</f>
        <v>#REF!</v>
      </c>
      <c r="I26">
        <v>78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236</v>
      </c>
      <c r="M26" s="45" t="e">
        <f t="shared" si="3"/>
        <v>#REF!</v>
      </c>
      <c r="N26" s="34">
        <f t="shared" si="4"/>
        <v>9</v>
      </c>
      <c r="O26">
        <v>50</v>
      </c>
      <c r="P26">
        <v>27</v>
      </c>
      <c r="Q26" s="36">
        <f t="shared" si="5"/>
        <v>77</v>
      </c>
      <c r="R26" s="35">
        <f t="shared" si="0"/>
        <v>313</v>
      </c>
      <c r="S26" s="35">
        <f t="shared" si="1"/>
        <v>6</v>
      </c>
      <c r="T26" s="4"/>
      <c r="U26" s="21" t="s">
        <v>20</v>
      </c>
      <c r="V26" s="9">
        <f t="shared" si="7"/>
        <v>10</v>
      </c>
    </row>
    <row r="27" spans="1:23" s="7" customFormat="1" ht="17.100000000000001" customHeight="1" x14ac:dyDescent="0.15">
      <c r="A27" s="40">
        <v>24</v>
      </c>
      <c r="B27" s="71" t="s">
        <v>138</v>
      </c>
      <c r="C27">
        <v>79</v>
      </c>
      <c r="D27" s="37" t="e">
        <f>LOOKUP(C27,#REF!,#REF!)</f>
        <v>#REF!</v>
      </c>
      <c r="E27" s="44" t="e">
        <f>((C27-#REF!)/#REF!)*20+100</f>
        <v>#REF!</v>
      </c>
      <c r="F27">
        <v>45</v>
      </c>
      <c r="G27" s="37" t="e">
        <f>LOOKUP(F27,#REF!,#REF!)</f>
        <v>#REF!</v>
      </c>
      <c r="H27" s="44" t="e">
        <f>((F27-#REF!)/#REF!)*20+100</f>
        <v>#REF!</v>
      </c>
      <c r="I27">
        <v>66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190</v>
      </c>
      <c r="M27" s="45" t="e">
        <f t="shared" si="3"/>
        <v>#REF!</v>
      </c>
      <c r="N27" s="34">
        <f t="shared" si="4"/>
        <v>17</v>
      </c>
      <c r="O27">
        <v>16</v>
      </c>
      <c r="P27"/>
      <c r="Q27" s="36">
        <f t="shared" si="5"/>
        <v>16</v>
      </c>
      <c r="R27" s="35">
        <f t="shared" si="0"/>
        <v>206</v>
      </c>
      <c r="S27" s="35">
        <f t="shared" si="1"/>
        <v>21</v>
      </c>
      <c r="T27" s="4"/>
      <c r="U27" s="311" t="s">
        <v>9</v>
      </c>
      <c r="V27" s="313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139</v>
      </c>
      <c r="C28">
        <v>74</v>
      </c>
      <c r="D28" s="37" t="e">
        <f>LOOKUP(C28,#REF!,#REF!)</f>
        <v>#REF!</v>
      </c>
      <c r="E28" s="44" t="e">
        <f>((C28-#REF!)/#REF!)*20+100</f>
        <v>#REF!</v>
      </c>
      <c r="F28">
        <v>28</v>
      </c>
      <c r="G28" s="37" t="e">
        <f>LOOKUP(F28,#REF!,#REF!)</f>
        <v>#REF!</v>
      </c>
      <c r="H28" s="44" t="e">
        <f>((F28-#REF!)/#REF!)*20+100</f>
        <v>#REF!</v>
      </c>
      <c r="I28">
        <v>48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150</v>
      </c>
      <c r="M28" s="45" t="e">
        <f t="shared" si="3"/>
        <v>#REF!</v>
      </c>
      <c r="N28" s="34">
        <f t="shared" si="4"/>
        <v>24</v>
      </c>
      <c r="O28">
        <v>28</v>
      </c>
      <c r="P28">
        <v>27</v>
      </c>
      <c r="Q28" s="36">
        <f t="shared" si="5"/>
        <v>55</v>
      </c>
      <c r="R28" s="35">
        <f t="shared" si="0"/>
        <v>205</v>
      </c>
      <c r="S28" s="35">
        <f t="shared" si="1"/>
        <v>22</v>
      </c>
      <c r="T28" s="4"/>
      <c r="U28" s="312"/>
      <c r="V28" s="314"/>
    </row>
    <row r="29" spans="1:23" s="7" customFormat="1" ht="17.100000000000001" customHeight="1" thickBot="1" x14ac:dyDescent="0.2">
      <c r="A29" s="40">
        <v>26</v>
      </c>
      <c r="B29" s="71" t="s">
        <v>140</v>
      </c>
      <c r="C29">
        <v>18</v>
      </c>
      <c r="D29" s="37" t="e">
        <f>LOOKUP(C29,#REF!,#REF!)</f>
        <v>#REF!</v>
      </c>
      <c r="E29" s="44" t="e">
        <f>((C29-#REF!)/#REF!)*20+100</f>
        <v>#REF!</v>
      </c>
      <c r="F29">
        <v>77</v>
      </c>
      <c r="G29" s="37" t="e">
        <f>LOOKUP(F29,#REF!,#REF!)</f>
        <v>#REF!</v>
      </c>
      <c r="H29" s="44" t="e">
        <f>((F29-#REF!)/#REF!)*20+100</f>
        <v>#REF!</v>
      </c>
      <c r="I29">
        <v>28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123</v>
      </c>
      <c r="M29" s="45" t="e">
        <f t="shared" si="3"/>
        <v>#REF!</v>
      </c>
      <c r="N29" s="34">
        <f t="shared" si="4"/>
        <v>29</v>
      </c>
      <c r="O29">
        <v>36</v>
      </c>
      <c r="P29">
        <v>41</v>
      </c>
      <c r="Q29" s="36">
        <f t="shared" si="5"/>
        <v>77</v>
      </c>
      <c r="R29" s="35">
        <f t="shared" si="0"/>
        <v>200</v>
      </c>
      <c r="S29" s="35">
        <f t="shared" si="1"/>
        <v>24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141</v>
      </c>
      <c r="C30">
        <v>93</v>
      </c>
      <c r="D30" s="37" t="e">
        <f>LOOKUP(C30,#REF!,#REF!)</f>
        <v>#REF!</v>
      </c>
      <c r="E30" s="44" t="e">
        <f>((C30-#REF!)/#REF!)*20+100</f>
        <v>#REF!</v>
      </c>
      <c r="F30">
        <v>32</v>
      </c>
      <c r="G30" s="37" t="e">
        <f>LOOKUP(F30,#REF!,#REF!)</f>
        <v>#REF!</v>
      </c>
      <c r="H30" s="44" t="e">
        <f>((F30-#REF!)/#REF!)*20+100</f>
        <v>#REF!</v>
      </c>
      <c r="I30">
        <v>9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134</v>
      </c>
      <c r="M30" s="45" t="e">
        <f t="shared" si="3"/>
        <v>#REF!</v>
      </c>
      <c r="N30" s="34">
        <f t="shared" si="4"/>
        <v>28</v>
      </c>
      <c r="O30">
        <v>21</v>
      </c>
      <c r="P30">
        <v>40</v>
      </c>
      <c r="Q30" s="36">
        <f t="shared" si="5"/>
        <v>61</v>
      </c>
      <c r="R30" s="35">
        <f t="shared" si="0"/>
        <v>195</v>
      </c>
      <c r="S30" s="35">
        <f t="shared" si="1"/>
        <v>26</v>
      </c>
      <c r="T30" s="4"/>
      <c r="U30" s="315" t="s">
        <v>10</v>
      </c>
      <c r="V30" s="316"/>
    </row>
    <row r="31" spans="1:23" s="7" customFormat="1" ht="17.100000000000001" customHeight="1" x14ac:dyDescent="0.15">
      <c r="A31" s="40">
        <v>28</v>
      </c>
      <c r="B31" s="71" t="s">
        <v>142</v>
      </c>
      <c r="C31">
        <v>83</v>
      </c>
      <c r="D31" s="37" t="e">
        <f>LOOKUP(C31,#REF!,#REF!)</f>
        <v>#REF!</v>
      </c>
      <c r="E31" s="44" t="e">
        <f>((C31-#REF!)/#REF!)*20+100</f>
        <v>#REF!</v>
      </c>
      <c r="F31">
        <v>54</v>
      </c>
      <c r="G31" s="37" t="e">
        <f>LOOKUP(F31,#REF!,#REF!)</f>
        <v>#REF!</v>
      </c>
      <c r="H31" s="44" t="e">
        <f>((F31-#REF!)/#REF!)*20+100</f>
        <v>#REF!</v>
      </c>
      <c r="I31">
        <v>81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218</v>
      </c>
      <c r="M31" s="45" t="e">
        <f t="shared" si="3"/>
        <v>#REF!</v>
      </c>
      <c r="N31" s="34">
        <f t="shared" si="4"/>
        <v>14</v>
      </c>
      <c r="O31">
        <v>36</v>
      </c>
      <c r="P31">
        <v>20</v>
      </c>
      <c r="Q31" s="36">
        <f t="shared" si="5"/>
        <v>56</v>
      </c>
      <c r="R31" s="35">
        <f t="shared" si="0"/>
        <v>274</v>
      </c>
      <c r="S31" s="35">
        <f t="shared" si="1"/>
        <v>14</v>
      </c>
      <c r="T31" s="4"/>
      <c r="U31" s="317">
        <f>MAX(R4:R40)</f>
        <v>369</v>
      </c>
      <c r="V31" s="318"/>
    </row>
    <row r="32" spans="1:23" s="7" customFormat="1" ht="17.100000000000001" customHeight="1" thickBot="1" x14ac:dyDescent="0.2">
      <c r="A32" s="40">
        <v>29</v>
      </c>
      <c r="B32" s="71" t="s">
        <v>143</v>
      </c>
      <c r="C32">
        <v>27</v>
      </c>
      <c r="D32" s="37" t="e">
        <f>LOOKUP(C32,#REF!,#REF!)</f>
        <v>#REF!</v>
      </c>
      <c r="E32" s="44" t="e">
        <f>((C32-#REF!)/#REF!)*20+100</f>
        <v>#REF!</v>
      </c>
      <c r="F32">
        <v>30</v>
      </c>
      <c r="G32" s="37" t="e">
        <f>LOOKUP(F32,#REF!,#REF!)</f>
        <v>#REF!</v>
      </c>
      <c r="H32" s="44" t="e">
        <f>((F32-#REF!)/#REF!)*20+100</f>
        <v>#REF!</v>
      </c>
      <c r="I32">
        <v>20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77</v>
      </c>
      <c r="M32" s="45" t="e">
        <f t="shared" si="3"/>
        <v>#REF!</v>
      </c>
      <c r="N32" s="34">
        <f t="shared" si="4"/>
        <v>35</v>
      </c>
      <c r="O32">
        <v>7</v>
      </c>
      <c r="P32">
        <v>15</v>
      </c>
      <c r="Q32" s="36">
        <f t="shared" si="5"/>
        <v>22</v>
      </c>
      <c r="R32" s="35">
        <f t="shared" si="0"/>
        <v>99</v>
      </c>
      <c r="S32" s="35">
        <f t="shared" si="1"/>
        <v>35</v>
      </c>
      <c r="T32" s="4"/>
      <c r="U32" s="319"/>
      <c r="V32" s="320"/>
    </row>
    <row r="33" spans="1:22" s="7" customFormat="1" ht="17.100000000000001" customHeight="1" x14ac:dyDescent="0.15">
      <c r="A33" s="40">
        <v>30</v>
      </c>
      <c r="B33" s="71" t="s">
        <v>144</v>
      </c>
      <c r="C33">
        <v>100</v>
      </c>
      <c r="D33" s="37" t="e">
        <f>LOOKUP(C33,#REF!,#REF!)</f>
        <v>#REF!</v>
      </c>
      <c r="E33" s="44" t="e">
        <f>((C33-#REF!)/#REF!)*20+100</f>
        <v>#REF!</v>
      </c>
      <c r="F33">
        <v>96</v>
      </c>
      <c r="G33" s="37" t="e">
        <f>LOOKUP(F33,#REF!,#REF!)</f>
        <v>#REF!</v>
      </c>
      <c r="H33" s="44" t="e">
        <f>((F33-#REF!)/#REF!)*20+100</f>
        <v>#REF!</v>
      </c>
      <c r="I33">
        <v>87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283</v>
      </c>
      <c r="M33" s="45" t="e">
        <f t="shared" si="3"/>
        <v>#REF!</v>
      </c>
      <c r="N33" s="34">
        <f t="shared" si="4"/>
        <v>1</v>
      </c>
      <c r="O33">
        <v>42</v>
      </c>
      <c r="P33">
        <v>44</v>
      </c>
      <c r="Q33" s="36">
        <f t="shared" si="5"/>
        <v>86</v>
      </c>
      <c r="R33" s="35">
        <f t="shared" si="0"/>
        <v>369</v>
      </c>
      <c r="S33" s="35">
        <f t="shared" si="1"/>
        <v>1</v>
      </c>
      <c r="T33" s="4"/>
      <c r="U33" s="315" t="s">
        <v>11</v>
      </c>
      <c r="V33" s="316"/>
    </row>
    <row r="34" spans="1:22" s="7" customFormat="1" ht="17.100000000000001" customHeight="1" x14ac:dyDescent="0.15">
      <c r="A34" s="40">
        <v>31</v>
      </c>
      <c r="B34" s="71" t="s">
        <v>145</v>
      </c>
      <c r="C34">
        <v>85</v>
      </c>
      <c r="D34" s="37" t="e">
        <f>LOOKUP(C34,#REF!,#REF!)</f>
        <v>#REF!</v>
      </c>
      <c r="E34" s="44" t="e">
        <f>((C34-#REF!)/#REF!)*20+100</f>
        <v>#REF!</v>
      </c>
      <c r="F34">
        <v>43</v>
      </c>
      <c r="G34" s="37" t="e">
        <f>LOOKUP(F34,#REF!,#REF!)</f>
        <v>#REF!</v>
      </c>
      <c r="H34" s="44" t="e">
        <f>((F34-#REF!)/#REF!)*20+100</f>
        <v>#REF!</v>
      </c>
      <c r="I34">
        <v>43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171</v>
      </c>
      <c r="M34" s="45" t="e">
        <f t="shared" si="3"/>
        <v>#REF!</v>
      </c>
      <c r="N34" s="34">
        <f t="shared" si="4"/>
        <v>20</v>
      </c>
      <c r="O34">
        <v>16</v>
      </c>
      <c r="P34">
        <v>36</v>
      </c>
      <c r="Q34" s="36">
        <f t="shared" si="5"/>
        <v>52</v>
      </c>
      <c r="R34" s="35">
        <f t="shared" si="0"/>
        <v>223</v>
      </c>
      <c r="S34" s="35">
        <f t="shared" si="1"/>
        <v>20</v>
      </c>
      <c r="T34" s="4"/>
      <c r="U34" s="321">
        <f>MIN(R4:R40)</f>
        <v>71</v>
      </c>
      <c r="V34" s="322"/>
    </row>
    <row r="35" spans="1:22" s="7" customFormat="1" ht="17.100000000000001" customHeight="1" thickBot="1" x14ac:dyDescent="0.2">
      <c r="A35" s="40">
        <v>32</v>
      </c>
      <c r="B35" s="71" t="s">
        <v>146</v>
      </c>
      <c r="C35">
        <v>71</v>
      </c>
      <c r="D35" s="37" t="e">
        <f>LOOKUP(C35,#REF!,#REF!)</f>
        <v>#REF!</v>
      </c>
      <c r="E35" s="44" t="e">
        <f>((C35-#REF!)/#REF!)*20+100</f>
        <v>#REF!</v>
      </c>
      <c r="F35">
        <v>54</v>
      </c>
      <c r="G35" s="37" t="e">
        <f>LOOKUP(F35,#REF!,#REF!)</f>
        <v>#REF!</v>
      </c>
      <c r="H35" s="44" t="e">
        <f>((F35-#REF!)/#REF!)*20+100</f>
        <v>#REF!</v>
      </c>
      <c r="I35">
        <v>64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189</v>
      </c>
      <c r="M35" s="45" t="e">
        <f t="shared" si="3"/>
        <v>#REF!</v>
      </c>
      <c r="N35" s="34">
        <f t="shared" si="4"/>
        <v>18</v>
      </c>
      <c r="O35">
        <v>20</v>
      </c>
      <c r="P35">
        <v>33</v>
      </c>
      <c r="Q35" s="36">
        <f t="shared" si="5"/>
        <v>53</v>
      </c>
      <c r="R35" s="35">
        <f t="shared" si="0"/>
        <v>242</v>
      </c>
      <c r="S35" s="35">
        <f t="shared" si="1"/>
        <v>17</v>
      </c>
      <c r="T35" s="4"/>
      <c r="U35" s="323"/>
      <c r="V35" s="324"/>
    </row>
    <row r="36" spans="1:22" s="7" customFormat="1" ht="17.100000000000001" customHeight="1" x14ac:dyDescent="0.15">
      <c r="A36" s="40">
        <v>33</v>
      </c>
      <c r="B36" s="71" t="s">
        <v>147</v>
      </c>
      <c r="C36">
        <v>83</v>
      </c>
      <c r="D36" s="37" t="e">
        <f>LOOKUP(C36,#REF!,#REF!)</f>
        <v>#REF!</v>
      </c>
      <c r="E36" s="44" t="e">
        <f>((C36-#REF!)/#REF!)*20+100</f>
        <v>#REF!</v>
      </c>
      <c r="F36">
        <v>18</v>
      </c>
      <c r="G36" s="37" t="e">
        <f>LOOKUP(F36,#REF!,#REF!)</f>
        <v>#REF!</v>
      </c>
      <c r="H36" s="44" t="e">
        <f>((F36-#REF!)/#REF!)*20+100</f>
        <v>#REF!</v>
      </c>
      <c r="I36">
        <v>54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155</v>
      </c>
      <c r="M36" s="45" t="e">
        <f t="shared" si="3"/>
        <v>#REF!</v>
      </c>
      <c r="N36" s="34">
        <f t="shared" si="4"/>
        <v>23</v>
      </c>
      <c r="O36">
        <v>30</v>
      </c>
      <c r="P36">
        <v>40</v>
      </c>
      <c r="Q36" s="36">
        <f t="shared" si="5"/>
        <v>70</v>
      </c>
      <c r="R36" s="35">
        <f t="shared" si="0"/>
        <v>225</v>
      </c>
      <c r="S36" s="35">
        <f t="shared" si="1"/>
        <v>19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148</v>
      </c>
      <c r="C37">
        <v>96</v>
      </c>
      <c r="D37" s="37" t="e">
        <f>LOOKUP(C37,#REF!,#REF!)</f>
        <v>#REF!</v>
      </c>
      <c r="E37" s="44" t="e">
        <f>((C37-#REF!)/#REF!)*20+100</f>
        <v>#REF!</v>
      </c>
      <c r="F37">
        <v>66</v>
      </c>
      <c r="G37" s="37" t="e">
        <f>LOOKUP(F37,#REF!,#REF!)</f>
        <v>#REF!</v>
      </c>
      <c r="H37" s="44" t="e">
        <f>((F37-#REF!)/#REF!)*20+100</f>
        <v>#REF!</v>
      </c>
      <c r="I37">
        <v>81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243</v>
      </c>
      <c r="M37" s="45" t="e">
        <f t="shared" si="3"/>
        <v>#REF!</v>
      </c>
      <c r="N37" s="34">
        <f t="shared" si="4"/>
        <v>7</v>
      </c>
      <c r="O37">
        <v>37</v>
      </c>
      <c r="P37">
        <v>26</v>
      </c>
      <c r="Q37" s="36">
        <f t="shared" si="5"/>
        <v>63</v>
      </c>
      <c r="R37" s="35">
        <f t="shared" si="0"/>
        <v>306</v>
      </c>
      <c r="S37" s="35">
        <f t="shared" si="1"/>
        <v>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149</v>
      </c>
      <c r="C38" s="98">
        <v>87</v>
      </c>
      <c r="D38" s="37">
        <f>LOOKUP(C38,예상등급!$A$5:$A$13,예상등급!$B$5:$B$13)</f>
        <v>1</v>
      </c>
      <c r="E38" s="44" t="e">
        <f>((C38-예상등급!#REF!)/예상등급!#REF!)*20+100</f>
        <v>#REF!</v>
      </c>
      <c r="F38" s="98">
        <v>0</v>
      </c>
      <c r="G38" s="37">
        <f>LOOKUP(F38,예상등급!$D$19:$D$27,예상등급!$E$19:$E$27)</f>
        <v>9</v>
      </c>
      <c r="H38" s="44" t="e">
        <f>((F38-예상등급!#REF!)/예상등급!#REF!)*20+100</f>
        <v>#REF!</v>
      </c>
      <c r="I38">
        <v>61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148</v>
      </c>
      <c r="M38" s="45" t="e">
        <f>SUM(E38,H38,K38)</f>
        <v>#REF!</v>
      </c>
      <c r="N38" s="34">
        <f t="shared" si="4"/>
        <v>25</v>
      </c>
      <c r="O38">
        <v>20</v>
      </c>
      <c r="P38">
        <v>34</v>
      </c>
      <c r="Q38" s="36">
        <f t="shared" si="5"/>
        <v>54</v>
      </c>
      <c r="R38" s="35">
        <f t="shared" si="0"/>
        <v>202</v>
      </c>
      <c r="S38" s="35">
        <f t="shared" si="1"/>
        <v>23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150</v>
      </c>
      <c r="C39">
        <v>91</v>
      </c>
      <c r="D39" s="37" t="e">
        <f>LOOKUP(C39,#REF!,#REF!)</f>
        <v>#REF!</v>
      </c>
      <c r="E39" s="44" t="e">
        <f>((C39-#REF!)/#REF!)*20+100</f>
        <v>#REF!</v>
      </c>
      <c r="F39">
        <v>76</v>
      </c>
      <c r="G39" s="37" t="e">
        <f>LOOKUP(F39,#REF!,#REF!)</f>
        <v>#REF!</v>
      </c>
      <c r="H39" s="44" t="e">
        <f>((F39-#REF!)/#REF!)*20+100</f>
        <v>#REF!</v>
      </c>
      <c r="I39">
        <v>64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231</v>
      </c>
      <c r="M39" s="45" t="e">
        <f>SUM(E39,H39,K39)</f>
        <v>#REF!</v>
      </c>
      <c r="N39" s="34">
        <f t="shared" si="4"/>
        <v>10</v>
      </c>
      <c r="O39">
        <v>43</v>
      </c>
      <c r="P39">
        <v>40</v>
      </c>
      <c r="Q39" s="36">
        <f t="shared" si="5"/>
        <v>83</v>
      </c>
      <c r="R39" s="35">
        <f t="shared" si="0"/>
        <v>314</v>
      </c>
      <c r="S39" s="35">
        <f t="shared" si="1"/>
        <v>5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151</v>
      </c>
      <c r="C40">
        <v>87</v>
      </c>
      <c r="D40" s="37" t="e">
        <f>LOOKUP(C40,#REF!,#REF!)</f>
        <v>#REF!</v>
      </c>
      <c r="E40" s="44" t="e">
        <f>((C40-#REF!)/#REF!)*20+100</f>
        <v>#REF!</v>
      </c>
      <c r="F40">
        <v>82</v>
      </c>
      <c r="G40" s="37" t="e">
        <f>LOOKUP(F40,#REF!,#REF!)</f>
        <v>#REF!</v>
      </c>
      <c r="H40" s="44" t="e">
        <f>((F40-#REF!)/#REF!)*20+100</f>
        <v>#REF!</v>
      </c>
      <c r="I40">
        <v>93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262</v>
      </c>
      <c r="M40" s="45" t="e">
        <f>SUM(E40,H40,K40)</f>
        <v>#REF!</v>
      </c>
      <c r="N40" s="34">
        <f t="shared" si="4"/>
        <v>4</v>
      </c>
      <c r="O40">
        <v>10</v>
      </c>
      <c r="P40">
        <v>29</v>
      </c>
      <c r="Q40" s="36">
        <f t="shared" si="5"/>
        <v>39</v>
      </c>
      <c r="R40" s="35">
        <f t="shared" si="0"/>
        <v>301</v>
      </c>
      <c r="S40" s="35">
        <f t="shared" si="1"/>
        <v>9</v>
      </c>
      <c r="T40" s="4"/>
      <c r="U40" s="47"/>
      <c r="V40" s="47"/>
    </row>
    <row r="41" spans="1:22" s="7" customFormat="1" ht="17.100000000000001" customHeight="1" x14ac:dyDescent="0.15">
      <c r="A41" s="304" t="s">
        <v>6</v>
      </c>
      <c r="B41" s="304"/>
      <c r="C41" s="41">
        <f>SUM(C4:C40)</f>
        <v>2748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1701</v>
      </c>
      <c r="G41" s="41" t="e">
        <f t="shared" si="8"/>
        <v>#REF!</v>
      </c>
      <c r="H41" s="41" t="e">
        <f t="shared" si="8"/>
        <v>#REF!</v>
      </c>
      <c r="I41" s="41">
        <f t="shared" si="8"/>
        <v>2092</v>
      </c>
      <c r="J41" s="41" t="e">
        <f t="shared" si="8"/>
        <v>#REF!</v>
      </c>
      <c r="K41" s="41" t="e">
        <f t="shared" si="8"/>
        <v>#REF!</v>
      </c>
      <c r="L41" s="41">
        <f t="shared" si="8"/>
        <v>6541</v>
      </c>
      <c r="M41" s="41" t="e">
        <f t="shared" si="8"/>
        <v>#REF!</v>
      </c>
      <c r="N41" s="41"/>
      <c r="O41" s="41">
        <f t="shared" si="8"/>
        <v>887</v>
      </c>
      <c r="P41" s="41">
        <f t="shared" si="8"/>
        <v>910</v>
      </c>
      <c r="Q41" s="41">
        <f t="shared" si="8"/>
        <v>1797</v>
      </c>
      <c r="R41" s="41">
        <f t="shared" si="8"/>
        <v>8338</v>
      </c>
      <c r="S41" s="41"/>
      <c r="T41" s="4"/>
      <c r="U41" s="47"/>
      <c r="V41" s="47"/>
    </row>
    <row r="42" spans="1:22" s="7" customFormat="1" ht="17.100000000000001" customHeight="1" x14ac:dyDescent="0.15">
      <c r="A42" s="304" t="s">
        <v>12</v>
      </c>
      <c r="B42" s="304"/>
      <c r="C42" s="41">
        <f>AVERAGE(C4:C40)</f>
        <v>74.270270270270274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45.972972972972975</v>
      </c>
      <c r="G42" s="41" t="e">
        <f t="shared" si="9"/>
        <v>#REF!</v>
      </c>
      <c r="H42" s="41" t="e">
        <f t="shared" si="9"/>
        <v>#REF!</v>
      </c>
      <c r="I42" s="41">
        <f t="shared" si="9"/>
        <v>56.54054054054054</v>
      </c>
      <c r="J42" s="41" t="e">
        <f t="shared" si="9"/>
        <v>#REF!</v>
      </c>
      <c r="K42" s="41" t="e">
        <f t="shared" si="9"/>
        <v>#REF!</v>
      </c>
      <c r="L42" s="41">
        <f t="shared" si="9"/>
        <v>176.78378378378378</v>
      </c>
      <c r="M42" s="41" t="e">
        <f t="shared" si="9"/>
        <v>#REF!</v>
      </c>
      <c r="N42" s="41"/>
      <c r="O42" s="41">
        <f t="shared" si="9"/>
        <v>23.972972972972972</v>
      </c>
      <c r="P42" s="41">
        <f t="shared" si="9"/>
        <v>26</v>
      </c>
      <c r="Q42" s="41">
        <f t="shared" si="9"/>
        <v>48.567567567567565</v>
      </c>
      <c r="R42" s="41">
        <f t="shared" si="9"/>
        <v>225.35135135135135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70"/>
  <sheetViews>
    <sheetView zoomScaleNormal="100" workbookViewId="0">
      <selection activeCell="G3" sqref="G3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hidden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05" t="s">
        <v>338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</row>
    <row r="2" spans="1:23" ht="33.75" customHeight="1" thickBot="1" x14ac:dyDescent="0.2">
      <c r="A2" s="306" t="s">
        <v>344</v>
      </c>
      <c r="B2" s="306"/>
      <c r="C2" s="306"/>
      <c r="D2" s="306"/>
      <c r="E2" s="306"/>
      <c r="F2" s="306"/>
      <c r="G2" s="38"/>
      <c r="H2" s="38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08" t="s">
        <v>5</v>
      </c>
      <c r="P3" s="308"/>
      <c r="Q3" s="43" t="s">
        <v>15</v>
      </c>
      <c r="R3" s="70" t="s">
        <v>6</v>
      </c>
      <c r="S3" s="42" t="s">
        <v>7</v>
      </c>
      <c r="T3" s="2"/>
      <c r="U3" s="309" t="s">
        <v>8</v>
      </c>
      <c r="V3" s="310"/>
    </row>
    <row r="4" spans="1:23" s="7" customFormat="1" ht="17.100000000000001" customHeight="1" x14ac:dyDescent="0.15">
      <c r="A4" s="40">
        <v>1</v>
      </c>
      <c r="B4" s="71" t="s">
        <v>152</v>
      </c>
      <c r="C4">
        <v>97</v>
      </c>
      <c r="D4" s="37" t="e">
        <f>LOOKUP(C4,#REF!,#REF!)</f>
        <v>#REF!</v>
      </c>
      <c r="E4" s="44" t="e">
        <f>((C4-#REF!)/#REF!)*20+100</f>
        <v>#REF!</v>
      </c>
      <c r="F4">
        <v>77</v>
      </c>
      <c r="G4" s="37" t="e">
        <f>LOOKUP(F4,#REF!,#REF!)</f>
        <v>#REF!</v>
      </c>
      <c r="H4" s="44" t="e">
        <f>((F4-#REF!)/#REF!)*20+100</f>
        <v>#REF!</v>
      </c>
      <c r="I4">
        <v>98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272</v>
      </c>
      <c r="M4" s="45" t="e">
        <f>SUM(E4,H4,K4)</f>
        <v>#REF!</v>
      </c>
      <c r="N4" s="34">
        <f>RANK(L4,$L$4:$L$40)</f>
        <v>3</v>
      </c>
      <c r="O4">
        <v>44</v>
      </c>
      <c r="P4">
        <v>41</v>
      </c>
      <c r="Q4" s="36">
        <f>(SUM(O4:P4))</f>
        <v>85</v>
      </c>
      <c r="R4" s="35">
        <f t="shared" ref="R4:R40" si="0">SUM(L4,Q4)</f>
        <v>357</v>
      </c>
      <c r="S4" s="35">
        <f t="shared" ref="S4:S40" si="1">RANK(R4,$R$4:$R$40)</f>
        <v>3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153</v>
      </c>
      <c r="C5">
        <v>70</v>
      </c>
      <c r="D5" s="37" t="e">
        <f>LOOKUP(C5,#REF!,#REF!)</f>
        <v>#REF!</v>
      </c>
      <c r="E5" s="44" t="e">
        <f>((C5-#REF!)/#REF!)*20+100</f>
        <v>#REF!</v>
      </c>
      <c r="F5">
        <v>13</v>
      </c>
      <c r="G5" s="37" t="e">
        <f>LOOKUP(F5,#REF!,#REF!)</f>
        <v>#REF!</v>
      </c>
      <c r="H5" s="44" t="e">
        <f>((F5-#REF!)/#REF!)*20+100</f>
        <v>#REF!</v>
      </c>
      <c r="I5">
        <v>48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131</v>
      </c>
      <c r="M5" s="45" t="e">
        <f t="shared" ref="M5:M37" si="3">SUM(E5,H5,K5)</f>
        <v>#REF!</v>
      </c>
      <c r="N5" s="34">
        <f t="shared" ref="N5:N40" si="4">RANK(L5,$L$4:$L$40)</f>
        <v>28</v>
      </c>
      <c r="O5">
        <v>17</v>
      </c>
      <c r="P5">
        <v>21</v>
      </c>
      <c r="Q5" s="36">
        <f t="shared" ref="Q5:Q40" si="5">(SUM(O5:P5))</f>
        <v>38</v>
      </c>
      <c r="R5" s="35">
        <f t="shared" si="0"/>
        <v>169</v>
      </c>
      <c r="S5" s="35">
        <f t="shared" si="1"/>
        <v>27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154</v>
      </c>
      <c r="C6">
        <v>92</v>
      </c>
      <c r="D6" s="37" t="e">
        <f>LOOKUP(C6,#REF!,#REF!)</f>
        <v>#REF!</v>
      </c>
      <c r="E6" s="44" t="e">
        <f>((C6-#REF!)/#REF!)*20+100</f>
        <v>#REF!</v>
      </c>
      <c r="F6">
        <v>54</v>
      </c>
      <c r="G6" s="37" t="e">
        <f>LOOKUP(F6,#REF!,#REF!)</f>
        <v>#REF!</v>
      </c>
      <c r="H6" s="44" t="e">
        <f>((F6-#REF!)/#REF!)*20+100</f>
        <v>#REF!</v>
      </c>
      <c r="I6">
        <v>69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215</v>
      </c>
      <c r="M6" s="45" t="e">
        <f t="shared" si="3"/>
        <v>#REF!</v>
      </c>
      <c r="N6" s="34">
        <f t="shared" si="4"/>
        <v>14</v>
      </c>
      <c r="O6">
        <v>22</v>
      </c>
      <c r="P6">
        <v>30</v>
      </c>
      <c r="Q6" s="36">
        <f t="shared" si="5"/>
        <v>52</v>
      </c>
      <c r="R6" s="35">
        <f t="shared" si="0"/>
        <v>267</v>
      </c>
      <c r="S6" s="35">
        <f t="shared" si="1"/>
        <v>17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155</v>
      </c>
      <c r="C7">
        <v>87</v>
      </c>
      <c r="D7" s="37" t="e">
        <f>LOOKUP(C7,#REF!,#REF!)</f>
        <v>#REF!</v>
      </c>
      <c r="E7" s="44" t="e">
        <f>((C7-#REF!)/#REF!)*20+100</f>
        <v>#REF!</v>
      </c>
      <c r="F7">
        <v>19</v>
      </c>
      <c r="G7" s="37" t="e">
        <f>LOOKUP(F7,#REF!,#REF!)</f>
        <v>#REF!</v>
      </c>
      <c r="H7" s="44" t="e">
        <f>((F7-#REF!)/#REF!)*20+100</f>
        <v>#REF!</v>
      </c>
      <c r="I7">
        <v>71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177</v>
      </c>
      <c r="M7" s="45" t="e">
        <f t="shared" si="3"/>
        <v>#REF!</v>
      </c>
      <c r="N7" s="34">
        <f t="shared" si="4"/>
        <v>20</v>
      </c>
      <c r="O7">
        <v>11</v>
      </c>
      <c r="P7">
        <v>24</v>
      </c>
      <c r="Q7" s="36">
        <f t="shared" si="5"/>
        <v>35</v>
      </c>
      <c r="R7" s="35">
        <f t="shared" si="0"/>
        <v>212</v>
      </c>
      <c r="S7" s="35">
        <f t="shared" si="1"/>
        <v>23</v>
      </c>
      <c r="T7" s="4"/>
      <c r="U7" s="8">
        <v>370</v>
      </c>
      <c r="V7" s="9">
        <f t="shared" si="6"/>
        <v>1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156</v>
      </c>
      <c r="C8">
        <v>79</v>
      </c>
      <c r="D8" s="37" t="e">
        <f>LOOKUP(C8,#REF!,#REF!)</f>
        <v>#REF!</v>
      </c>
      <c r="E8" s="44" t="e">
        <f>((C8-#REF!)/#REF!)*20+100</f>
        <v>#REF!</v>
      </c>
      <c r="F8">
        <v>25</v>
      </c>
      <c r="G8" s="37" t="e">
        <f>LOOKUP(F8,#REF!,#REF!)</f>
        <v>#REF!</v>
      </c>
      <c r="H8" s="44" t="e">
        <f>((F8-#REF!)/#REF!)*20+100</f>
        <v>#REF!</v>
      </c>
      <c r="I8">
        <v>22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126</v>
      </c>
      <c r="M8" s="45" t="e">
        <f t="shared" si="3"/>
        <v>#REF!</v>
      </c>
      <c r="N8" s="34">
        <f t="shared" si="4"/>
        <v>29</v>
      </c>
      <c r="O8">
        <v>21</v>
      </c>
      <c r="P8">
        <v>17</v>
      </c>
      <c r="Q8" s="36">
        <f t="shared" si="5"/>
        <v>38</v>
      </c>
      <c r="R8" s="35">
        <f t="shared" si="0"/>
        <v>164</v>
      </c>
      <c r="S8" s="35">
        <f t="shared" si="1"/>
        <v>28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157</v>
      </c>
      <c r="C9">
        <v>80</v>
      </c>
      <c r="D9" s="37" t="e">
        <f>LOOKUP(C9,#REF!,#REF!)</f>
        <v>#REF!</v>
      </c>
      <c r="E9" s="44" t="e">
        <f>((C9-#REF!)/#REF!)*20+100</f>
        <v>#REF!</v>
      </c>
      <c r="F9">
        <v>58</v>
      </c>
      <c r="G9" s="37" t="e">
        <f>LOOKUP(F9,#REF!,#REF!)</f>
        <v>#REF!</v>
      </c>
      <c r="H9" s="44" t="e">
        <f>((F9-#REF!)/#REF!)*20+100</f>
        <v>#REF!</v>
      </c>
      <c r="I9">
        <v>58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196</v>
      </c>
      <c r="M9" s="45" t="e">
        <f t="shared" si="3"/>
        <v>#REF!</v>
      </c>
      <c r="N9" s="34">
        <f t="shared" si="4"/>
        <v>16</v>
      </c>
      <c r="O9">
        <v>37</v>
      </c>
      <c r="P9">
        <v>39</v>
      </c>
      <c r="Q9" s="36">
        <f t="shared" si="5"/>
        <v>76</v>
      </c>
      <c r="R9" s="35">
        <f t="shared" si="0"/>
        <v>272</v>
      </c>
      <c r="S9" s="35">
        <f t="shared" si="1"/>
        <v>15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158</v>
      </c>
      <c r="C10">
        <v>35</v>
      </c>
      <c r="D10" s="37" t="e">
        <f>LOOKUP(C10,#REF!,#REF!)</f>
        <v>#REF!</v>
      </c>
      <c r="E10" s="44" t="e">
        <f>((C10-#REF!)/#REF!)*20+100</f>
        <v>#REF!</v>
      </c>
      <c r="F10">
        <v>45</v>
      </c>
      <c r="G10" s="37" t="e">
        <f>LOOKUP(F10,#REF!,#REF!)</f>
        <v>#REF!</v>
      </c>
      <c r="H10" s="44" t="e">
        <f>((F10-#REF!)/#REF!)*20+100</f>
        <v>#REF!</v>
      </c>
      <c r="I10">
        <v>85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165</v>
      </c>
      <c r="M10" s="45" t="e">
        <f t="shared" si="3"/>
        <v>#REF!</v>
      </c>
      <c r="N10" s="34">
        <f t="shared" si="4"/>
        <v>23</v>
      </c>
      <c r="O10">
        <v>16</v>
      </c>
      <c r="P10">
        <v>22</v>
      </c>
      <c r="Q10" s="36">
        <f t="shared" si="5"/>
        <v>38</v>
      </c>
      <c r="R10" s="35">
        <f t="shared" si="0"/>
        <v>203</v>
      </c>
      <c r="S10" s="35">
        <f t="shared" si="1"/>
        <v>24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159</v>
      </c>
      <c r="C11">
        <v>93</v>
      </c>
      <c r="D11" s="37" t="e">
        <f>LOOKUP(C11,#REF!,#REF!)</f>
        <v>#REF!</v>
      </c>
      <c r="E11" s="44" t="e">
        <f>((C11-#REF!)/#REF!)*20+100</f>
        <v>#REF!</v>
      </c>
      <c r="F11">
        <v>66</v>
      </c>
      <c r="G11" s="37" t="e">
        <f>LOOKUP(F11,#REF!,#REF!)</f>
        <v>#REF!</v>
      </c>
      <c r="H11" s="44" t="e">
        <f>((F11-#REF!)/#REF!)*20+100</f>
        <v>#REF!</v>
      </c>
      <c r="I11">
        <v>84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243</v>
      </c>
      <c r="M11" s="45" t="e">
        <f t="shared" si="3"/>
        <v>#REF!</v>
      </c>
      <c r="N11" s="34">
        <f t="shared" si="4"/>
        <v>9</v>
      </c>
      <c r="O11">
        <v>31</v>
      </c>
      <c r="P11">
        <v>33</v>
      </c>
      <c r="Q11" s="36">
        <f t="shared" si="5"/>
        <v>64</v>
      </c>
      <c r="R11" s="35">
        <f t="shared" si="0"/>
        <v>307</v>
      </c>
      <c r="S11" s="35">
        <f t="shared" si="1"/>
        <v>10</v>
      </c>
      <c r="T11" s="4"/>
      <c r="U11" s="12">
        <v>330</v>
      </c>
      <c r="V11" s="9">
        <f t="shared" si="6"/>
        <v>1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160</v>
      </c>
      <c r="C12">
        <v>88</v>
      </c>
      <c r="D12" s="37" t="e">
        <f>LOOKUP(C12,#REF!,#REF!)</f>
        <v>#REF!</v>
      </c>
      <c r="E12" s="44" t="e">
        <f>((C12-#REF!)/#REF!)*20+100</f>
        <v>#REF!</v>
      </c>
      <c r="F12">
        <v>61</v>
      </c>
      <c r="G12" s="37" t="e">
        <f>LOOKUP(F12,#REF!,#REF!)</f>
        <v>#REF!</v>
      </c>
      <c r="H12" s="44" t="e">
        <f>((F12-#REF!)/#REF!)*20+100</f>
        <v>#REF!</v>
      </c>
      <c r="I12">
        <v>76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225</v>
      </c>
      <c r="M12" s="45" t="e">
        <f t="shared" si="3"/>
        <v>#REF!</v>
      </c>
      <c r="N12" s="34">
        <f t="shared" si="4"/>
        <v>11</v>
      </c>
      <c r="O12">
        <v>23</v>
      </c>
      <c r="P12">
        <v>37</v>
      </c>
      <c r="Q12" s="36">
        <f t="shared" si="5"/>
        <v>60</v>
      </c>
      <c r="R12" s="35">
        <f t="shared" si="0"/>
        <v>285</v>
      </c>
      <c r="S12" s="35">
        <f t="shared" si="1"/>
        <v>12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161</v>
      </c>
      <c r="C13" s="98">
        <v>92</v>
      </c>
      <c r="D13" s="37">
        <f>LOOKUP(C13,예상등급!$A$5:$A$13,예상등급!$B$5:$B$13)</f>
        <v>1</v>
      </c>
      <c r="E13" s="44" t="e">
        <f>((C13-예상등급!#REF!)/예상등급!#REF!)*20+100</f>
        <v>#REF!</v>
      </c>
      <c r="F13" s="98">
        <v>78</v>
      </c>
      <c r="G13" s="37">
        <f>LOOKUP(F13,예상등급!$D$19:$D$27,예상등급!$E$19:$E$27)</f>
        <v>1</v>
      </c>
      <c r="H13" s="44" t="e">
        <f>((F13-예상등급!#REF!)/예상등급!#REF!)*20+100</f>
        <v>#REF!</v>
      </c>
      <c r="I13">
        <v>74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244</v>
      </c>
      <c r="M13" s="45" t="e">
        <f t="shared" si="3"/>
        <v>#REF!</v>
      </c>
      <c r="N13" s="34">
        <f t="shared" si="4"/>
        <v>8</v>
      </c>
      <c r="O13">
        <v>30</v>
      </c>
      <c r="P13">
        <v>34</v>
      </c>
      <c r="Q13" s="36">
        <f t="shared" si="5"/>
        <v>64</v>
      </c>
      <c r="R13" s="35">
        <f t="shared" si="0"/>
        <v>308</v>
      </c>
      <c r="S13" s="35">
        <f t="shared" si="1"/>
        <v>9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162</v>
      </c>
      <c r="C14">
        <v>79</v>
      </c>
      <c r="D14" s="37" t="e">
        <f>LOOKUP(C14,#REF!,#REF!)</f>
        <v>#REF!</v>
      </c>
      <c r="E14" s="44" t="e">
        <f>((C14-#REF!)/#REF!)*20+100</f>
        <v>#REF!</v>
      </c>
      <c r="F14">
        <v>23</v>
      </c>
      <c r="G14" s="37" t="e">
        <f>LOOKUP(F14,#REF!,#REF!)</f>
        <v>#REF!</v>
      </c>
      <c r="H14" s="44" t="e">
        <f>((F14-#REF!)/#REF!)*20+100</f>
        <v>#REF!</v>
      </c>
      <c r="I14">
        <v>56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158</v>
      </c>
      <c r="M14" s="45" t="e">
        <f t="shared" si="3"/>
        <v>#REF!</v>
      </c>
      <c r="N14" s="34">
        <f t="shared" si="4"/>
        <v>25</v>
      </c>
      <c r="O14">
        <v>10</v>
      </c>
      <c r="P14">
        <v>9</v>
      </c>
      <c r="Q14" s="36">
        <f t="shared" si="5"/>
        <v>19</v>
      </c>
      <c r="R14" s="35">
        <f t="shared" si="0"/>
        <v>177</v>
      </c>
      <c r="S14" s="35">
        <f t="shared" si="1"/>
        <v>26</v>
      </c>
      <c r="T14" s="4"/>
      <c r="U14" s="13">
        <v>300</v>
      </c>
      <c r="V14" s="9">
        <f t="shared" si="6"/>
        <v>2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163</v>
      </c>
      <c r="C15">
        <v>23</v>
      </c>
      <c r="D15" s="37" t="e">
        <f>LOOKUP(C15,#REF!,#REF!)</f>
        <v>#REF!</v>
      </c>
      <c r="E15" s="44" t="e">
        <f>((C15-#REF!)/#REF!)*20+100</f>
        <v>#REF!</v>
      </c>
      <c r="F15">
        <v>15</v>
      </c>
      <c r="G15" s="37" t="e">
        <f>LOOKUP(F15,#REF!,#REF!)</f>
        <v>#REF!</v>
      </c>
      <c r="H15" s="44" t="e">
        <f>((F15-#REF!)/#REF!)*20+100</f>
        <v>#REF!</v>
      </c>
      <c r="I15">
        <v>38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76</v>
      </c>
      <c r="M15" s="45" t="e">
        <f t="shared" si="3"/>
        <v>#REF!</v>
      </c>
      <c r="N15" s="34">
        <f t="shared" si="4"/>
        <v>32</v>
      </c>
      <c r="O15">
        <v>13</v>
      </c>
      <c r="P15">
        <v>9</v>
      </c>
      <c r="Q15" s="36">
        <f t="shared" si="5"/>
        <v>22</v>
      </c>
      <c r="R15" s="35">
        <f t="shared" si="0"/>
        <v>98</v>
      </c>
      <c r="S15" s="35">
        <f t="shared" si="1"/>
        <v>32</v>
      </c>
      <c r="T15" s="4"/>
      <c r="U15" s="14">
        <v>290</v>
      </c>
      <c r="V15" s="9">
        <f t="shared" si="6"/>
        <v>1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164</v>
      </c>
      <c r="C16">
        <v>94</v>
      </c>
      <c r="D16" s="37" t="e">
        <f>LOOKUP(C16,#REF!,#REF!)</f>
        <v>#REF!</v>
      </c>
      <c r="E16" s="44" t="e">
        <f>((C16-#REF!)/#REF!)*20+100</f>
        <v>#REF!</v>
      </c>
      <c r="F16">
        <v>84</v>
      </c>
      <c r="G16" s="37" t="e">
        <f>LOOKUP(F16,#REF!,#REF!)</f>
        <v>#REF!</v>
      </c>
      <c r="H16" s="44" t="e">
        <f>((F16-#REF!)/#REF!)*20+100</f>
        <v>#REF!</v>
      </c>
      <c r="I16">
        <v>79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257</v>
      </c>
      <c r="M16" s="45" t="e">
        <f t="shared" si="3"/>
        <v>#REF!</v>
      </c>
      <c r="N16" s="34">
        <f t="shared" si="4"/>
        <v>4</v>
      </c>
      <c r="O16">
        <v>40</v>
      </c>
      <c r="P16">
        <v>37</v>
      </c>
      <c r="Q16" s="36">
        <f t="shared" si="5"/>
        <v>77</v>
      </c>
      <c r="R16" s="35">
        <f t="shared" si="0"/>
        <v>334</v>
      </c>
      <c r="S16" s="35">
        <f t="shared" si="1"/>
        <v>4</v>
      </c>
      <c r="T16" s="4"/>
      <c r="U16" s="15">
        <v>280</v>
      </c>
      <c r="V16" s="9">
        <f t="shared" si="6"/>
        <v>3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165</v>
      </c>
      <c r="C17" s="98">
        <v>27</v>
      </c>
      <c r="D17" s="37">
        <f>LOOKUP(C17,예상등급!$A$5:$A$13,예상등급!$B$5:$B$13)</f>
        <v>7</v>
      </c>
      <c r="E17" s="44" t="e">
        <f>((C17-예상등급!#REF!)/예상등급!#REF!)*20+100</f>
        <v>#REF!</v>
      </c>
      <c r="F17" s="98">
        <v>17</v>
      </c>
      <c r="G17" s="37">
        <f>LOOKUP(F17,예상등급!$D$19:$D$27,예상등급!$E$19:$E$27)</f>
        <v>6</v>
      </c>
      <c r="H17" s="44" t="e">
        <f>((F17-예상등급!#REF!)/예상등급!#REF!)*20+100</f>
        <v>#REF!</v>
      </c>
      <c r="I17">
        <v>67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111</v>
      </c>
      <c r="M17" s="45" t="e">
        <f t="shared" si="3"/>
        <v>#REF!</v>
      </c>
      <c r="N17" s="34">
        <f t="shared" si="4"/>
        <v>30</v>
      </c>
      <c r="O17">
        <v>14</v>
      </c>
      <c r="P17">
        <v>16</v>
      </c>
      <c r="Q17" s="36">
        <f t="shared" si="5"/>
        <v>30</v>
      </c>
      <c r="R17" s="35">
        <f t="shared" si="0"/>
        <v>141</v>
      </c>
      <c r="S17" s="35">
        <f t="shared" si="1"/>
        <v>30</v>
      </c>
      <c r="T17" s="4"/>
      <c r="U17" s="15">
        <v>270</v>
      </c>
      <c r="V17" s="9">
        <f t="shared" si="6"/>
        <v>2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166</v>
      </c>
      <c r="C18" s="98">
        <v>100</v>
      </c>
      <c r="D18" s="37">
        <f>LOOKUP(C18,예상등급!$A$5:$A$13,예상등급!$B$5:$B$13)</f>
        <v>1</v>
      </c>
      <c r="E18" s="44" t="e">
        <f>((C18-예상등급!#REF!)/예상등급!#REF!)*20+100</f>
        <v>#REF!</v>
      </c>
      <c r="F18" s="98">
        <v>92</v>
      </c>
      <c r="G18" s="37">
        <f>LOOKUP(F18,예상등급!$D$19:$D$27,예상등급!$E$19:$E$27)</f>
        <v>1</v>
      </c>
      <c r="H18" s="44" t="e">
        <f>((F18-예상등급!#REF!)/예상등급!#REF!)*20+100</f>
        <v>#REF!</v>
      </c>
      <c r="I18">
        <v>97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289</v>
      </c>
      <c r="M18" s="45" t="e">
        <f t="shared" si="3"/>
        <v>#REF!</v>
      </c>
      <c r="N18" s="34">
        <f t="shared" si="4"/>
        <v>1</v>
      </c>
      <c r="O18">
        <v>40</v>
      </c>
      <c r="P18">
        <v>40</v>
      </c>
      <c r="Q18" s="36">
        <f t="shared" si="5"/>
        <v>80</v>
      </c>
      <c r="R18" s="35">
        <f t="shared" si="0"/>
        <v>369</v>
      </c>
      <c r="S18" s="35">
        <f t="shared" si="1"/>
        <v>2</v>
      </c>
      <c r="T18" s="4"/>
      <c r="U18" s="15">
        <v>260</v>
      </c>
      <c r="V18" s="9">
        <f t="shared" si="6"/>
        <v>1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167</v>
      </c>
      <c r="C19">
        <v>21</v>
      </c>
      <c r="D19" s="37" t="e">
        <f>LOOKUP(C19,#REF!,#REF!)</f>
        <v>#REF!</v>
      </c>
      <c r="E19" s="44" t="e">
        <f>((C19-#REF!)/#REF!)*20+100</f>
        <v>#REF!</v>
      </c>
      <c r="F19">
        <v>12</v>
      </c>
      <c r="G19" s="37" t="e">
        <f>LOOKUP(F19,#REF!,#REF!)</f>
        <v>#REF!</v>
      </c>
      <c r="H19" s="44" t="e">
        <f>((F19-#REF!)/#REF!)*20+100</f>
        <v>#REF!</v>
      </c>
      <c r="I19">
        <v>22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55</v>
      </c>
      <c r="M19" s="45" t="e">
        <f t="shared" si="3"/>
        <v>#REF!</v>
      </c>
      <c r="N19" s="34">
        <f t="shared" si="4"/>
        <v>36</v>
      </c>
      <c r="O19">
        <v>10</v>
      </c>
      <c r="P19">
        <v>10</v>
      </c>
      <c r="Q19" s="36">
        <f t="shared" si="5"/>
        <v>20</v>
      </c>
      <c r="R19" s="35">
        <f t="shared" si="0"/>
        <v>75</v>
      </c>
      <c r="S19" s="35">
        <f t="shared" si="1"/>
        <v>36</v>
      </c>
      <c r="T19" s="4"/>
      <c r="U19" s="16">
        <v>250</v>
      </c>
      <c r="V19" s="9">
        <f>FREQUENCY($R$4:$R$40,W18:W40)</f>
        <v>1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168</v>
      </c>
      <c r="C20">
        <v>63</v>
      </c>
      <c r="D20" s="37" t="e">
        <f>LOOKUP(C20,#REF!,#REF!)</f>
        <v>#REF!</v>
      </c>
      <c r="E20" s="44" t="e">
        <f>((C20-#REF!)/#REF!)*20+100</f>
        <v>#REF!</v>
      </c>
      <c r="F20">
        <v>39</v>
      </c>
      <c r="G20" s="37" t="e">
        <f>LOOKUP(F20,#REF!,#REF!)</f>
        <v>#REF!</v>
      </c>
      <c r="H20" s="44" t="e">
        <f>((F20-#REF!)/#REF!)*20+100</f>
        <v>#REF!</v>
      </c>
      <c r="I20">
        <v>49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151</v>
      </c>
      <c r="M20" s="45" t="e">
        <f t="shared" si="3"/>
        <v>#REF!</v>
      </c>
      <c r="N20" s="34">
        <f t="shared" si="4"/>
        <v>26</v>
      </c>
      <c r="O20">
        <v>20</v>
      </c>
      <c r="P20">
        <v>20</v>
      </c>
      <c r="Q20" s="36">
        <f t="shared" si="5"/>
        <v>40</v>
      </c>
      <c r="R20" s="35">
        <f t="shared" si="0"/>
        <v>191</v>
      </c>
      <c r="S20" s="35">
        <f t="shared" si="1"/>
        <v>25</v>
      </c>
      <c r="T20" s="4"/>
      <c r="U20" s="17">
        <v>240</v>
      </c>
      <c r="V20" s="9">
        <f>FREQUENCY($R$4:$R$40,W19:W40)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169</v>
      </c>
      <c r="C21">
        <v>95</v>
      </c>
      <c r="D21" s="37" t="e">
        <f>LOOKUP(C21,#REF!,#REF!)</f>
        <v>#REF!</v>
      </c>
      <c r="E21" s="44" t="e">
        <f>((C21-#REF!)/#REF!)*20+100</f>
        <v>#REF!</v>
      </c>
      <c r="F21">
        <v>65</v>
      </c>
      <c r="G21" s="37" t="e">
        <f>LOOKUP(F21,#REF!,#REF!)</f>
        <v>#REF!</v>
      </c>
      <c r="H21" s="44" t="e">
        <f>((F21-#REF!)/#REF!)*20+100</f>
        <v>#REF!</v>
      </c>
      <c r="I21">
        <v>94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254</v>
      </c>
      <c r="M21" s="45" t="e">
        <f t="shared" si="3"/>
        <v>#REF!</v>
      </c>
      <c r="N21" s="34">
        <f t="shared" si="4"/>
        <v>5</v>
      </c>
      <c r="O21">
        <v>43</v>
      </c>
      <c r="P21">
        <v>30</v>
      </c>
      <c r="Q21" s="36">
        <f t="shared" si="5"/>
        <v>73</v>
      </c>
      <c r="R21" s="35">
        <f t="shared" si="0"/>
        <v>327</v>
      </c>
      <c r="S21" s="35">
        <f t="shared" si="1"/>
        <v>6</v>
      </c>
      <c r="T21" s="4"/>
      <c r="U21" s="18">
        <v>230</v>
      </c>
      <c r="V21" s="9">
        <f t="shared" ref="V21:V26" si="7">FREQUENCY($R$4:$R$40,W20:W40)</f>
        <v>1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170</v>
      </c>
      <c r="C22">
        <v>16</v>
      </c>
      <c r="D22" s="37" t="e">
        <f>LOOKUP(C22,#REF!,#REF!)</f>
        <v>#REF!</v>
      </c>
      <c r="E22" s="44" t="e">
        <f>((C22-#REF!)/#REF!)*20+100</f>
        <v>#REF!</v>
      </c>
      <c r="F22">
        <v>19</v>
      </c>
      <c r="G22" s="37" t="e">
        <f>LOOKUP(F22,#REF!,#REF!)</f>
        <v>#REF!</v>
      </c>
      <c r="H22" s="44" t="e">
        <f>((F22-#REF!)/#REF!)*20+100</f>
        <v>#REF!</v>
      </c>
      <c r="I22">
        <v>22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57</v>
      </c>
      <c r="M22" s="45" t="e">
        <f t="shared" si="3"/>
        <v>#REF!</v>
      </c>
      <c r="N22" s="34">
        <f t="shared" si="4"/>
        <v>34</v>
      </c>
      <c r="O22">
        <v>10</v>
      </c>
      <c r="P22">
        <v>9</v>
      </c>
      <c r="Q22" s="36">
        <f t="shared" si="5"/>
        <v>19</v>
      </c>
      <c r="R22" s="35">
        <f t="shared" si="0"/>
        <v>76</v>
      </c>
      <c r="S22" s="35">
        <f t="shared" si="1"/>
        <v>35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171</v>
      </c>
      <c r="C23">
        <v>26</v>
      </c>
      <c r="D23" s="37" t="e">
        <f>LOOKUP(C23,#REF!,#REF!)</f>
        <v>#REF!</v>
      </c>
      <c r="E23" s="44" t="e">
        <f>((C23-#REF!)/#REF!)*20+100</f>
        <v>#REF!</v>
      </c>
      <c r="F23">
        <v>42</v>
      </c>
      <c r="G23" s="37" t="e">
        <f>LOOKUP(F23,#REF!,#REF!)</f>
        <v>#REF!</v>
      </c>
      <c r="H23" s="44" t="e">
        <f>((F23-#REF!)/#REF!)*20+100</f>
        <v>#REF!</v>
      </c>
      <c r="I23">
        <v>15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83</v>
      </c>
      <c r="M23" s="45" t="e">
        <f t="shared" si="3"/>
        <v>#REF!</v>
      </c>
      <c r="N23" s="34">
        <f t="shared" si="4"/>
        <v>31</v>
      </c>
      <c r="O23">
        <v>22</v>
      </c>
      <c r="P23">
        <v>19</v>
      </c>
      <c r="Q23" s="36">
        <f t="shared" si="5"/>
        <v>41</v>
      </c>
      <c r="R23" s="35">
        <f t="shared" si="0"/>
        <v>124</v>
      </c>
      <c r="S23" s="35">
        <f t="shared" si="1"/>
        <v>31</v>
      </c>
      <c r="T23" s="4"/>
      <c r="U23" s="18">
        <v>210</v>
      </c>
      <c r="V23" s="9">
        <f t="shared" si="7"/>
        <v>1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172</v>
      </c>
      <c r="C24">
        <v>17</v>
      </c>
      <c r="D24" s="37" t="e">
        <f>LOOKUP(C24,#REF!,#REF!)</f>
        <v>#REF!</v>
      </c>
      <c r="E24" s="44" t="e">
        <f>((C24-#REF!)/#REF!)*20+100</f>
        <v>#REF!</v>
      </c>
      <c r="F24">
        <v>8</v>
      </c>
      <c r="G24" s="37" t="e">
        <f>LOOKUP(F24,#REF!,#REF!)</f>
        <v>#REF!</v>
      </c>
      <c r="H24" s="44" t="e">
        <f>((F24-#REF!)/#REF!)*20+100</f>
        <v>#REF!</v>
      </c>
      <c r="I24">
        <v>12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37</v>
      </c>
      <c r="M24" s="45" t="e">
        <f t="shared" si="3"/>
        <v>#REF!</v>
      </c>
      <c r="N24" s="34">
        <f t="shared" si="4"/>
        <v>37</v>
      </c>
      <c r="O24">
        <v>9</v>
      </c>
      <c r="P24">
        <v>9</v>
      </c>
      <c r="Q24" s="36">
        <f t="shared" si="5"/>
        <v>18</v>
      </c>
      <c r="R24" s="35">
        <f t="shared" si="0"/>
        <v>55</v>
      </c>
      <c r="S24" s="35">
        <f t="shared" si="1"/>
        <v>37</v>
      </c>
      <c r="T24" s="4"/>
      <c r="U24" s="19">
        <v>200</v>
      </c>
      <c r="V24" s="9">
        <f t="shared" si="7"/>
        <v>1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173</v>
      </c>
      <c r="C25">
        <v>78</v>
      </c>
      <c r="D25" s="37" t="e">
        <f>LOOKUP(C25,#REF!,#REF!)</f>
        <v>#REF!</v>
      </c>
      <c r="E25" s="44" t="e">
        <f>((C25-#REF!)/#REF!)*20+100</f>
        <v>#REF!</v>
      </c>
      <c r="F25">
        <v>33</v>
      </c>
      <c r="G25" s="37" t="e">
        <f>LOOKUP(F25,#REF!,#REF!)</f>
        <v>#REF!</v>
      </c>
      <c r="H25" s="44" t="e">
        <f>((F25-#REF!)/#REF!)*20+100</f>
        <v>#REF!</v>
      </c>
      <c r="I25">
        <v>80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191</v>
      </c>
      <c r="M25" s="45" t="e">
        <f t="shared" si="3"/>
        <v>#REF!</v>
      </c>
      <c r="N25" s="34">
        <f t="shared" si="4"/>
        <v>18</v>
      </c>
      <c r="O25">
        <v>33</v>
      </c>
      <c r="P25">
        <v>47</v>
      </c>
      <c r="Q25" s="36">
        <f t="shared" si="5"/>
        <v>80</v>
      </c>
      <c r="R25" s="35">
        <f t="shared" si="0"/>
        <v>271</v>
      </c>
      <c r="S25" s="35">
        <f t="shared" si="1"/>
        <v>16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174</v>
      </c>
      <c r="C26">
        <v>91</v>
      </c>
      <c r="D26" s="37" t="e">
        <f>LOOKUP(C26,#REF!,#REF!)</f>
        <v>#REF!</v>
      </c>
      <c r="E26" s="44" t="e">
        <f>((C26-#REF!)/#REF!)*20+100</f>
        <v>#REF!</v>
      </c>
      <c r="F26">
        <v>49</v>
      </c>
      <c r="G26" s="37" t="e">
        <f>LOOKUP(F26,#REF!,#REF!)</f>
        <v>#REF!</v>
      </c>
      <c r="H26" s="44" t="e">
        <f>((F26-#REF!)/#REF!)*20+100</f>
        <v>#REF!</v>
      </c>
      <c r="I26">
        <v>84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224</v>
      </c>
      <c r="M26" s="45" t="e">
        <f t="shared" si="3"/>
        <v>#REF!</v>
      </c>
      <c r="N26" s="34">
        <f t="shared" si="4"/>
        <v>12</v>
      </c>
      <c r="O26">
        <v>27</v>
      </c>
      <c r="P26">
        <v>39</v>
      </c>
      <c r="Q26" s="36">
        <f t="shared" si="5"/>
        <v>66</v>
      </c>
      <c r="R26" s="35">
        <f t="shared" si="0"/>
        <v>290</v>
      </c>
      <c r="S26" s="35">
        <f t="shared" si="1"/>
        <v>11</v>
      </c>
      <c r="T26" s="4"/>
      <c r="U26" s="21" t="s">
        <v>20</v>
      </c>
      <c r="V26" s="9">
        <f t="shared" si="7"/>
        <v>12</v>
      </c>
    </row>
    <row r="27" spans="1:23" s="7" customFormat="1" ht="17.100000000000001" customHeight="1" x14ac:dyDescent="0.15">
      <c r="A27" s="40">
        <v>24</v>
      </c>
      <c r="B27" s="71" t="s">
        <v>175</v>
      </c>
      <c r="C27">
        <v>94</v>
      </c>
      <c r="D27" s="37" t="e">
        <f>LOOKUP(C27,#REF!,#REF!)</f>
        <v>#REF!</v>
      </c>
      <c r="E27" s="44" t="e">
        <f>((C27-#REF!)/#REF!)*20+100</f>
        <v>#REF!</v>
      </c>
      <c r="F27">
        <v>48</v>
      </c>
      <c r="G27" s="37" t="e">
        <f>LOOKUP(F27,#REF!,#REF!)</f>
        <v>#REF!</v>
      </c>
      <c r="H27" s="44" t="e">
        <f>((F27-#REF!)/#REF!)*20+100</f>
        <v>#REF!</v>
      </c>
      <c r="I27">
        <v>82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224</v>
      </c>
      <c r="M27" s="45" t="e">
        <f t="shared" si="3"/>
        <v>#REF!</v>
      </c>
      <c r="N27" s="34">
        <f t="shared" si="4"/>
        <v>12</v>
      </c>
      <c r="O27">
        <v>36</v>
      </c>
      <c r="P27">
        <v>25</v>
      </c>
      <c r="Q27" s="36">
        <f t="shared" si="5"/>
        <v>61</v>
      </c>
      <c r="R27" s="35">
        <f t="shared" si="0"/>
        <v>285</v>
      </c>
      <c r="S27" s="35">
        <f t="shared" si="1"/>
        <v>12</v>
      </c>
      <c r="T27" s="4"/>
      <c r="U27" s="311" t="s">
        <v>9</v>
      </c>
      <c r="V27" s="313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45</v>
      </c>
      <c r="C28">
        <v>86</v>
      </c>
      <c r="D28" s="37" t="e">
        <f>LOOKUP(C28,#REF!,#REF!)</f>
        <v>#REF!</v>
      </c>
      <c r="E28" s="44" t="e">
        <f>((C28-#REF!)/#REF!)*20+100</f>
        <v>#REF!</v>
      </c>
      <c r="F28">
        <v>68</v>
      </c>
      <c r="G28" s="37" t="e">
        <f>LOOKUP(F28,#REF!,#REF!)</f>
        <v>#REF!</v>
      </c>
      <c r="H28" s="44" t="e">
        <f>((F28-#REF!)/#REF!)*20+100</f>
        <v>#REF!</v>
      </c>
      <c r="I28">
        <v>56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210</v>
      </c>
      <c r="M28" s="45" t="e">
        <f t="shared" si="3"/>
        <v>#REF!</v>
      </c>
      <c r="N28" s="34">
        <f t="shared" si="4"/>
        <v>15</v>
      </c>
      <c r="O28">
        <v>26</v>
      </c>
      <c r="P28">
        <v>45</v>
      </c>
      <c r="Q28" s="36">
        <f t="shared" si="5"/>
        <v>71</v>
      </c>
      <c r="R28" s="35">
        <f t="shared" si="0"/>
        <v>281</v>
      </c>
      <c r="S28" s="35">
        <f t="shared" si="1"/>
        <v>14</v>
      </c>
      <c r="T28" s="4"/>
      <c r="U28" s="312"/>
      <c r="V28" s="314"/>
    </row>
    <row r="29" spans="1:23" s="7" customFormat="1" ht="17.100000000000001" customHeight="1" thickBot="1" x14ac:dyDescent="0.2">
      <c r="A29" s="40">
        <v>26</v>
      </c>
      <c r="B29" s="71" t="s">
        <v>176</v>
      </c>
      <c r="C29" s="98">
        <v>89</v>
      </c>
      <c r="D29" s="37">
        <f>LOOKUP(C29,예상등급!$A$5:$A$13,예상등급!$B$5:$B$13)</f>
        <v>1</v>
      </c>
      <c r="E29" s="44" t="e">
        <f>((C29-예상등급!#REF!)/예상등급!#REF!)*20+100</f>
        <v>#REF!</v>
      </c>
      <c r="F29" s="98">
        <v>41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63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193</v>
      </c>
      <c r="M29" s="45" t="e">
        <f t="shared" si="3"/>
        <v>#REF!</v>
      </c>
      <c r="N29" s="34">
        <f t="shared" si="4"/>
        <v>17</v>
      </c>
      <c r="O29">
        <v>23</v>
      </c>
      <c r="P29">
        <v>28</v>
      </c>
      <c r="Q29" s="36">
        <f t="shared" si="5"/>
        <v>51</v>
      </c>
      <c r="R29" s="35">
        <f t="shared" si="0"/>
        <v>244</v>
      </c>
      <c r="S29" s="35">
        <f t="shared" si="1"/>
        <v>19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177</v>
      </c>
      <c r="C30">
        <v>17</v>
      </c>
      <c r="D30" s="37" t="e">
        <f>LOOKUP(C30,#REF!,#REF!)</f>
        <v>#REF!</v>
      </c>
      <c r="E30" s="44" t="e">
        <f>((C30-#REF!)/#REF!)*20+100</f>
        <v>#REF!</v>
      </c>
      <c r="F30">
        <v>17</v>
      </c>
      <c r="G30" s="37" t="e">
        <f>LOOKUP(F30,#REF!,#REF!)</f>
        <v>#REF!</v>
      </c>
      <c r="H30" s="44" t="e">
        <f>((F30-#REF!)/#REF!)*20+100</f>
        <v>#REF!</v>
      </c>
      <c r="I30">
        <v>30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64</v>
      </c>
      <c r="M30" s="45" t="e">
        <f t="shared" si="3"/>
        <v>#REF!</v>
      </c>
      <c r="N30" s="34">
        <f t="shared" si="4"/>
        <v>33</v>
      </c>
      <c r="O30">
        <v>10</v>
      </c>
      <c r="P30">
        <v>13</v>
      </c>
      <c r="Q30" s="36">
        <f t="shared" si="5"/>
        <v>23</v>
      </c>
      <c r="R30" s="35">
        <f t="shared" si="0"/>
        <v>87</v>
      </c>
      <c r="S30" s="35">
        <f t="shared" si="1"/>
        <v>34</v>
      </c>
      <c r="T30" s="4"/>
      <c r="U30" s="315" t="s">
        <v>10</v>
      </c>
      <c r="V30" s="316"/>
    </row>
    <row r="31" spans="1:23" s="7" customFormat="1" ht="17.100000000000001" customHeight="1" x14ac:dyDescent="0.15">
      <c r="A31" s="40">
        <v>28</v>
      </c>
      <c r="B31" s="71" t="s">
        <v>178</v>
      </c>
      <c r="C31">
        <v>26</v>
      </c>
      <c r="D31" s="37" t="e">
        <f>LOOKUP(C31,#REF!,#REF!)</f>
        <v>#REF!</v>
      </c>
      <c r="E31" s="44" t="e">
        <f>((C31-#REF!)/#REF!)*20+100</f>
        <v>#REF!</v>
      </c>
      <c r="F31">
        <v>7</v>
      </c>
      <c r="G31" s="37" t="e">
        <f>LOOKUP(F31,#REF!,#REF!)</f>
        <v>#REF!</v>
      </c>
      <c r="H31" s="44" t="e">
        <f>((F31-#REF!)/#REF!)*20+100</f>
        <v>#REF!</v>
      </c>
      <c r="I31">
        <v>23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56</v>
      </c>
      <c r="M31" s="45" t="e">
        <f t="shared" si="3"/>
        <v>#REF!</v>
      </c>
      <c r="N31" s="34">
        <f t="shared" si="4"/>
        <v>35</v>
      </c>
      <c r="O31">
        <v>14</v>
      </c>
      <c r="P31">
        <v>18</v>
      </c>
      <c r="Q31" s="36">
        <f t="shared" si="5"/>
        <v>32</v>
      </c>
      <c r="R31" s="35">
        <f t="shared" si="0"/>
        <v>88</v>
      </c>
      <c r="S31" s="35">
        <f t="shared" si="1"/>
        <v>33</v>
      </c>
      <c r="T31" s="4"/>
      <c r="U31" s="317">
        <f>MAX(R4:R40)</f>
        <v>378</v>
      </c>
      <c r="V31" s="318"/>
    </row>
    <row r="32" spans="1:23" s="7" customFormat="1" ht="17.100000000000001" customHeight="1" thickBot="1" x14ac:dyDescent="0.2">
      <c r="A32" s="40">
        <v>29</v>
      </c>
      <c r="B32" s="71" t="s">
        <v>179</v>
      </c>
      <c r="C32">
        <v>96</v>
      </c>
      <c r="D32" s="37" t="e">
        <f>LOOKUP(C32,#REF!,#REF!)</f>
        <v>#REF!</v>
      </c>
      <c r="E32" s="44" t="e">
        <f>((C32-#REF!)/#REF!)*20+100</f>
        <v>#REF!</v>
      </c>
      <c r="F32">
        <v>84</v>
      </c>
      <c r="G32" s="37" t="e">
        <f>LOOKUP(F32,#REF!,#REF!)</f>
        <v>#REF!</v>
      </c>
      <c r="H32" s="44" t="e">
        <f>((F32-#REF!)/#REF!)*20+100</f>
        <v>#REF!</v>
      </c>
      <c r="I32">
        <v>70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250</v>
      </c>
      <c r="M32" s="45" t="e">
        <f t="shared" si="3"/>
        <v>#REF!</v>
      </c>
      <c r="N32" s="34">
        <f t="shared" si="4"/>
        <v>6</v>
      </c>
      <c r="O32">
        <v>30</v>
      </c>
      <c r="P32">
        <v>48</v>
      </c>
      <c r="Q32" s="36">
        <f t="shared" si="5"/>
        <v>78</v>
      </c>
      <c r="R32" s="35">
        <f t="shared" si="0"/>
        <v>328</v>
      </c>
      <c r="S32" s="35">
        <f t="shared" si="1"/>
        <v>5</v>
      </c>
      <c r="T32" s="4"/>
      <c r="U32" s="319"/>
      <c r="V32" s="320"/>
    </row>
    <row r="33" spans="1:22" s="7" customFormat="1" ht="17.100000000000001" customHeight="1" x14ac:dyDescent="0.15">
      <c r="A33" s="40">
        <v>30</v>
      </c>
      <c r="B33" s="71" t="s">
        <v>180</v>
      </c>
      <c r="C33">
        <v>100</v>
      </c>
      <c r="D33" s="37" t="e">
        <f>LOOKUP(C33,#REF!,#REF!)</f>
        <v>#REF!</v>
      </c>
      <c r="E33" s="44" t="e">
        <f>((C33-#REF!)/#REF!)*20+100</f>
        <v>#REF!</v>
      </c>
      <c r="F33">
        <v>84</v>
      </c>
      <c r="G33" s="37" t="e">
        <f>LOOKUP(F33,#REF!,#REF!)</f>
        <v>#REF!</v>
      </c>
      <c r="H33" s="44" t="e">
        <f>((F33-#REF!)/#REF!)*20+100</f>
        <v>#REF!</v>
      </c>
      <c r="I33">
        <v>100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284</v>
      </c>
      <c r="M33" s="45" t="e">
        <f t="shared" si="3"/>
        <v>#REF!</v>
      </c>
      <c r="N33" s="34">
        <f t="shared" si="4"/>
        <v>2</v>
      </c>
      <c r="O33">
        <v>50</v>
      </c>
      <c r="P33">
        <v>44</v>
      </c>
      <c r="Q33" s="36">
        <f t="shared" si="5"/>
        <v>94</v>
      </c>
      <c r="R33" s="35">
        <f t="shared" si="0"/>
        <v>378</v>
      </c>
      <c r="S33" s="35">
        <f t="shared" si="1"/>
        <v>1</v>
      </c>
      <c r="T33" s="4"/>
      <c r="U33" s="315" t="s">
        <v>11</v>
      </c>
      <c r="V33" s="316"/>
    </row>
    <row r="34" spans="1:22" s="7" customFormat="1" ht="17.100000000000001" customHeight="1" x14ac:dyDescent="0.15">
      <c r="A34" s="40">
        <v>31</v>
      </c>
      <c r="B34" s="71" t="s">
        <v>181</v>
      </c>
      <c r="C34">
        <v>64</v>
      </c>
      <c r="D34" s="37" t="e">
        <f>LOOKUP(C34,#REF!,#REF!)</f>
        <v>#REF!</v>
      </c>
      <c r="E34" s="44" t="e">
        <f>((C34-#REF!)/#REF!)*20+100</f>
        <v>#REF!</v>
      </c>
      <c r="F34">
        <v>35</v>
      </c>
      <c r="G34" s="37" t="e">
        <f>LOOKUP(F34,#REF!,#REF!)</f>
        <v>#REF!</v>
      </c>
      <c r="H34" s="44" t="e">
        <f>((F34-#REF!)/#REF!)*20+100</f>
        <v>#REF!</v>
      </c>
      <c r="I34">
        <v>65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164</v>
      </c>
      <c r="M34" s="45" t="e">
        <f t="shared" si="3"/>
        <v>#REF!</v>
      </c>
      <c r="N34" s="34">
        <f t="shared" si="4"/>
        <v>24</v>
      </c>
      <c r="O34">
        <v>35</v>
      </c>
      <c r="P34">
        <v>21</v>
      </c>
      <c r="Q34" s="36">
        <f t="shared" si="5"/>
        <v>56</v>
      </c>
      <c r="R34" s="35">
        <f t="shared" si="0"/>
        <v>220</v>
      </c>
      <c r="S34" s="35">
        <f t="shared" si="1"/>
        <v>22</v>
      </c>
      <c r="T34" s="4"/>
      <c r="U34" s="321">
        <f>MIN(R4:R40)</f>
        <v>55</v>
      </c>
      <c r="V34" s="322"/>
    </row>
    <row r="35" spans="1:22" s="7" customFormat="1" ht="17.100000000000001" customHeight="1" thickBot="1" x14ac:dyDescent="0.2">
      <c r="A35" s="40">
        <v>32</v>
      </c>
      <c r="B35" s="71" t="s">
        <v>182</v>
      </c>
      <c r="C35">
        <v>95</v>
      </c>
      <c r="D35" s="37" t="e">
        <f>LOOKUP(C35,#REF!,#REF!)</f>
        <v>#REF!</v>
      </c>
      <c r="E35" s="44" t="e">
        <f>((C35-#REF!)/#REF!)*20+100</f>
        <v>#REF!</v>
      </c>
      <c r="F35">
        <v>63</v>
      </c>
      <c r="G35" s="37" t="e">
        <f>LOOKUP(F35,#REF!,#REF!)</f>
        <v>#REF!</v>
      </c>
      <c r="H35" s="44" t="e">
        <f>((F35-#REF!)/#REF!)*20+100</f>
        <v>#REF!</v>
      </c>
      <c r="I35">
        <v>89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247</v>
      </c>
      <c r="M35" s="45" t="e">
        <f t="shared" si="3"/>
        <v>#REF!</v>
      </c>
      <c r="N35" s="34">
        <f t="shared" si="4"/>
        <v>7</v>
      </c>
      <c r="O35">
        <v>37</v>
      </c>
      <c r="P35">
        <v>32</v>
      </c>
      <c r="Q35" s="36">
        <f t="shared" si="5"/>
        <v>69</v>
      </c>
      <c r="R35" s="35">
        <f t="shared" si="0"/>
        <v>316</v>
      </c>
      <c r="S35" s="35">
        <f t="shared" si="1"/>
        <v>7</v>
      </c>
      <c r="T35" s="4"/>
      <c r="U35" s="323"/>
      <c r="V35" s="324"/>
    </row>
    <row r="36" spans="1:22" s="7" customFormat="1" ht="17.100000000000001" customHeight="1" x14ac:dyDescent="0.15">
      <c r="A36" s="40">
        <v>33</v>
      </c>
      <c r="B36" s="71" t="s">
        <v>183</v>
      </c>
      <c r="C36">
        <v>91</v>
      </c>
      <c r="D36" s="37" t="e">
        <f>LOOKUP(C36,#REF!,#REF!)</f>
        <v>#REF!</v>
      </c>
      <c r="E36" s="44" t="e">
        <f>((C36-#REF!)/#REF!)*20+100</f>
        <v>#REF!</v>
      </c>
      <c r="F36">
        <v>24</v>
      </c>
      <c r="G36" s="37" t="e">
        <f>LOOKUP(F36,#REF!,#REF!)</f>
        <v>#REF!</v>
      </c>
      <c r="H36" s="44" t="e">
        <f>((F36-#REF!)/#REF!)*20+100</f>
        <v>#REF!</v>
      </c>
      <c r="I36">
        <v>52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167</v>
      </c>
      <c r="M36" s="45" t="e">
        <f t="shared" si="3"/>
        <v>#REF!</v>
      </c>
      <c r="N36" s="34">
        <f t="shared" si="4"/>
        <v>22</v>
      </c>
      <c r="O36">
        <v>33</v>
      </c>
      <c r="P36">
        <v>33</v>
      </c>
      <c r="Q36" s="36">
        <f t="shared" si="5"/>
        <v>66</v>
      </c>
      <c r="R36" s="35">
        <f t="shared" si="0"/>
        <v>233</v>
      </c>
      <c r="S36" s="35">
        <f t="shared" si="1"/>
        <v>21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184</v>
      </c>
      <c r="C37">
        <v>84</v>
      </c>
      <c r="D37" s="37" t="e">
        <f>LOOKUP(C37,#REF!,#REF!)</f>
        <v>#REF!</v>
      </c>
      <c r="E37" s="44" t="e">
        <f>((C37-#REF!)/#REF!)*20+100</f>
        <v>#REF!</v>
      </c>
      <c r="F37">
        <v>46</v>
      </c>
      <c r="G37" s="37" t="e">
        <f>LOOKUP(F37,#REF!,#REF!)</f>
        <v>#REF!</v>
      </c>
      <c r="H37" s="44" t="e">
        <f>((F37-#REF!)/#REF!)*20+100</f>
        <v>#REF!</v>
      </c>
      <c r="I37">
        <v>55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185</v>
      </c>
      <c r="M37" s="45" t="e">
        <f t="shared" si="3"/>
        <v>#REF!</v>
      </c>
      <c r="N37" s="34">
        <f t="shared" si="4"/>
        <v>19</v>
      </c>
      <c r="O37">
        <v>32</v>
      </c>
      <c r="P37">
        <v>34</v>
      </c>
      <c r="Q37" s="36">
        <f t="shared" si="5"/>
        <v>66</v>
      </c>
      <c r="R37" s="35">
        <f t="shared" si="0"/>
        <v>251</v>
      </c>
      <c r="S37" s="35">
        <f t="shared" si="1"/>
        <v>18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185</v>
      </c>
      <c r="C38">
        <v>75</v>
      </c>
      <c r="D38" s="37" t="e">
        <f>LOOKUP(C38,#REF!,#REF!)</f>
        <v>#REF!</v>
      </c>
      <c r="E38" s="44" t="e">
        <f>((C38-#REF!)/#REF!)*20+100</f>
        <v>#REF!</v>
      </c>
      <c r="F38">
        <v>50</v>
      </c>
      <c r="G38" s="37" t="e">
        <f>LOOKUP(F38,#REF!,#REF!)</f>
        <v>#REF!</v>
      </c>
      <c r="H38" s="44" t="e">
        <f>((F38-#REF!)/#REF!)*20+100</f>
        <v>#REF!</v>
      </c>
      <c r="I38">
        <v>46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171</v>
      </c>
      <c r="M38" s="45" t="e">
        <f>SUM(E38,H38,K38)</f>
        <v>#REF!</v>
      </c>
      <c r="N38" s="34">
        <f t="shared" si="4"/>
        <v>21</v>
      </c>
      <c r="O38">
        <v>44</v>
      </c>
      <c r="P38">
        <v>28</v>
      </c>
      <c r="Q38" s="36">
        <f t="shared" si="5"/>
        <v>72</v>
      </c>
      <c r="R38" s="35">
        <f t="shared" si="0"/>
        <v>243</v>
      </c>
      <c r="S38" s="35">
        <f t="shared" si="1"/>
        <v>20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186</v>
      </c>
      <c r="C39" s="98">
        <v>98</v>
      </c>
      <c r="D39" s="37">
        <f>LOOKUP(C39,예상등급!$A$5:$A$13,예상등급!$B$5:$B$13)</f>
        <v>1</v>
      </c>
      <c r="E39" s="44" t="e">
        <f>((C39-예상등급!#REF!)/예상등급!#REF!)*20+100</f>
        <v>#REF!</v>
      </c>
      <c r="F39" s="98">
        <v>67</v>
      </c>
      <c r="G39" s="37">
        <f>LOOKUP(F39,예상등급!$D$19:$D$27,예상등급!$E$19:$E$27)</f>
        <v>1</v>
      </c>
      <c r="H39" s="44" t="e">
        <f>((F39-예상등급!#REF!)/예상등급!#REF!)*20+100</f>
        <v>#REF!</v>
      </c>
      <c r="I39">
        <v>72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237</v>
      </c>
      <c r="M39" s="45" t="e">
        <f>SUM(E39,H39,K39)</f>
        <v>#REF!</v>
      </c>
      <c r="N39" s="34">
        <f t="shared" si="4"/>
        <v>10</v>
      </c>
      <c r="O39">
        <v>45</v>
      </c>
      <c r="P39">
        <v>34</v>
      </c>
      <c r="Q39" s="36">
        <f t="shared" si="5"/>
        <v>79</v>
      </c>
      <c r="R39" s="35">
        <f t="shared" si="0"/>
        <v>316</v>
      </c>
      <c r="S39" s="35">
        <f t="shared" si="1"/>
        <v>7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187</v>
      </c>
      <c r="C40">
        <v>43</v>
      </c>
      <c r="D40" s="37" t="e">
        <f>LOOKUP(C40,#REF!,#REF!)</f>
        <v>#REF!</v>
      </c>
      <c r="E40" s="44" t="e">
        <f>((C40-#REF!)/#REF!)*20+100</f>
        <v>#REF!</v>
      </c>
      <c r="F40">
        <v>38</v>
      </c>
      <c r="G40" s="37" t="e">
        <f>LOOKUP(F40,#REF!,#REF!)</f>
        <v>#REF!</v>
      </c>
      <c r="H40" s="44" t="e">
        <f>((F40-#REF!)/#REF!)*20+100</f>
        <v>#REF!</v>
      </c>
      <c r="I40">
        <v>51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132</v>
      </c>
      <c r="M40" s="45" t="e">
        <f>SUM(E40,H40,K40)</f>
        <v>#REF!</v>
      </c>
      <c r="N40" s="34">
        <f t="shared" si="4"/>
        <v>27</v>
      </c>
      <c r="O40">
        <v>15</v>
      </c>
      <c r="P40">
        <v>13</v>
      </c>
      <c r="Q40" s="36">
        <f t="shared" si="5"/>
        <v>28</v>
      </c>
      <c r="R40" s="35">
        <f t="shared" si="0"/>
        <v>160</v>
      </c>
      <c r="S40" s="35">
        <f t="shared" si="1"/>
        <v>29</v>
      </c>
      <c r="T40" s="4"/>
      <c r="U40" s="47"/>
      <c r="V40" s="47"/>
    </row>
    <row r="41" spans="1:22" s="7" customFormat="1" ht="17.100000000000001" customHeight="1" x14ac:dyDescent="0.15">
      <c r="A41" s="304" t="s">
        <v>6</v>
      </c>
      <c r="B41" s="304"/>
      <c r="C41" s="41">
        <f>SUM(C4:C40)</f>
        <v>2601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1666</v>
      </c>
      <c r="G41" s="41" t="e">
        <f t="shared" si="8"/>
        <v>#REF!</v>
      </c>
      <c r="H41" s="41" t="e">
        <f t="shared" si="8"/>
        <v>#REF!</v>
      </c>
      <c r="I41" s="41">
        <f t="shared" si="8"/>
        <v>2254</v>
      </c>
      <c r="J41" s="41" t="e">
        <f t="shared" si="8"/>
        <v>#REF!</v>
      </c>
      <c r="K41" s="41" t="e">
        <f t="shared" si="8"/>
        <v>#REF!</v>
      </c>
      <c r="L41" s="41">
        <f t="shared" si="8"/>
        <v>6521</v>
      </c>
      <c r="M41" s="41" t="e">
        <f t="shared" si="8"/>
        <v>#REF!</v>
      </c>
      <c r="N41" s="41"/>
      <c r="O41" s="41">
        <f t="shared" si="8"/>
        <v>973</v>
      </c>
      <c r="P41" s="41">
        <f t="shared" si="8"/>
        <v>1008</v>
      </c>
      <c r="Q41" s="41">
        <f t="shared" si="8"/>
        <v>1981</v>
      </c>
      <c r="R41" s="41">
        <f t="shared" si="8"/>
        <v>8502</v>
      </c>
      <c r="S41" s="41"/>
      <c r="T41" s="4"/>
      <c r="U41" s="47"/>
      <c r="V41" s="47"/>
    </row>
    <row r="42" spans="1:22" s="7" customFormat="1" ht="17.100000000000001" customHeight="1" x14ac:dyDescent="0.15">
      <c r="A42" s="304" t="s">
        <v>12</v>
      </c>
      <c r="B42" s="304"/>
      <c r="C42" s="41">
        <f>AVERAGE(C4:C40)</f>
        <v>70.297297297297291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45.027027027027025</v>
      </c>
      <c r="G42" s="41" t="e">
        <f t="shared" si="9"/>
        <v>#REF!</v>
      </c>
      <c r="H42" s="41" t="e">
        <f t="shared" si="9"/>
        <v>#REF!</v>
      </c>
      <c r="I42" s="41">
        <f t="shared" si="9"/>
        <v>60.918918918918919</v>
      </c>
      <c r="J42" s="41" t="e">
        <f t="shared" si="9"/>
        <v>#REF!</v>
      </c>
      <c r="K42" s="41" t="e">
        <f t="shared" si="9"/>
        <v>#REF!</v>
      </c>
      <c r="L42" s="41">
        <f t="shared" si="9"/>
        <v>176.24324324324326</v>
      </c>
      <c r="M42" s="41" t="e">
        <f t="shared" si="9"/>
        <v>#REF!</v>
      </c>
      <c r="N42" s="41"/>
      <c r="O42" s="41">
        <f t="shared" si="9"/>
        <v>26.297297297297298</v>
      </c>
      <c r="P42" s="41">
        <f t="shared" si="9"/>
        <v>27.243243243243242</v>
      </c>
      <c r="Q42" s="41">
        <f t="shared" si="9"/>
        <v>53.54054054054054</v>
      </c>
      <c r="R42" s="41">
        <f t="shared" si="9"/>
        <v>229.78378378378378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67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0"/>
  <sheetViews>
    <sheetView topLeftCell="A10" zoomScaleNormal="100" workbookViewId="0">
      <selection activeCell="I34" sqref="I34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05" t="s">
        <v>339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</row>
    <row r="2" spans="1:23" ht="33.75" customHeight="1" thickBot="1" x14ac:dyDescent="0.2">
      <c r="A2" s="306" t="s">
        <v>344</v>
      </c>
      <c r="B2" s="306"/>
      <c r="C2" s="306"/>
      <c r="D2" s="306"/>
      <c r="E2" s="306"/>
      <c r="F2" s="306"/>
      <c r="G2" s="38"/>
      <c r="H2" s="38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08" t="s">
        <v>5</v>
      </c>
      <c r="P3" s="308"/>
      <c r="Q3" s="43" t="s">
        <v>15</v>
      </c>
      <c r="R3" s="70" t="s">
        <v>6</v>
      </c>
      <c r="S3" s="42" t="s">
        <v>7</v>
      </c>
      <c r="T3" s="2"/>
      <c r="U3" s="309" t="s">
        <v>8</v>
      </c>
      <c r="V3" s="310"/>
    </row>
    <row r="4" spans="1:23" s="7" customFormat="1" ht="17.100000000000001" customHeight="1" x14ac:dyDescent="0.15">
      <c r="A4" s="40">
        <v>1</v>
      </c>
      <c r="B4" s="71" t="s">
        <v>188</v>
      </c>
      <c r="C4">
        <v>96</v>
      </c>
      <c r="D4" s="37" t="e">
        <f>LOOKUP(C4,#REF!,#REF!)</f>
        <v>#REF!</v>
      </c>
      <c r="E4" s="44" t="e">
        <f>((C4-#REF!)/#REF!)*20+100</f>
        <v>#REF!</v>
      </c>
      <c r="F4">
        <v>66</v>
      </c>
      <c r="G4" s="37" t="e">
        <f>LOOKUP(F4,#REF!,#REF!)</f>
        <v>#REF!</v>
      </c>
      <c r="H4" s="44" t="e">
        <f>((F4-#REF!)/#REF!)*20+100</f>
        <v>#REF!</v>
      </c>
      <c r="I4">
        <v>76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238</v>
      </c>
      <c r="M4" s="45" t="e">
        <f>SUM(E4,H4,K4)</f>
        <v>#REF!</v>
      </c>
      <c r="N4" s="34">
        <f>RANK(L4,$L$4:$L$40)</f>
        <v>11</v>
      </c>
      <c r="O4">
        <v>42</v>
      </c>
      <c r="P4">
        <v>36</v>
      </c>
      <c r="Q4" s="36">
        <f>(SUM(O4:P4))</f>
        <v>78</v>
      </c>
      <c r="R4" s="35">
        <f t="shared" ref="R4:R40" si="0">SUM(L4,Q4)</f>
        <v>316</v>
      </c>
      <c r="S4" s="35">
        <f t="shared" ref="S4:S40" si="1">RANK(R4,$R$4:$R$40)</f>
        <v>10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189</v>
      </c>
      <c r="C5">
        <v>19</v>
      </c>
      <c r="D5" s="37" t="e">
        <f>LOOKUP(C5,#REF!,#REF!)</f>
        <v>#REF!</v>
      </c>
      <c r="E5" s="44" t="e">
        <f>((C5-#REF!)/#REF!)*20+100</f>
        <v>#REF!</v>
      </c>
      <c r="F5">
        <v>12</v>
      </c>
      <c r="G5" s="37" t="e">
        <f>LOOKUP(F5,#REF!,#REF!)</f>
        <v>#REF!</v>
      </c>
      <c r="H5" s="44" t="e">
        <f>((F5-#REF!)/#REF!)*20+100</f>
        <v>#REF!</v>
      </c>
      <c r="I5">
        <v>33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64</v>
      </c>
      <c r="M5" s="45" t="e">
        <f t="shared" ref="M5:M37" si="3">SUM(E5,H5,K5)</f>
        <v>#REF!</v>
      </c>
      <c r="N5" s="34">
        <f t="shared" ref="N5:N40" si="4">RANK(L5,$L$4:$L$40)</f>
        <v>34</v>
      </c>
      <c r="O5">
        <v>10</v>
      </c>
      <c r="P5">
        <v>8</v>
      </c>
      <c r="Q5" s="36">
        <f t="shared" ref="Q5:Q40" si="5">(SUM(O5:P5))</f>
        <v>18</v>
      </c>
      <c r="R5" s="35">
        <f t="shared" si="0"/>
        <v>82</v>
      </c>
      <c r="S5" s="35">
        <f t="shared" si="1"/>
        <v>34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190</v>
      </c>
      <c r="C6">
        <v>82</v>
      </c>
      <c r="D6" s="37" t="e">
        <f>LOOKUP(C6,#REF!,#REF!)</f>
        <v>#REF!</v>
      </c>
      <c r="E6" s="44" t="e">
        <f>((C6-#REF!)/#REF!)*20+100</f>
        <v>#REF!</v>
      </c>
      <c r="F6">
        <v>48</v>
      </c>
      <c r="G6" s="37" t="e">
        <f>LOOKUP(F6,#REF!,#REF!)</f>
        <v>#REF!</v>
      </c>
      <c r="H6" s="44" t="e">
        <f>((F6-#REF!)/#REF!)*20+100</f>
        <v>#REF!</v>
      </c>
      <c r="I6">
        <v>69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199</v>
      </c>
      <c r="M6" s="45" t="e">
        <f t="shared" si="3"/>
        <v>#REF!</v>
      </c>
      <c r="N6" s="34">
        <f t="shared" si="4"/>
        <v>19</v>
      </c>
      <c r="O6">
        <v>28</v>
      </c>
      <c r="P6">
        <v>21</v>
      </c>
      <c r="Q6" s="36">
        <f t="shared" si="5"/>
        <v>49</v>
      </c>
      <c r="R6" s="35">
        <f t="shared" si="0"/>
        <v>248</v>
      </c>
      <c r="S6" s="35">
        <f t="shared" si="1"/>
        <v>18</v>
      </c>
      <c r="T6" s="4"/>
      <c r="U6" s="8">
        <v>380</v>
      </c>
      <c r="V6" s="9">
        <f t="shared" si="6"/>
        <v>2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191</v>
      </c>
      <c r="C7">
        <v>79</v>
      </c>
      <c r="D7" s="37" t="e">
        <f>LOOKUP(C7,#REF!,#REF!)</f>
        <v>#REF!</v>
      </c>
      <c r="E7" s="44" t="e">
        <f>((C7-#REF!)/#REF!)*20+100</f>
        <v>#REF!</v>
      </c>
      <c r="F7">
        <v>29</v>
      </c>
      <c r="G7" s="37" t="e">
        <f>LOOKUP(F7,#REF!,#REF!)</f>
        <v>#REF!</v>
      </c>
      <c r="H7" s="44" t="e">
        <f>((F7-#REF!)/#REF!)*20+100</f>
        <v>#REF!</v>
      </c>
      <c r="I7">
        <v>56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164</v>
      </c>
      <c r="M7" s="45" t="e">
        <f t="shared" si="3"/>
        <v>#REF!</v>
      </c>
      <c r="N7" s="34">
        <f t="shared" si="4"/>
        <v>25</v>
      </c>
      <c r="O7">
        <v>16</v>
      </c>
      <c r="P7">
        <v>20</v>
      </c>
      <c r="Q7" s="36">
        <f t="shared" si="5"/>
        <v>36</v>
      </c>
      <c r="R7" s="35">
        <f t="shared" si="0"/>
        <v>200</v>
      </c>
      <c r="S7" s="35">
        <f t="shared" si="1"/>
        <v>26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192</v>
      </c>
      <c r="C8">
        <v>85</v>
      </c>
      <c r="D8" s="37" t="e">
        <f>LOOKUP(C8,#REF!,#REF!)</f>
        <v>#REF!</v>
      </c>
      <c r="E8" s="44" t="e">
        <f>((C8-#REF!)/#REF!)*20+100</f>
        <v>#REF!</v>
      </c>
      <c r="F8">
        <v>38</v>
      </c>
      <c r="G8" s="37" t="e">
        <f>LOOKUP(F8,#REF!,#REF!)</f>
        <v>#REF!</v>
      </c>
      <c r="H8" s="44" t="e">
        <f>((F8-#REF!)/#REF!)*20+100</f>
        <v>#REF!</v>
      </c>
      <c r="I8">
        <v>73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196</v>
      </c>
      <c r="M8" s="45" t="e">
        <f t="shared" si="3"/>
        <v>#REF!</v>
      </c>
      <c r="N8" s="34">
        <f t="shared" si="4"/>
        <v>20</v>
      </c>
      <c r="O8">
        <v>31</v>
      </c>
      <c r="P8">
        <v>16</v>
      </c>
      <c r="Q8" s="36">
        <f t="shared" si="5"/>
        <v>47</v>
      </c>
      <c r="R8" s="35">
        <f t="shared" si="0"/>
        <v>243</v>
      </c>
      <c r="S8" s="35">
        <f t="shared" si="1"/>
        <v>20</v>
      </c>
      <c r="T8" s="4"/>
      <c r="U8" s="8">
        <v>360</v>
      </c>
      <c r="V8" s="9">
        <f t="shared" si="6"/>
        <v>0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193</v>
      </c>
      <c r="C9">
        <v>0</v>
      </c>
      <c r="D9" s="37" t="e">
        <f>LOOKUP(C9,#REF!,#REF!)</f>
        <v>#REF!</v>
      </c>
      <c r="E9" s="44" t="e">
        <f>((C9-#REF!)/#REF!)*20+100</f>
        <v>#REF!</v>
      </c>
      <c r="F9">
        <v>0</v>
      </c>
      <c r="G9" s="37" t="e">
        <f>LOOKUP(F9,#REF!,#REF!)</f>
        <v>#REF!</v>
      </c>
      <c r="H9" s="44" t="e">
        <f>((F9-#REF!)/#REF!)*20+100</f>
        <v>#REF!</v>
      </c>
      <c r="I9">
        <v>0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0</v>
      </c>
      <c r="M9" s="45" t="e">
        <f t="shared" si="3"/>
        <v>#REF!</v>
      </c>
      <c r="N9" s="34">
        <f t="shared" si="4"/>
        <v>37</v>
      </c>
      <c r="O9">
        <v>0</v>
      </c>
      <c r="P9">
        <v>0</v>
      </c>
      <c r="Q9" s="36">
        <f t="shared" si="5"/>
        <v>0</v>
      </c>
      <c r="R9" s="35">
        <f t="shared" si="0"/>
        <v>0</v>
      </c>
      <c r="S9" s="35">
        <f t="shared" si="1"/>
        <v>37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194</v>
      </c>
      <c r="C10">
        <v>93</v>
      </c>
      <c r="D10" s="37" t="e">
        <f>LOOKUP(C10,#REF!,#REF!)</f>
        <v>#REF!</v>
      </c>
      <c r="E10" s="44" t="e">
        <f>((C10-#REF!)/#REF!)*20+100</f>
        <v>#REF!</v>
      </c>
      <c r="F10">
        <v>26</v>
      </c>
      <c r="G10" s="37" t="e">
        <f>LOOKUP(F10,#REF!,#REF!)</f>
        <v>#REF!</v>
      </c>
      <c r="H10" s="44" t="e">
        <f>((F10-#REF!)/#REF!)*20+100</f>
        <v>#REF!</v>
      </c>
      <c r="I10">
        <v>52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171</v>
      </c>
      <c r="M10" s="45" t="e">
        <f t="shared" si="3"/>
        <v>#REF!</v>
      </c>
      <c r="N10" s="34">
        <f t="shared" si="4"/>
        <v>23</v>
      </c>
      <c r="O10">
        <v>18</v>
      </c>
      <c r="P10">
        <v>14</v>
      </c>
      <c r="Q10" s="36">
        <f t="shared" si="5"/>
        <v>32</v>
      </c>
      <c r="R10" s="35">
        <f t="shared" si="0"/>
        <v>203</v>
      </c>
      <c r="S10" s="35">
        <f t="shared" si="1"/>
        <v>24</v>
      </c>
      <c r="T10" s="4"/>
      <c r="U10" s="11">
        <v>340</v>
      </c>
      <c r="V10" s="9">
        <f t="shared" si="6"/>
        <v>1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195</v>
      </c>
      <c r="C11">
        <v>92</v>
      </c>
      <c r="D11" s="37" t="e">
        <f>LOOKUP(C11,#REF!,#REF!)</f>
        <v>#REF!</v>
      </c>
      <c r="E11" s="44" t="e">
        <f>((C11-#REF!)/#REF!)*20+100</f>
        <v>#REF!</v>
      </c>
      <c r="F11">
        <v>84</v>
      </c>
      <c r="G11" s="37" t="e">
        <f>LOOKUP(F11,#REF!,#REF!)</f>
        <v>#REF!</v>
      </c>
      <c r="H11" s="44" t="e">
        <f>((F11-#REF!)/#REF!)*20+100</f>
        <v>#REF!</v>
      </c>
      <c r="I11">
        <v>93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269</v>
      </c>
      <c r="M11" s="45" t="e">
        <f t="shared" si="3"/>
        <v>#REF!</v>
      </c>
      <c r="N11" s="34">
        <f t="shared" si="4"/>
        <v>3</v>
      </c>
      <c r="O11">
        <v>50</v>
      </c>
      <c r="P11">
        <v>36</v>
      </c>
      <c r="Q11" s="36">
        <f t="shared" si="5"/>
        <v>86</v>
      </c>
      <c r="R11" s="35">
        <f t="shared" si="0"/>
        <v>355</v>
      </c>
      <c r="S11" s="35">
        <f t="shared" si="1"/>
        <v>3</v>
      </c>
      <c r="T11" s="4"/>
      <c r="U11" s="12">
        <v>330</v>
      </c>
      <c r="V11" s="9">
        <f t="shared" si="6"/>
        <v>1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196</v>
      </c>
      <c r="C12">
        <v>84</v>
      </c>
      <c r="D12" s="37" t="e">
        <f>LOOKUP(C12,#REF!,#REF!)</f>
        <v>#REF!</v>
      </c>
      <c r="E12" s="44" t="e">
        <f>((C12-#REF!)/#REF!)*20+100</f>
        <v>#REF!</v>
      </c>
      <c r="F12">
        <v>80</v>
      </c>
      <c r="G12" s="37" t="e">
        <f>LOOKUP(F12,#REF!,#REF!)</f>
        <v>#REF!</v>
      </c>
      <c r="H12" s="44" t="e">
        <f>((F12-#REF!)/#REF!)*20+100</f>
        <v>#REF!</v>
      </c>
      <c r="I12">
        <v>80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244</v>
      </c>
      <c r="M12" s="45" t="e">
        <f t="shared" si="3"/>
        <v>#REF!</v>
      </c>
      <c r="N12" s="34">
        <f t="shared" si="4"/>
        <v>7</v>
      </c>
      <c r="O12">
        <v>37</v>
      </c>
      <c r="P12">
        <v>27</v>
      </c>
      <c r="Q12" s="36">
        <f t="shared" si="5"/>
        <v>64</v>
      </c>
      <c r="R12" s="35">
        <f t="shared" si="0"/>
        <v>308</v>
      </c>
      <c r="S12" s="35">
        <f t="shared" si="1"/>
        <v>11</v>
      </c>
      <c r="T12" s="4"/>
      <c r="U12" s="12">
        <v>320</v>
      </c>
      <c r="V12" s="9">
        <f t="shared" si="6"/>
        <v>3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197</v>
      </c>
      <c r="C13">
        <v>63</v>
      </c>
      <c r="D13" s="37" t="e">
        <f>LOOKUP(C13,#REF!,#REF!)</f>
        <v>#REF!</v>
      </c>
      <c r="E13" s="44" t="e">
        <f>((C13-#REF!)/#REF!)*20+100</f>
        <v>#REF!</v>
      </c>
      <c r="F13">
        <v>33</v>
      </c>
      <c r="G13" s="37" t="e">
        <f>LOOKUP(F13,#REF!,#REF!)</f>
        <v>#REF!</v>
      </c>
      <c r="H13" s="44" t="e">
        <f>((F13-#REF!)/#REF!)*20+100</f>
        <v>#REF!</v>
      </c>
      <c r="I13">
        <v>29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125</v>
      </c>
      <c r="M13" s="45" t="e">
        <f t="shared" si="3"/>
        <v>#REF!</v>
      </c>
      <c r="N13" s="34">
        <f t="shared" si="4"/>
        <v>30</v>
      </c>
      <c r="O13">
        <v>10</v>
      </c>
      <c r="P13">
        <v>18</v>
      </c>
      <c r="Q13" s="36">
        <f t="shared" si="5"/>
        <v>28</v>
      </c>
      <c r="R13" s="35">
        <f t="shared" si="0"/>
        <v>153</v>
      </c>
      <c r="S13" s="35">
        <f t="shared" si="1"/>
        <v>30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198</v>
      </c>
      <c r="C14" s="98">
        <v>89</v>
      </c>
      <c r="D14" s="37">
        <f>LOOKUP(C14,예상등급!$A$5:$A$13,예상등급!$B$5:$B$13)</f>
        <v>1</v>
      </c>
      <c r="E14" s="44" t="e">
        <f>((C14-예상등급!#REF!)/예상등급!#REF!)*20+100</f>
        <v>#REF!</v>
      </c>
      <c r="F14" s="98">
        <v>65</v>
      </c>
      <c r="G14" s="37">
        <f>LOOKUP(F14,예상등급!$D$19:$D$27,예상등급!$E$19:$E$27)</f>
        <v>1</v>
      </c>
      <c r="H14" s="44" t="e">
        <f>((F14-예상등급!#REF!)/예상등급!#REF!)*20+100</f>
        <v>#REF!</v>
      </c>
      <c r="I14">
        <v>87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241</v>
      </c>
      <c r="M14" s="45" t="e">
        <f t="shared" si="3"/>
        <v>#REF!</v>
      </c>
      <c r="N14" s="34">
        <f t="shared" si="4"/>
        <v>8</v>
      </c>
      <c r="O14">
        <v>41</v>
      </c>
      <c r="P14">
        <v>37</v>
      </c>
      <c r="Q14" s="36">
        <f t="shared" si="5"/>
        <v>78</v>
      </c>
      <c r="R14" s="35">
        <f t="shared" si="0"/>
        <v>319</v>
      </c>
      <c r="S14" s="35">
        <f t="shared" si="1"/>
        <v>9</v>
      </c>
      <c r="T14" s="4"/>
      <c r="U14" s="13">
        <v>300</v>
      </c>
      <c r="V14" s="9">
        <f t="shared" si="6"/>
        <v>1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199</v>
      </c>
      <c r="C15">
        <v>89</v>
      </c>
      <c r="D15" s="37" t="e">
        <f>LOOKUP(C15,#REF!,#REF!)</f>
        <v>#REF!</v>
      </c>
      <c r="E15" s="44" t="e">
        <f>((C15-#REF!)/#REF!)*20+100</f>
        <v>#REF!</v>
      </c>
      <c r="F15">
        <v>62</v>
      </c>
      <c r="G15" s="37" t="e">
        <f>LOOKUP(F15,#REF!,#REF!)</f>
        <v>#REF!</v>
      </c>
      <c r="H15" s="44" t="e">
        <f>((F15-#REF!)/#REF!)*20+100</f>
        <v>#REF!</v>
      </c>
      <c r="I15">
        <v>88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239</v>
      </c>
      <c r="M15" s="45" t="e">
        <f t="shared" si="3"/>
        <v>#REF!</v>
      </c>
      <c r="N15" s="34">
        <f t="shared" si="4"/>
        <v>10</v>
      </c>
      <c r="O15">
        <v>45</v>
      </c>
      <c r="P15">
        <v>48</v>
      </c>
      <c r="Q15" s="36">
        <f t="shared" si="5"/>
        <v>93</v>
      </c>
      <c r="R15" s="35">
        <f t="shared" si="0"/>
        <v>332</v>
      </c>
      <c r="S15" s="35">
        <f t="shared" si="1"/>
        <v>5</v>
      </c>
      <c r="T15" s="4"/>
      <c r="U15" s="14">
        <v>290</v>
      </c>
      <c r="V15" s="9">
        <f t="shared" si="6"/>
        <v>1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200</v>
      </c>
      <c r="C16">
        <v>98</v>
      </c>
      <c r="D16" s="37" t="e">
        <f>LOOKUP(C16,#REF!,#REF!)</f>
        <v>#REF!</v>
      </c>
      <c r="E16" s="44" t="e">
        <f>((C16-#REF!)/#REF!)*20+100</f>
        <v>#REF!</v>
      </c>
      <c r="F16">
        <v>92</v>
      </c>
      <c r="G16" s="37" t="e">
        <f>LOOKUP(F16,#REF!,#REF!)</f>
        <v>#REF!</v>
      </c>
      <c r="H16" s="44" t="e">
        <f>((F16-#REF!)/#REF!)*20+100</f>
        <v>#REF!</v>
      </c>
      <c r="I16">
        <v>73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263</v>
      </c>
      <c r="M16" s="45" t="e">
        <f t="shared" si="3"/>
        <v>#REF!</v>
      </c>
      <c r="N16" s="34">
        <f t="shared" si="4"/>
        <v>4</v>
      </c>
      <c r="O16">
        <v>33</v>
      </c>
      <c r="P16">
        <v>44</v>
      </c>
      <c r="Q16" s="36">
        <f t="shared" si="5"/>
        <v>77</v>
      </c>
      <c r="R16" s="35">
        <f t="shared" si="0"/>
        <v>340</v>
      </c>
      <c r="S16" s="35">
        <f t="shared" si="1"/>
        <v>4</v>
      </c>
      <c r="T16" s="4"/>
      <c r="U16" s="15">
        <v>280</v>
      </c>
      <c r="V16" s="9">
        <f t="shared" si="6"/>
        <v>0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201</v>
      </c>
      <c r="C17">
        <v>89</v>
      </c>
      <c r="D17" s="37" t="e">
        <f>LOOKUP(C17,#REF!,#REF!)</f>
        <v>#REF!</v>
      </c>
      <c r="E17" s="44" t="e">
        <f>((C17-#REF!)/#REF!)*20+100</f>
        <v>#REF!</v>
      </c>
      <c r="F17">
        <v>46</v>
      </c>
      <c r="G17" s="37" t="e">
        <f>LOOKUP(F17,#REF!,#REF!)</f>
        <v>#REF!</v>
      </c>
      <c r="H17" s="44" t="e">
        <f>((F17-#REF!)/#REF!)*20+100</f>
        <v>#REF!</v>
      </c>
      <c r="I17">
        <v>68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203</v>
      </c>
      <c r="M17" s="45" t="e">
        <f t="shared" si="3"/>
        <v>#REF!</v>
      </c>
      <c r="N17" s="34">
        <f t="shared" si="4"/>
        <v>18</v>
      </c>
      <c r="O17">
        <v>27</v>
      </c>
      <c r="P17">
        <v>26</v>
      </c>
      <c r="Q17" s="36">
        <f t="shared" si="5"/>
        <v>53</v>
      </c>
      <c r="R17" s="35">
        <f t="shared" si="0"/>
        <v>256</v>
      </c>
      <c r="S17" s="35">
        <f t="shared" si="1"/>
        <v>16</v>
      </c>
      <c r="T17" s="4"/>
      <c r="U17" s="15">
        <v>270</v>
      </c>
      <c r="V17" s="9">
        <f t="shared" si="6"/>
        <v>1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202</v>
      </c>
      <c r="C18">
        <v>100</v>
      </c>
      <c r="D18" s="37" t="e">
        <f>LOOKUP(C18,#REF!,#REF!)</f>
        <v>#REF!</v>
      </c>
      <c r="E18" s="44" t="e">
        <f>((C18-#REF!)/#REF!)*20+100</f>
        <v>#REF!</v>
      </c>
      <c r="F18">
        <v>96</v>
      </c>
      <c r="G18" s="37" t="e">
        <f>LOOKUP(F18,#REF!,#REF!)</f>
        <v>#REF!</v>
      </c>
      <c r="H18" s="44" t="e">
        <f>((F18-#REF!)/#REF!)*20+100</f>
        <v>#REF!</v>
      </c>
      <c r="I18">
        <v>95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291</v>
      </c>
      <c r="M18" s="45" t="e">
        <f t="shared" si="3"/>
        <v>#REF!</v>
      </c>
      <c r="N18" s="34">
        <f t="shared" si="4"/>
        <v>1</v>
      </c>
      <c r="O18">
        <v>46</v>
      </c>
      <c r="P18">
        <v>43</v>
      </c>
      <c r="Q18" s="36">
        <f t="shared" si="5"/>
        <v>89</v>
      </c>
      <c r="R18" s="35">
        <f t="shared" si="0"/>
        <v>380</v>
      </c>
      <c r="S18" s="35">
        <f t="shared" si="1"/>
        <v>2</v>
      </c>
      <c r="T18" s="4"/>
      <c r="U18" s="15">
        <v>260</v>
      </c>
      <c r="V18" s="9">
        <f t="shared" si="6"/>
        <v>2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203</v>
      </c>
      <c r="C19">
        <v>91</v>
      </c>
      <c r="D19" s="37" t="e">
        <f>LOOKUP(C19,#REF!,#REF!)</f>
        <v>#REF!</v>
      </c>
      <c r="E19" s="44" t="e">
        <f>((C19-#REF!)/#REF!)*20+100</f>
        <v>#REF!</v>
      </c>
      <c r="F19">
        <v>38</v>
      </c>
      <c r="G19" s="37" t="e">
        <f>LOOKUP(F19,#REF!,#REF!)</f>
        <v>#REF!</v>
      </c>
      <c r="H19" s="44" t="e">
        <f>((F19-#REF!)/#REF!)*20+100</f>
        <v>#REF!</v>
      </c>
      <c r="I19">
        <v>86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215</v>
      </c>
      <c r="M19" s="45" t="e">
        <f t="shared" si="3"/>
        <v>#REF!</v>
      </c>
      <c r="N19" s="34">
        <f t="shared" si="4"/>
        <v>15</v>
      </c>
      <c r="O19">
        <v>17</v>
      </c>
      <c r="P19">
        <v>28</v>
      </c>
      <c r="Q19" s="36">
        <f t="shared" si="5"/>
        <v>45</v>
      </c>
      <c r="R19" s="35">
        <f t="shared" si="0"/>
        <v>260</v>
      </c>
      <c r="S19" s="35">
        <f t="shared" si="1"/>
        <v>15</v>
      </c>
      <c r="T19" s="4"/>
      <c r="U19" s="16">
        <v>250</v>
      </c>
      <c r="V19" s="9">
        <f>FREQUENCY($R$4:$R$40,W18:W40)</f>
        <v>2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204</v>
      </c>
      <c r="C20">
        <v>79</v>
      </c>
      <c r="D20" s="37" t="e">
        <f>LOOKUP(C20,#REF!,#REF!)</f>
        <v>#REF!</v>
      </c>
      <c r="E20" s="44" t="e">
        <f>((C20-#REF!)/#REF!)*20+100</f>
        <v>#REF!</v>
      </c>
      <c r="F20">
        <v>16</v>
      </c>
      <c r="G20" s="37" t="e">
        <f>LOOKUP(F20,#REF!,#REF!)</f>
        <v>#REF!</v>
      </c>
      <c r="H20" s="44" t="e">
        <f>((F20-#REF!)/#REF!)*20+100</f>
        <v>#REF!</v>
      </c>
      <c r="I20">
        <v>69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164</v>
      </c>
      <c r="M20" s="45" t="e">
        <f t="shared" si="3"/>
        <v>#REF!</v>
      </c>
      <c r="N20" s="34">
        <f t="shared" si="4"/>
        <v>25</v>
      </c>
      <c r="O20">
        <v>18</v>
      </c>
      <c r="P20">
        <v>19</v>
      </c>
      <c r="Q20" s="36">
        <f t="shared" si="5"/>
        <v>37</v>
      </c>
      <c r="R20" s="35">
        <f t="shared" si="0"/>
        <v>201</v>
      </c>
      <c r="S20" s="35">
        <f t="shared" si="1"/>
        <v>25</v>
      </c>
      <c r="T20" s="4"/>
      <c r="U20" s="17">
        <v>240</v>
      </c>
      <c r="V20" s="9">
        <f>FREQUENCY($R$4:$R$40,W19:W40)</f>
        <v>4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205</v>
      </c>
      <c r="C21">
        <v>85</v>
      </c>
      <c r="D21" s="37" t="e">
        <f>LOOKUP(C21,#REF!,#REF!)</f>
        <v>#REF!</v>
      </c>
      <c r="E21" s="44" t="e">
        <f>((C21-#REF!)/#REF!)*20+100</f>
        <v>#REF!</v>
      </c>
      <c r="F21">
        <v>58</v>
      </c>
      <c r="G21" s="37" t="e">
        <f>LOOKUP(F21,#REF!,#REF!)</f>
        <v>#REF!</v>
      </c>
      <c r="H21" s="44" t="e">
        <f>((F21-#REF!)/#REF!)*20+100</f>
        <v>#REF!</v>
      </c>
      <c r="I21">
        <v>80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223</v>
      </c>
      <c r="M21" s="45" t="e">
        <f t="shared" si="3"/>
        <v>#REF!</v>
      </c>
      <c r="N21" s="34">
        <f t="shared" si="4"/>
        <v>13</v>
      </c>
      <c r="O21">
        <v>42</v>
      </c>
      <c r="P21">
        <v>27</v>
      </c>
      <c r="Q21" s="36">
        <f t="shared" si="5"/>
        <v>69</v>
      </c>
      <c r="R21" s="35">
        <f t="shared" si="0"/>
        <v>292</v>
      </c>
      <c r="S21" s="35">
        <f t="shared" si="1"/>
        <v>12</v>
      </c>
      <c r="T21" s="4"/>
      <c r="U21" s="18">
        <v>230</v>
      </c>
      <c r="V21" s="9">
        <f t="shared" ref="V21:V26" si="7">FREQUENCY($R$4:$R$40,W20:W40)</f>
        <v>1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206</v>
      </c>
      <c r="C22">
        <v>87</v>
      </c>
      <c r="D22" s="37" t="e">
        <f>LOOKUP(C22,#REF!,#REF!)</f>
        <v>#REF!</v>
      </c>
      <c r="E22" s="44" t="e">
        <f>((C22-#REF!)/#REF!)*20+100</f>
        <v>#REF!</v>
      </c>
      <c r="F22">
        <v>33</v>
      </c>
      <c r="G22" s="37" t="e">
        <f>LOOKUP(F22,#REF!,#REF!)</f>
        <v>#REF!</v>
      </c>
      <c r="H22" s="44" t="e">
        <f>((F22-#REF!)/#REF!)*20+100</f>
        <v>#REF!</v>
      </c>
      <c r="I22">
        <v>74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194</v>
      </c>
      <c r="M22" s="45" t="e">
        <f t="shared" si="3"/>
        <v>#REF!</v>
      </c>
      <c r="N22" s="34">
        <f t="shared" si="4"/>
        <v>21</v>
      </c>
      <c r="O22">
        <v>21</v>
      </c>
      <c r="P22">
        <v>38</v>
      </c>
      <c r="Q22" s="36">
        <f t="shared" si="5"/>
        <v>59</v>
      </c>
      <c r="R22" s="35">
        <f t="shared" si="0"/>
        <v>253</v>
      </c>
      <c r="S22" s="35">
        <f t="shared" si="1"/>
        <v>17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207</v>
      </c>
      <c r="C23">
        <v>96</v>
      </c>
      <c r="D23" s="37" t="e">
        <f>LOOKUP(C23,#REF!,#REF!)</f>
        <v>#REF!</v>
      </c>
      <c r="E23" s="44" t="e">
        <f>((C23-#REF!)/#REF!)*20+100</f>
        <v>#REF!</v>
      </c>
      <c r="F23">
        <v>77</v>
      </c>
      <c r="G23" s="37" t="e">
        <f>LOOKUP(F23,#REF!,#REF!)</f>
        <v>#REF!</v>
      </c>
      <c r="H23" s="44" t="e">
        <f>((F23-#REF!)/#REF!)*20+100</f>
        <v>#REF!</v>
      </c>
      <c r="I23">
        <v>67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240</v>
      </c>
      <c r="M23" s="45" t="e">
        <f t="shared" si="3"/>
        <v>#REF!</v>
      </c>
      <c r="N23" s="34">
        <f t="shared" si="4"/>
        <v>9</v>
      </c>
      <c r="O23">
        <v>45</v>
      </c>
      <c r="P23">
        <v>42</v>
      </c>
      <c r="Q23" s="36">
        <f t="shared" si="5"/>
        <v>87</v>
      </c>
      <c r="R23" s="35">
        <f t="shared" si="0"/>
        <v>327</v>
      </c>
      <c r="S23" s="35">
        <f t="shared" si="1"/>
        <v>7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208</v>
      </c>
      <c r="C24">
        <v>44</v>
      </c>
      <c r="D24" s="37" t="e">
        <f>LOOKUP(C24,#REF!,#REF!)</f>
        <v>#REF!</v>
      </c>
      <c r="E24" s="44" t="e">
        <f>((C24-#REF!)/#REF!)*20+100</f>
        <v>#REF!</v>
      </c>
      <c r="F24">
        <v>15</v>
      </c>
      <c r="G24" s="37" t="e">
        <f>LOOKUP(F24,#REF!,#REF!)</f>
        <v>#REF!</v>
      </c>
      <c r="H24" s="44" t="e">
        <f>((F24-#REF!)/#REF!)*20+100</f>
        <v>#REF!</v>
      </c>
      <c r="I24">
        <v>40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99</v>
      </c>
      <c r="M24" s="45" t="e">
        <f t="shared" si="3"/>
        <v>#REF!</v>
      </c>
      <c r="N24" s="34">
        <f t="shared" si="4"/>
        <v>31</v>
      </c>
      <c r="O24">
        <v>12</v>
      </c>
      <c r="P24">
        <v>15</v>
      </c>
      <c r="Q24" s="36">
        <f t="shared" si="5"/>
        <v>27</v>
      </c>
      <c r="R24" s="35">
        <f t="shared" si="0"/>
        <v>126</v>
      </c>
      <c r="S24" s="35">
        <f t="shared" si="1"/>
        <v>31</v>
      </c>
      <c r="T24" s="4"/>
      <c r="U24" s="19">
        <v>200</v>
      </c>
      <c r="V24" s="9">
        <f t="shared" si="7"/>
        <v>3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209</v>
      </c>
      <c r="C25">
        <v>14</v>
      </c>
      <c r="D25" s="37" t="e">
        <f>LOOKUP(C25,#REF!,#REF!)</f>
        <v>#REF!</v>
      </c>
      <c r="E25" s="44" t="e">
        <f>((C25-#REF!)/#REF!)*20+100</f>
        <v>#REF!</v>
      </c>
      <c r="F25">
        <v>15</v>
      </c>
      <c r="G25" s="37" t="e">
        <f>LOOKUP(F25,#REF!,#REF!)</f>
        <v>#REF!</v>
      </c>
      <c r="H25" s="44" t="e">
        <f>((F25-#REF!)/#REF!)*20+100</f>
        <v>#REF!</v>
      </c>
      <c r="I25">
        <v>15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44</v>
      </c>
      <c r="M25" s="45" t="e">
        <f t="shared" si="3"/>
        <v>#REF!</v>
      </c>
      <c r="N25" s="34">
        <f t="shared" si="4"/>
        <v>36</v>
      </c>
      <c r="O25">
        <v>16</v>
      </c>
      <c r="P25">
        <v>11</v>
      </c>
      <c r="Q25" s="36">
        <f t="shared" si="5"/>
        <v>27</v>
      </c>
      <c r="R25" s="35">
        <f t="shared" si="0"/>
        <v>71</v>
      </c>
      <c r="S25" s="35">
        <f t="shared" si="1"/>
        <v>36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210</v>
      </c>
      <c r="C26">
        <v>87</v>
      </c>
      <c r="D26" s="37" t="e">
        <f>LOOKUP(C26,#REF!,#REF!)</f>
        <v>#REF!</v>
      </c>
      <c r="E26" s="44" t="e">
        <f>((C26-#REF!)/#REF!)*20+100</f>
        <v>#REF!</v>
      </c>
      <c r="F26">
        <v>33</v>
      </c>
      <c r="G26" s="37" t="e">
        <f>LOOKUP(F26,#REF!,#REF!)</f>
        <v>#REF!</v>
      </c>
      <c r="H26" s="44" t="e">
        <f>((F26-#REF!)/#REF!)*20+100</f>
        <v>#REF!</v>
      </c>
      <c r="I26">
        <v>69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189</v>
      </c>
      <c r="M26" s="45" t="e">
        <f t="shared" si="3"/>
        <v>#REF!</v>
      </c>
      <c r="N26" s="34">
        <f t="shared" si="4"/>
        <v>22</v>
      </c>
      <c r="O26">
        <v>27</v>
      </c>
      <c r="P26">
        <v>27</v>
      </c>
      <c r="Q26" s="36">
        <f t="shared" si="5"/>
        <v>54</v>
      </c>
      <c r="R26" s="35">
        <f t="shared" si="0"/>
        <v>243</v>
      </c>
      <c r="S26" s="35">
        <f t="shared" si="1"/>
        <v>20</v>
      </c>
      <c r="T26" s="4"/>
      <c r="U26" s="21" t="s">
        <v>20</v>
      </c>
      <c r="V26" s="9">
        <f t="shared" si="7"/>
        <v>10</v>
      </c>
    </row>
    <row r="27" spans="1:23" s="7" customFormat="1" ht="17.100000000000001" customHeight="1" x14ac:dyDescent="0.15">
      <c r="A27" s="40">
        <v>24</v>
      </c>
      <c r="B27" s="71" t="s">
        <v>211</v>
      </c>
      <c r="C27">
        <v>21</v>
      </c>
      <c r="D27" s="37" t="e">
        <f>LOOKUP(C27,#REF!,#REF!)</f>
        <v>#REF!</v>
      </c>
      <c r="E27" s="44" t="e">
        <f>((C27-#REF!)/#REF!)*20+100</f>
        <v>#REF!</v>
      </c>
      <c r="F27">
        <v>13</v>
      </c>
      <c r="G27" s="37" t="e">
        <f>LOOKUP(F27,#REF!,#REF!)</f>
        <v>#REF!</v>
      </c>
      <c r="H27" s="44" t="e">
        <f>((F27-#REF!)/#REF!)*20+100</f>
        <v>#REF!</v>
      </c>
      <c r="I27">
        <v>37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71</v>
      </c>
      <c r="M27" s="45" t="e">
        <f t="shared" si="3"/>
        <v>#REF!</v>
      </c>
      <c r="N27" s="34">
        <f t="shared" si="4"/>
        <v>32</v>
      </c>
      <c r="O27">
        <v>10</v>
      </c>
      <c r="P27">
        <v>10</v>
      </c>
      <c r="Q27" s="36">
        <f t="shared" si="5"/>
        <v>20</v>
      </c>
      <c r="R27" s="35">
        <f t="shared" si="0"/>
        <v>91</v>
      </c>
      <c r="S27" s="35">
        <f t="shared" si="1"/>
        <v>32</v>
      </c>
      <c r="T27" s="4"/>
      <c r="U27" s="311" t="s">
        <v>9</v>
      </c>
      <c r="V27" s="313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212</v>
      </c>
      <c r="C28">
        <v>22</v>
      </c>
      <c r="D28" s="37" t="e">
        <f>LOOKUP(C28,#REF!,#REF!)</f>
        <v>#REF!</v>
      </c>
      <c r="E28" s="44" t="e">
        <f>((C28-#REF!)/#REF!)*20+100</f>
        <v>#REF!</v>
      </c>
      <c r="F28">
        <v>13</v>
      </c>
      <c r="G28" s="37" t="e">
        <f>LOOKUP(F28,#REF!,#REF!)</f>
        <v>#REF!</v>
      </c>
      <c r="H28" s="44" t="e">
        <f>((F28-#REF!)/#REF!)*20+100</f>
        <v>#REF!</v>
      </c>
      <c r="I28">
        <v>28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63</v>
      </c>
      <c r="M28" s="45" t="e">
        <f t="shared" si="3"/>
        <v>#REF!</v>
      </c>
      <c r="N28" s="34">
        <f t="shared" si="4"/>
        <v>35</v>
      </c>
      <c r="O28">
        <v>10</v>
      </c>
      <c r="P28">
        <v>9</v>
      </c>
      <c r="Q28" s="36">
        <f t="shared" si="5"/>
        <v>19</v>
      </c>
      <c r="R28" s="35">
        <f t="shared" si="0"/>
        <v>82</v>
      </c>
      <c r="S28" s="35">
        <f t="shared" si="1"/>
        <v>34</v>
      </c>
      <c r="T28" s="4"/>
      <c r="U28" s="312"/>
      <c r="V28" s="314"/>
    </row>
    <row r="29" spans="1:23" s="7" customFormat="1" ht="17.100000000000001" customHeight="1" thickBot="1" x14ac:dyDescent="0.2">
      <c r="A29" s="40">
        <v>26</v>
      </c>
      <c r="B29" s="71" t="s">
        <v>213</v>
      </c>
      <c r="C29">
        <v>73</v>
      </c>
      <c r="D29" s="37" t="e">
        <f>LOOKUP(C29,#REF!,#REF!)</f>
        <v>#REF!</v>
      </c>
      <c r="E29" s="44" t="e">
        <f>((C29-#REF!)/#REF!)*20+100</f>
        <v>#REF!</v>
      </c>
      <c r="F29">
        <v>15</v>
      </c>
      <c r="G29" s="37" t="e">
        <f>LOOKUP(F29,#REF!,#REF!)</f>
        <v>#REF!</v>
      </c>
      <c r="H29" s="44" t="e">
        <f>((F29-#REF!)/#REF!)*20+100</f>
        <v>#REF!</v>
      </c>
      <c r="I29">
        <v>55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143</v>
      </c>
      <c r="M29" s="45" t="e">
        <f t="shared" si="3"/>
        <v>#REF!</v>
      </c>
      <c r="N29" s="34">
        <f t="shared" si="4"/>
        <v>29</v>
      </c>
      <c r="O29">
        <v>11</v>
      </c>
      <c r="P29">
        <v>7</v>
      </c>
      <c r="Q29" s="36">
        <f t="shared" si="5"/>
        <v>18</v>
      </c>
      <c r="R29" s="35">
        <f t="shared" si="0"/>
        <v>161</v>
      </c>
      <c r="S29" s="35">
        <f t="shared" si="1"/>
        <v>29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214</v>
      </c>
      <c r="C30">
        <v>82</v>
      </c>
      <c r="D30" s="37" t="e">
        <f>LOOKUP(C30,#REF!,#REF!)</f>
        <v>#REF!</v>
      </c>
      <c r="E30" s="44" t="e">
        <f>((C30-#REF!)/#REF!)*20+100</f>
        <v>#REF!</v>
      </c>
      <c r="F30">
        <v>32</v>
      </c>
      <c r="G30" s="37" t="e">
        <f>LOOKUP(F30,#REF!,#REF!)</f>
        <v>#REF!</v>
      </c>
      <c r="H30" s="44" t="e">
        <f>((F30-#REF!)/#REF!)*20+100</f>
        <v>#REF!</v>
      </c>
      <c r="I30">
        <v>57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171</v>
      </c>
      <c r="M30" s="45" t="e">
        <f t="shared" si="3"/>
        <v>#REF!</v>
      </c>
      <c r="N30" s="34">
        <f t="shared" si="4"/>
        <v>23</v>
      </c>
      <c r="O30">
        <v>33</v>
      </c>
      <c r="P30">
        <v>30</v>
      </c>
      <c r="Q30" s="36">
        <f t="shared" si="5"/>
        <v>63</v>
      </c>
      <c r="R30" s="35">
        <f t="shared" si="0"/>
        <v>234</v>
      </c>
      <c r="S30" s="35">
        <f t="shared" si="1"/>
        <v>22</v>
      </c>
      <c r="T30" s="4"/>
      <c r="U30" s="315" t="s">
        <v>10</v>
      </c>
      <c r="V30" s="316"/>
    </row>
    <row r="31" spans="1:23" s="7" customFormat="1" ht="17.100000000000001" customHeight="1" x14ac:dyDescent="0.15">
      <c r="A31" s="40">
        <v>28</v>
      </c>
      <c r="B31" s="71" t="s">
        <v>215</v>
      </c>
      <c r="C31">
        <v>95</v>
      </c>
      <c r="D31" s="37" t="e">
        <f>LOOKUP(C31,#REF!,#REF!)</f>
        <v>#REF!</v>
      </c>
      <c r="E31" s="44" t="e">
        <f>((C31-#REF!)/#REF!)*20+100</f>
        <v>#REF!</v>
      </c>
      <c r="F31">
        <v>45</v>
      </c>
      <c r="G31" s="37" t="e">
        <f>LOOKUP(F31,#REF!,#REF!)</f>
        <v>#REF!</v>
      </c>
      <c r="H31" s="44" t="e">
        <f>((F31-#REF!)/#REF!)*20+100</f>
        <v>#REF!</v>
      </c>
      <c r="I31">
        <v>86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226</v>
      </c>
      <c r="M31" s="45" t="e">
        <f t="shared" si="3"/>
        <v>#REF!</v>
      </c>
      <c r="N31" s="34">
        <f t="shared" si="4"/>
        <v>12</v>
      </c>
      <c r="O31">
        <v>37</v>
      </c>
      <c r="P31">
        <v>13</v>
      </c>
      <c r="Q31" s="36">
        <f t="shared" si="5"/>
        <v>50</v>
      </c>
      <c r="R31" s="35">
        <f t="shared" si="0"/>
        <v>276</v>
      </c>
      <c r="S31" s="35">
        <f t="shared" si="1"/>
        <v>13</v>
      </c>
      <c r="T31" s="4"/>
      <c r="U31" s="317">
        <f>MAX(R4:R40)</f>
        <v>383</v>
      </c>
      <c r="V31" s="318"/>
    </row>
    <row r="32" spans="1:23" s="7" customFormat="1" ht="17.100000000000001" customHeight="1" thickBot="1" x14ac:dyDescent="0.2">
      <c r="A32" s="40">
        <v>29</v>
      </c>
      <c r="B32" s="71" t="s">
        <v>216</v>
      </c>
      <c r="C32">
        <v>73</v>
      </c>
      <c r="D32" s="37" t="e">
        <f>LOOKUP(C32,#REF!,#REF!)</f>
        <v>#REF!</v>
      </c>
      <c r="E32" s="44" t="e">
        <f>((C32-#REF!)/#REF!)*20+100</f>
        <v>#REF!</v>
      </c>
      <c r="F32">
        <v>25</v>
      </c>
      <c r="G32" s="37" t="e">
        <f>LOOKUP(F32,#REF!,#REF!)</f>
        <v>#REF!</v>
      </c>
      <c r="H32" s="44" t="e">
        <f>((F32-#REF!)/#REF!)*20+100</f>
        <v>#REF!</v>
      </c>
      <c r="I32">
        <v>54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152</v>
      </c>
      <c r="M32" s="45" t="e">
        <f t="shared" si="3"/>
        <v>#REF!</v>
      </c>
      <c r="N32" s="34">
        <f t="shared" si="4"/>
        <v>27</v>
      </c>
      <c r="O32">
        <v>22</v>
      </c>
      <c r="P32">
        <v>14</v>
      </c>
      <c r="Q32" s="36">
        <f t="shared" si="5"/>
        <v>36</v>
      </c>
      <c r="R32" s="35">
        <f t="shared" si="0"/>
        <v>188</v>
      </c>
      <c r="S32" s="35">
        <f t="shared" si="1"/>
        <v>28</v>
      </c>
      <c r="T32" s="4"/>
      <c r="U32" s="319"/>
      <c r="V32" s="320"/>
    </row>
    <row r="33" spans="1:22" s="7" customFormat="1" ht="17.100000000000001" customHeight="1" x14ac:dyDescent="0.15">
      <c r="A33" s="40">
        <v>30</v>
      </c>
      <c r="B33" s="71" t="s">
        <v>217</v>
      </c>
      <c r="C33">
        <v>95</v>
      </c>
      <c r="D33" s="37" t="e">
        <f>LOOKUP(C33,#REF!,#REF!)</f>
        <v>#REF!</v>
      </c>
      <c r="E33" s="44" t="e">
        <f>((C33-#REF!)/#REF!)*20+100</f>
        <v>#REF!</v>
      </c>
      <c r="F33">
        <v>35</v>
      </c>
      <c r="G33" s="37" t="e">
        <f>LOOKUP(F33,#REF!,#REF!)</f>
        <v>#REF!</v>
      </c>
      <c r="H33" s="44" t="e">
        <f>((F33-#REF!)/#REF!)*20+100</f>
        <v>#REF!</v>
      </c>
      <c r="I33">
        <v>78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208</v>
      </c>
      <c r="M33" s="45" t="e">
        <f t="shared" si="3"/>
        <v>#REF!</v>
      </c>
      <c r="N33" s="34">
        <f t="shared" si="4"/>
        <v>17</v>
      </c>
      <c r="O33">
        <v>13</v>
      </c>
      <c r="P33">
        <v>0</v>
      </c>
      <c r="Q33" s="36">
        <f t="shared" si="5"/>
        <v>13</v>
      </c>
      <c r="R33" s="35">
        <f t="shared" si="0"/>
        <v>221</v>
      </c>
      <c r="S33" s="35">
        <f t="shared" si="1"/>
        <v>23</v>
      </c>
      <c r="T33" s="4"/>
      <c r="U33" s="315" t="s">
        <v>11</v>
      </c>
      <c r="V33" s="316"/>
    </row>
    <row r="34" spans="1:22" s="7" customFormat="1" ht="17.100000000000001" customHeight="1" x14ac:dyDescent="0.15">
      <c r="A34" s="40">
        <v>31</v>
      </c>
      <c r="B34" s="71" t="s">
        <v>218</v>
      </c>
      <c r="C34">
        <v>83</v>
      </c>
      <c r="D34" s="37" t="e">
        <f>LOOKUP(C34,#REF!,#REF!)</f>
        <v>#REF!</v>
      </c>
      <c r="E34" s="44" t="e">
        <f>((C34-#REF!)/#REF!)*20+100</f>
        <v>#REF!</v>
      </c>
      <c r="F34">
        <v>27</v>
      </c>
      <c r="G34" s="37" t="e">
        <f>LOOKUP(F34,#REF!,#REF!)</f>
        <v>#REF!</v>
      </c>
      <c r="H34" s="44" t="e">
        <f>((F34-#REF!)/#REF!)*20+100</f>
        <v>#REF!</v>
      </c>
      <c r="I34">
        <v>39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149</v>
      </c>
      <c r="M34" s="45" t="e">
        <f t="shared" si="3"/>
        <v>#REF!</v>
      </c>
      <c r="N34" s="34">
        <f t="shared" si="4"/>
        <v>28</v>
      </c>
      <c r="O34">
        <v>23</v>
      </c>
      <c r="P34">
        <v>18</v>
      </c>
      <c r="Q34" s="36">
        <f t="shared" si="5"/>
        <v>41</v>
      </c>
      <c r="R34" s="35">
        <f t="shared" si="0"/>
        <v>190</v>
      </c>
      <c r="S34" s="35">
        <f t="shared" si="1"/>
        <v>27</v>
      </c>
      <c r="T34" s="4"/>
      <c r="U34" s="321">
        <f>MIN(R4:R40)</f>
        <v>0</v>
      </c>
      <c r="V34" s="322"/>
    </row>
    <row r="35" spans="1:22" s="7" customFormat="1" ht="17.100000000000001" customHeight="1" thickBot="1" x14ac:dyDescent="0.2">
      <c r="A35" s="40">
        <v>32</v>
      </c>
      <c r="B35" s="71" t="s">
        <v>219</v>
      </c>
      <c r="C35">
        <v>95</v>
      </c>
      <c r="D35" s="37" t="e">
        <f>LOOKUP(C35,#REF!,#REF!)</f>
        <v>#REF!</v>
      </c>
      <c r="E35" s="44" t="e">
        <f>((C35-#REF!)/#REF!)*20+100</f>
        <v>#REF!</v>
      </c>
      <c r="F35">
        <v>73</v>
      </c>
      <c r="G35" s="37" t="e">
        <f>LOOKUP(F35,#REF!,#REF!)</f>
        <v>#REF!</v>
      </c>
      <c r="H35" s="44" t="e">
        <f>((F35-#REF!)/#REF!)*20+100</f>
        <v>#REF!</v>
      </c>
      <c r="I35">
        <v>91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259</v>
      </c>
      <c r="M35" s="45" t="e">
        <f t="shared" si="3"/>
        <v>#REF!</v>
      </c>
      <c r="N35" s="34">
        <f t="shared" si="4"/>
        <v>5</v>
      </c>
      <c r="O35">
        <v>38</v>
      </c>
      <c r="P35">
        <v>32</v>
      </c>
      <c r="Q35" s="36">
        <f t="shared" si="5"/>
        <v>70</v>
      </c>
      <c r="R35" s="35">
        <f t="shared" si="0"/>
        <v>329</v>
      </c>
      <c r="S35" s="35">
        <f t="shared" si="1"/>
        <v>6</v>
      </c>
      <c r="T35" s="4"/>
      <c r="U35" s="323"/>
      <c r="V35" s="324"/>
    </row>
    <row r="36" spans="1:22" s="7" customFormat="1" ht="17.100000000000001" customHeight="1" x14ac:dyDescent="0.15">
      <c r="A36" s="40">
        <v>33</v>
      </c>
      <c r="B36" s="71" t="s">
        <v>220</v>
      </c>
      <c r="C36">
        <v>29</v>
      </c>
      <c r="D36" s="37" t="e">
        <f>LOOKUP(C36,#REF!,#REF!)</f>
        <v>#REF!</v>
      </c>
      <c r="E36" s="44" t="e">
        <f>((C36-#REF!)/#REF!)*20+100</f>
        <v>#REF!</v>
      </c>
      <c r="F36" s="98">
        <v>15</v>
      </c>
      <c r="G36" s="37">
        <f>LOOKUP(F36,예상등급!$D$19:$D$27,예상등급!$E$19:$E$27)</f>
        <v>6</v>
      </c>
      <c r="H36" s="44" t="e">
        <f>((F36-예상등급!#REF!)/예상등급!#REF!)*20+100</f>
        <v>#REF!</v>
      </c>
      <c r="I36">
        <v>24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68</v>
      </c>
      <c r="M36" s="45" t="e">
        <f t="shared" si="3"/>
        <v>#REF!</v>
      </c>
      <c r="N36" s="34">
        <f t="shared" si="4"/>
        <v>33</v>
      </c>
      <c r="O36">
        <v>9</v>
      </c>
      <c r="P36">
        <v>10</v>
      </c>
      <c r="Q36" s="36">
        <f t="shared" si="5"/>
        <v>19</v>
      </c>
      <c r="R36" s="35">
        <f t="shared" si="0"/>
        <v>87</v>
      </c>
      <c r="S36" s="35">
        <f t="shared" si="1"/>
        <v>33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221</v>
      </c>
      <c r="C37">
        <v>96</v>
      </c>
      <c r="D37" s="37" t="e">
        <f>LOOKUP(C37,#REF!,#REF!)</f>
        <v>#REF!</v>
      </c>
      <c r="E37" s="44" t="e">
        <f>((C37-#REF!)/#REF!)*20+100</f>
        <v>#REF!</v>
      </c>
      <c r="F37">
        <v>61</v>
      </c>
      <c r="G37" s="37" t="e">
        <f>LOOKUP(F37,#REF!,#REF!)</f>
        <v>#REF!</v>
      </c>
      <c r="H37" s="44" t="e">
        <f>((F37-#REF!)/#REF!)*20+100</f>
        <v>#REF!</v>
      </c>
      <c r="I37">
        <v>92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249</v>
      </c>
      <c r="M37" s="45" t="e">
        <f t="shared" si="3"/>
        <v>#REF!</v>
      </c>
      <c r="N37" s="34">
        <f t="shared" si="4"/>
        <v>6</v>
      </c>
      <c r="O37">
        <v>42</v>
      </c>
      <c r="P37">
        <v>33</v>
      </c>
      <c r="Q37" s="36">
        <f t="shared" si="5"/>
        <v>75</v>
      </c>
      <c r="R37" s="35">
        <f t="shared" si="0"/>
        <v>324</v>
      </c>
      <c r="S37" s="35">
        <f t="shared" si="1"/>
        <v>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222</v>
      </c>
      <c r="C38">
        <v>88</v>
      </c>
      <c r="D38" s="37" t="e">
        <f>LOOKUP(C38,#REF!,#REF!)</f>
        <v>#REF!</v>
      </c>
      <c r="E38" s="44" t="e">
        <f>((C38-#REF!)/#REF!)*20+100</f>
        <v>#REF!</v>
      </c>
      <c r="F38">
        <v>43</v>
      </c>
      <c r="G38" s="37" t="e">
        <f>LOOKUP(F38,#REF!,#REF!)</f>
        <v>#REF!</v>
      </c>
      <c r="H38" s="44" t="e">
        <f>((F38-#REF!)/#REF!)*20+100</f>
        <v>#REF!</v>
      </c>
      <c r="I38">
        <v>79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210</v>
      </c>
      <c r="M38" s="45" t="e">
        <f>SUM(E38,H38,K38)</f>
        <v>#REF!</v>
      </c>
      <c r="N38" s="34">
        <f t="shared" si="4"/>
        <v>16</v>
      </c>
      <c r="O38">
        <v>22</v>
      </c>
      <c r="P38">
        <v>12</v>
      </c>
      <c r="Q38" s="36">
        <f t="shared" si="5"/>
        <v>34</v>
      </c>
      <c r="R38" s="35">
        <f t="shared" si="0"/>
        <v>244</v>
      </c>
      <c r="S38" s="35">
        <f t="shared" si="1"/>
        <v>19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223</v>
      </c>
      <c r="C39">
        <v>98</v>
      </c>
      <c r="D39" s="37" t="e">
        <f>LOOKUP(C39,#REF!,#REF!)</f>
        <v>#REF!</v>
      </c>
      <c r="E39" s="44" t="e">
        <f>((C39-#REF!)/#REF!)*20+100</f>
        <v>#REF!</v>
      </c>
      <c r="F39">
        <v>88</v>
      </c>
      <c r="G39" s="37" t="e">
        <f>LOOKUP(F39,#REF!,#REF!)</f>
        <v>#REF!</v>
      </c>
      <c r="H39" s="44" t="e">
        <f>((F39-#REF!)/#REF!)*20+100</f>
        <v>#REF!</v>
      </c>
      <c r="I39">
        <v>100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286</v>
      </c>
      <c r="M39" s="45" t="e">
        <f>SUM(E39,H39,K39)</f>
        <v>#REF!</v>
      </c>
      <c r="N39" s="34">
        <f t="shared" si="4"/>
        <v>2</v>
      </c>
      <c r="O39">
        <v>50</v>
      </c>
      <c r="P39">
        <v>47</v>
      </c>
      <c r="Q39" s="36">
        <f t="shared" si="5"/>
        <v>97</v>
      </c>
      <c r="R39" s="35">
        <f t="shared" si="0"/>
        <v>383</v>
      </c>
      <c r="S39" s="35">
        <f t="shared" si="1"/>
        <v>1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224</v>
      </c>
      <c r="C40">
        <v>81</v>
      </c>
      <c r="D40" s="37" t="e">
        <f>LOOKUP(C40,#REF!,#REF!)</f>
        <v>#REF!</v>
      </c>
      <c r="E40" s="44" t="e">
        <f>((C40-#REF!)/#REF!)*20+100</f>
        <v>#REF!</v>
      </c>
      <c r="F40">
        <v>52</v>
      </c>
      <c r="G40" s="37" t="e">
        <f>LOOKUP(F40,#REF!,#REF!)</f>
        <v>#REF!</v>
      </c>
      <c r="H40" s="44" t="e">
        <f>((F40-#REF!)/#REF!)*20+100</f>
        <v>#REF!</v>
      </c>
      <c r="I40">
        <v>85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218</v>
      </c>
      <c r="M40" s="45" t="e">
        <f>SUM(E40,H40,K40)</f>
        <v>#REF!</v>
      </c>
      <c r="N40" s="34">
        <f t="shared" si="4"/>
        <v>14</v>
      </c>
      <c r="O40">
        <v>29</v>
      </c>
      <c r="P40">
        <v>19</v>
      </c>
      <c r="Q40" s="36">
        <f t="shared" si="5"/>
        <v>48</v>
      </c>
      <c r="R40" s="35">
        <f t="shared" si="0"/>
        <v>266</v>
      </c>
      <c r="S40" s="35">
        <f t="shared" si="1"/>
        <v>14</v>
      </c>
      <c r="T40" s="4"/>
      <c r="U40" s="47"/>
      <c r="V40" s="47"/>
    </row>
    <row r="41" spans="1:22" s="7" customFormat="1" ht="17.100000000000001" customHeight="1" x14ac:dyDescent="0.15">
      <c r="A41" s="304" t="s">
        <v>6</v>
      </c>
      <c r="B41" s="304"/>
      <c r="C41" s="41">
        <f>SUM(C4:C40)</f>
        <v>2772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1599</v>
      </c>
      <c r="G41" s="41" t="e">
        <f t="shared" si="8"/>
        <v>#REF!</v>
      </c>
      <c r="H41" s="41" t="e">
        <f t="shared" si="8"/>
        <v>#REF!</v>
      </c>
      <c r="I41" s="41">
        <f t="shared" si="8"/>
        <v>2377</v>
      </c>
      <c r="J41" s="41" t="e">
        <f t="shared" si="8"/>
        <v>#REF!</v>
      </c>
      <c r="K41" s="41" t="e">
        <f t="shared" si="8"/>
        <v>#REF!</v>
      </c>
      <c r="L41" s="41">
        <f t="shared" si="8"/>
        <v>6748</v>
      </c>
      <c r="M41" s="41" t="e">
        <f t="shared" si="8"/>
        <v>#REF!</v>
      </c>
      <c r="N41" s="41"/>
      <c r="O41" s="41">
        <f t="shared" si="8"/>
        <v>981</v>
      </c>
      <c r="P41" s="41">
        <f t="shared" si="8"/>
        <v>855</v>
      </c>
      <c r="Q41" s="41">
        <f t="shared" si="8"/>
        <v>1836</v>
      </c>
      <c r="R41" s="41">
        <f t="shared" si="8"/>
        <v>8584</v>
      </c>
      <c r="S41" s="41"/>
      <c r="T41" s="4"/>
      <c r="U41" s="47"/>
      <c r="V41" s="47"/>
    </row>
    <row r="42" spans="1:22" s="7" customFormat="1" ht="17.100000000000001" customHeight="1" x14ac:dyDescent="0.15">
      <c r="A42" s="304" t="s">
        <v>12</v>
      </c>
      <c r="B42" s="304"/>
      <c r="C42" s="41">
        <f>AVERAGE(C4:C40)</f>
        <v>74.918918918918919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43.216216216216218</v>
      </c>
      <c r="G42" s="41" t="e">
        <f t="shared" si="9"/>
        <v>#REF!</v>
      </c>
      <c r="H42" s="41" t="e">
        <f t="shared" si="9"/>
        <v>#REF!</v>
      </c>
      <c r="I42" s="41">
        <f t="shared" si="9"/>
        <v>64.243243243243242</v>
      </c>
      <c r="J42" s="41" t="e">
        <f t="shared" si="9"/>
        <v>#REF!</v>
      </c>
      <c r="K42" s="41" t="e">
        <f t="shared" si="9"/>
        <v>#REF!</v>
      </c>
      <c r="L42" s="41">
        <f t="shared" si="9"/>
        <v>182.37837837837839</v>
      </c>
      <c r="M42" s="41" t="e">
        <f t="shared" si="9"/>
        <v>#REF!</v>
      </c>
      <c r="N42" s="41"/>
      <c r="O42" s="41">
        <f t="shared" si="9"/>
        <v>26.513513513513512</v>
      </c>
      <c r="P42" s="41">
        <f t="shared" si="9"/>
        <v>23.108108108108109</v>
      </c>
      <c r="Q42" s="41">
        <f t="shared" si="9"/>
        <v>49.621621621621621</v>
      </c>
      <c r="R42" s="41">
        <f t="shared" si="9"/>
        <v>232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250"/>
  <sheetViews>
    <sheetView zoomScaleNormal="100" workbookViewId="0">
      <selection activeCell="B12" sqref="B12"/>
    </sheetView>
  </sheetViews>
  <sheetFormatPr defaultRowHeight="13.5" x14ac:dyDescent="0.15"/>
  <cols>
    <col min="1" max="2" width="5.77734375" style="46" customWidth="1"/>
    <col min="3" max="3" width="1.77734375" style="46" customWidth="1"/>
    <col min="4" max="5" width="5.77734375" customWidth="1"/>
    <col min="6" max="6" width="1.77734375" customWidth="1"/>
    <col min="7" max="8" width="5.77734375" customWidth="1"/>
    <col min="9" max="9" width="1.77734375" customWidth="1"/>
    <col min="10" max="11" width="5.77734375" customWidth="1"/>
    <col min="12" max="12" width="1.77734375" customWidth="1"/>
    <col min="13" max="14" width="5.77734375" customWidth="1"/>
    <col min="15" max="15" width="1.77734375" customWidth="1"/>
    <col min="16" max="17" width="5.77734375" customWidth="1"/>
    <col min="18" max="18" width="1.77734375" customWidth="1"/>
    <col min="19" max="20" width="5.77734375" customWidth="1"/>
    <col min="21" max="21" width="1.77734375" customWidth="1"/>
    <col min="22" max="23" width="5.77734375" customWidth="1"/>
    <col min="24" max="24" width="1.77734375" customWidth="1"/>
    <col min="25" max="26" width="5.77734375" customWidth="1"/>
    <col min="27" max="27" width="1.77734375" customWidth="1"/>
    <col min="28" max="29" width="5.77734375" customWidth="1"/>
    <col min="30" max="30" width="1.77734375" customWidth="1"/>
    <col min="31" max="32" width="5.77734375" customWidth="1"/>
    <col min="33" max="33" width="1.77734375" customWidth="1"/>
    <col min="34" max="35" width="5.77734375" customWidth="1"/>
    <col min="36" max="36" width="1.77734375" customWidth="1"/>
    <col min="37" max="38" width="5.77734375" customWidth="1"/>
    <col min="39" max="39" width="1.77734375" customWidth="1"/>
    <col min="40" max="41" width="5.77734375" customWidth="1"/>
    <col min="42" max="42" width="1.77734375" customWidth="1"/>
    <col min="43" max="44" width="5.77734375" customWidth="1"/>
  </cols>
  <sheetData>
    <row r="1" spans="1:44" s="49" customFormat="1" ht="18" customHeight="1" x14ac:dyDescent="0.15">
      <c r="A1" s="325" t="s">
        <v>779</v>
      </c>
      <c r="B1" s="326"/>
      <c r="C1" s="231"/>
      <c r="D1" s="325" t="s">
        <v>355</v>
      </c>
      <c r="E1" s="326"/>
      <c r="G1" s="325" t="s">
        <v>761</v>
      </c>
      <c r="H1" s="326"/>
      <c r="I1" s="242"/>
      <c r="J1" s="325" t="s">
        <v>772</v>
      </c>
      <c r="K1" s="326"/>
      <c r="L1" s="242"/>
      <c r="M1" s="325" t="s">
        <v>765</v>
      </c>
      <c r="N1" s="326"/>
      <c r="O1" s="242"/>
      <c r="P1" s="325" t="s">
        <v>760</v>
      </c>
      <c r="Q1" s="326"/>
      <c r="S1" s="325" t="s">
        <v>763</v>
      </c>
      <c r="T1" s="326"/>
      <c r="V1" s="325" t="s">
        <v>764</v>
      </c>
      <c r="W1" s="326"/>
      <c r="Y1" s="325" t="s">
        <v>767</v>
      </c>
      <c r="Z1" s="326"/>
      <c r="AB1" s="325" t="s">
        <v>766</v>
      </c>
      <c r="AC1" s="326"/>
      <c r="AE1" s="325" t="s">
        <v>762</v>
      </c>
      <c r="AF1" s="326"/>
      <c r="AH1" s="325" t="s">
        <v>769</v>
      </c>
      <c r="AI1" s="326"/>
      <c r="AK1" s="325" t="s">
        <v>768</v>
      </c>
      <c r="AL1" s="326"/>
      <c r="AN1" s="325" t="s">
        <v>770</v>
      </c>
      <c r="AO1" s="326"/>
      <c r="AQ1" s="325" t="s">
        <v>771</v>
      </c>
      <c r="AR1" s="326"/>
    </row>
    <row r="2" spans="1:44" s="49" customFormat="1" ht="18" customHeight="1" thickBot="1" x14ac:dyDescent="0.2">
      <c r="A2" s="327"/>
      <c r="B2" s="328"/>
      <c r="C2" s="232"/>
      <c r="D2" s="327"/>
      <c r="E2" s="328"/>
      <c r="G2" s="327"/>
      <c r="H2" s="328"/>
      <c r="I2" s="242"/>
      <c r="J2" s="327"/>
      <c r="K2" s="328"/>
      <c r="L2" s="242"/>
      <c r="M2" s="327"/>
      <c r="N2" s="328"/>
      <c r="O2" s="242"/>
      <c r="P2" s="327"/>
      <c r="Q2" s="328"/>
      <c r="S2" s="327"/>
      <c r="T2" s="328"/>
      <c r="V2" s="327"/>
      <c r="W2" s="328"/>
      <c r="Y2" s="327"/>
      <c r="Z2" s="328"/>
      <c r="AB2" s="327"/>
      <c r="AC2" s="328"/>
      <c r="AE2" s="327"/>
      <c r="AF2" s="328"/>
      <c r="AH2" s="327"/>
      <c r="AI2" s="328"/>
      <c r="AK2" s="327"/>
      <c r="AL2" s="328"/>
      <c r="AN2" s="327"/>
      <c r="AO2" s="328"/>
      <c r="AQ2" s="327"/>
      <c r="AR2" s="328"/>
    </row>
    <row r="3" spans="1:44" s="23" customFormat="1" ht="18" customHeight="1" x14ac:dyDescent="0.15">
      <c r="A3" s="329" t="s">
        <v>28</v>
      </c>
      <c r="B3" s="331" t="s">
        <v>27</v>
      </c>
      <c r="C3" s="232"/>
      <c r="D3" s="329" t="s">
        <v>28</v>
      </c>
      <c r="E3" s="331" t="s">
        <v>27</v>
      </c>
      <c r="G3" s="329" t="s">
        <v>28</v>
      </c>
      <c r="H3" s="331" t="s">
        <v>27</v>
      </c>
      <c r="I3" s="242"/>
      <c r="J3" s="329" t="s">
        <v>28</v>
      </c>
      <c r="K3" s="331" t="s">
        <v>27</v>
      </c>
      <c r="L3" s="242"/>
      <c r="M3" s="329" t="s">
        <v>28</v>
      </c>
      <c r="N3" s="331" t="s">
        <v>27</v>
      </c>
      <c r="O3" s="242"/>
      <c r="P3" s="329" t="s">
        <v>28</v>
      </c>
      <c r="Q3" s="331" t="s">
        <v>27</v>
      </c>
      <c r="S3" s="329" t="s">
        <v>28</v>
      </c>
      <c r="T3" s="331" t="s">
        <v>27</v>
      </c>
      <c r="V3" s="329" t="s">
        <v>28</v>
      </c>
      <c r="W3" s="331" t="s">
        <v>27</v>
      </c>
      <c r="X3" s="243"/>
      <c r="Y3" s="329" t="s">
        <v>28</v>
      </c>
      <c r="Z3" s="331" t="s">
        <v>27</v>
      </c>
      <c r="AB3" s="329" t="s">
        <v>28</v>
      </c>
      <c r="AC3" s="331" t="s">
        <v>27</v>
      </c>
      <c r="AE3" s="329" t="s">
        <v>28</v>
      </c>
      <c r="AF3" s="331" t="s">
        <v>27</v>
      </c>
      <c r="AH3" s="329" t="s">
        <v>28</v>
      </c>
      <c r="AI3" s="331" t="s">
        <v>27</v>
      </c>
      <c r="AJ3" s="243"/>
      <c r="AK3" s="329" t="s">
        <v>28</v>
      </c>
      <c r="AL3" s="331" t="s">
        <v>27</v>
      </c>
      <c r="AN3" s="329" t="s">
        <v>28</v>
      </c>
      <c r="AO3" s="331" t="s">
        <v>27</v>
      </c>
      <c r="AQ3" s="329" t="s">
        <v>28</v>
      </c>
      <c r="AR3" s="331" t="s">
        <v>27</v>
      </c>
    </row>
    <row r="4" spans="1:44" s="23" customFormat="1" ht="18" customHeight="1" thickBot="1" x14ac:dyDescent="0.2">
      <c r="A4" s="330"/>
      <c r="B4" s="332"/>
      <c r="C4" s="232"/>
      <c r="D4" s="333"/>
      <c r="E4" s="334"/>
      <c r="G4" s="330"/>
      <c r="H4" s="332"/>
      <c r="I4" s="242"/>
      <c r="J4" s="330"/>
      <c r="K4" s="332"/>
      <c r="L4" s="242"/>
      <c r="M4" s="330"/>
      <c r="N4" s="332"/>
      <c r="O4" s="242"/>
      <c r="P4" s="330"/>
      <c r="Q4" s="332"/>
      <c r="S4" s="330"/>
      <c r="T4" s="332"/>
      <c r="V4" s="330"/>
      <c r="W4" s="332"/>
      <c r="Y4" s="330"/>
      <c r="Z4" s="332"/>
      <c r="AB4" s="330"/>
      <c r="AC4" s="332"/>
      <c r="AE4" s="330"/>
      <c r="AF4" s="332"/>
      <c r="AH4" s="330"/>
      <c r="AI4" s="332"/>
      <c r="AK4" s="330"/>
      <c r="AL4" s="332"/>
      <c r="AN4" s="330"/>
      <c r="AO4" s="332"/>
      <c r="AQ4" s="330"/>
      <c r="AR4" s="332"/>
    </row>
    <row r="5" spans="1:44" s="23" customFormat="1" ht="18" customHeight="1" x14ac:dyDescent="0.15">
      <c r="A5" s="239">
        <v>0</v>
      </c>
      <c r="B5" s="137">
        <v>9</v>
      </c>
      <c r="C5" s="232"/>
      <c r="D5" s="112">
        <v>0</v>
      </c>
      <c r="E5" s="113">
        <v>9</v>
      </c>
      <c r="G5" s="239">
        <v>0</v>
      </c>
      <c r="H5" s="137">
        <v>9</v>
      </c>
      <c r="I5" s="244"/>
      <c r="J5" s="239">
        <v>0</v>
      </c>
      <c r="K5" s="137">
        <v>9</v>
      </c>
      <c r="L5" s="244"/>
      <c r="M5" s="239">
        <v>0</v>
      </c>
      <c r="N5" s="137">
        <v>9</v>
      </c>
      <c r="O5" s="244"/>
      <c r="P5" s="239">
        <v>0</v>
      </c>
      <c r="Q5" s="137">
        <v>9</v>
      </c>
      <c r="S5" s="286">
        <v>0</v>
      </c>
      <c r="T5" s="137">
        <v>9</v>
      </c>
      <c r="V5" s="239">
        <v>0</v>
      </c>
      <c r="W5" s="137">
        <v>9</v>
      </c>
      <c r="Y5" s="239">
        <v>0</v>
      </c>
      <c r="Z5" s="137">
        <v>9</v>
      </c>
      <c r="AB5" s="239">
        <v>0</v>
      </c>
      <c r="AC5" s="137">
        <v>9</v>
      </c>
      <c r="AE5" s="239">
        <v>0</v>
      </c>
      <c r="AF5" s="137">
        <v>9</v>
      </c>
      <c r="AH5" s="239">
        <v>0</v>
      </c>
      <c r="AI5" s="137">
        <v>9</v>
      </c>
      <c r="AK5" s="239">
        <v>0</v>
      </c>
      <c r="AL5" s="137">
        <v>9</v>
      </c>
      <c r="AN5" s="239">
        <v>0</v>
      </c>
      <c r="AO5" s="137">
        <v>9</v>
      </c>
      <c r="AQ5" s="239">
        <v>0</v>
      </c>
      <c r="AR5" s="137">
        <v>9</v>
      </c>
    </row>
    <row r="6" spans="1:44" s="23" customFormat="1" ht="18" customHeight="1" x14ac:dyDescent="0.15">
      <c r="A6" s="240">
        <v>16</v>
      </c>
      <c r="B6" s="241">
        <v>8</v>
      </c>
      <c r="C6" s="232"/>
      <c r="D6" s="131">
        <v>20</v>
      </c>
      <c r="E6" s="132">
        <v>8</v>
      </c>
      <c r="G6" s="240">
        <v>6</v>
      </c>
      <c r="H6" s="241">
        <v>8</v>
      </c>
      <c r="I6" s="242"/>
      <c r="J6" s="240">
        <v>6</v>
      </c>
      <c r="K6" s="241">
        <v>8</v>
      </c>
      <c r="L6" s="242"/>
      <c r="M6" s="240">
        <v>7</v>
      </c>
      <c r="N6" s="241">
        <v>8</v>
      </c>
      <c r="O6" s="242"/>
      <c r="P6" s="240">
        <v>6</v>
      </c>
      <c r="Q6" s="241">
        <v>8</v>
      </c>
      <c r="S6" s="287">
        <v>6</v>
      </c>
      <c r="T6" s="241">
        <v>8</v>
      </c>
      <c r="V6" s="240">
        <v>6</v>
      </c>
      <c r="W6" s="241">
        <v>8</v>
      </c>
      <c r="Y6" s="240">
        <v>5</v>
      </c>
      <c r="Z6" s="241">
        <v>8</v>
      </c>
      <c r="AB6" s="240">
        <v>5</v>
      </c>
      <c r="AC6" s="241">
        <v>8</v>
      </c>
      <c r="AE6" s="240">
        <v>7</v>
      </c>
      <c r="AF6" s="241">
        <v>8</v>
      </c>
      <c r="AH6" s="240">
        <v>6</v>
      </c>
      <c r="AI6" s="241">
        <v>8</v>
      </c>
      <c r="AK6" s="240">
        <v>5</v>
      </c>
      <c r="AL6" s="241">
        <v>8</v>
      </c>
      <c r="AN6" s="240">
        <v>7</v>
      </c>
      <c r="AO6" s="241">
        <v>8</v>
      </c>
      <c r="AQ6" s="240">
        <v>6</v>
      </c>
      <c r="AR6" s="241">
        <v>8</v>
      </c>
    </row>
    <row r="7" spans="1:44" s="23" customFormat="1" ht="18" customHeight="1" x14ac:dyDescent="0.15">
      <c r="A7" s="240">
        <v>22</v>
      </c>
      <c r="B7" s="241">
        <v>7</v>
      </c>
      <c r="C7" s="232"/>
      <c r="D7" s="131">
        <v>30</v>
      </c>
      <c r="E7" s="132">
        <v>7</v>
      </c>
      <c r="G7" s="240">
        <v>10</v>
      </c>
      <c r="H7" s="241">
        <v>7</v>
      </c>
      <c r="I7" s="242"/>
      <c r="J7" s="240">
        <v>8</v>
      </c>
      <c r="K7" s="241">
        <v>7</v>
      </c>
      <c r="L7" s="242"/>
      <c r="M7" s="240">
        <v>9</v>
      </c>
      <c r="N7" s="241">
        <v>7</v>
      </c>
      <c r="O7" s="242"/>
      <c r="P7" s="240">
        <v>8</v>
      </c>
      <c r="Q7" s="241">
        <v>7</v>
      </c>
      <c r="S7" s="287">
        <v>9</v>
      </c>
      <c r="T7" s="241">
        <v>7</v>
      </c>
      <c r="V7" s="240">
        <v>8</v>
      </c>
      <c r="W7" s="241">
        <v>7</v>
      </c>
      <c r="Y7" s="240">
        <v>9</v>
      </c>
      <c r="Z7" s="241">
        <v>7</v>
      </c>
      <c r="AB7" s="240">
        <v>8</v>
      </c>
      <c r="AC7" s="241">
        <v>7</v>
      </c>
      <c r="AE7" s="240">
        <v>9</v>
      </c>
      <c r="AF7" s="241">
        <v>7</v>
      </c>
      <c r="AH7" s="240">
        <v>8</v>
      </c>
      <c r="AI7" s="241">
        <v>7</v>
      </c>
      <c r="AK7" s="240">
        <v>7</v>
      </c>
      <c r="AL7" s="241">
        <v>7</v>
      </c>
      <c r="AN7" s="240">
        <v>11</v>
      </c>
      <c r="AO7" s="241">
        <v>7</v>
      </c>
      <c r="AQ7" s="240">
        <v>9</v>
      </c>
      <c r="AR7" s="241">
        <v>7</v>
      </c>
    </row>
    <row r="8" spans="1:44" s="23" customFormat="1" ht="18" customHeight="1" x14ac:dyDescent="0.15">
      <c r="A8" s="240">
        <v>30</v>
      </c>
      <c r="B8" s="241">
        <v>6</v>
      </c>
      <c r="C8" s="232"/>
      <c r="D8" s="131">
        <v>40</v>
      </c>
      <c r="E8" s="132">
        <v>6</v>
      </c>
      <c r="G8" s="240">
        <v>13</v>
      </c>
      <c r="H8" s="241">
        <v>6</v>
      </c>
      <c r="I8" s="242"/>
      <c r="J8" s="240">
        <v>10</v>
      </c>
      <c r="K8" s="241">
        <v>6</v>
      </c>
      <c r="L8" s="242"/>
      <c r="M8" s="240">
        <v>12</v>
      </c>
      <c r="N8" s="241">
        <v>6</v>
      </c>
      <c r="O8" s="242"/>
      <c r="P8" s="240">
        <v>11</v>
      </c>
      <c r="Q8" s="241">
        <v>6</v>
      </c>
      <c r="S8" s="287">
        <v>12</v>
      </c>
      <c r="T8" s="241">
        <v>6</v>
      </c>
      <c r="V8" s="240">
        <v>10</v>
      </c>
      <c r="W8" s="241">
        <v>6</v>
      </c>
      <c r="Y8" s="240">
        <v>12</v>
      </c>
      <c r="Z8" s="241">
        <v>6</v>
      </c>
      <c r="AB8" s="240">
        <v>10</v>
      </c>
      <c r="AC8" s="241">
        <v>6</v>
      </c>
      <c r="AE8" s="240">
        <v>13</v>
      </c>
      <c r="AF8" s="241">
        <v>6</v>
      </c>
      <c r="AH8" s="240">
        <v>12</v>
      </c>
      <c r="AI8" s="241">
        <v>6</v>
      </c>
      <c r="AK8" s="240">
        <v>12</v>
      </c>
      <c r="AL8" s="241">
        <v>6</v>
      </c>
      <c r="AN8" s="240">
        <v>14</v>
      </c>
      <c r="AO8" s="241">
        <v>6</v>
      </c>
      <c r="AQ8" s="240">
        <v>12</v>
      </c>
      <c r="AR8" s="241">
        <v>6</v>
      </c>
    </row>
    <row r="9" spans="1:44" s="23" customFormat="1" ht="18" customHeight="1" x14ac:dyDescent="0.15">
      <c r="A9" s="240">
        <v>41</v>
      </c>
      <c r="B9" s="241">
        <v>5</v>
      </c>
      <c r="C9" s="232"/>
      <c r="D9" s="131">
        <v>50</v>
      </c>
      <c r="E9" s="132">
        <v>5</v>
      </c>
      <c r="G9" s="240">
        <v>19</v>
      </c>
      <c r="H9" s="241">
        <v>5</v>
      </c>
      <c r="I9" s="242"/>
      <c r="J9" s="240">
        <v>14</v>
      </c>
      <c r="K9" s="241">
        <v>5</v>
      </c>
      <c r="L9" s="242"/>
      <c r="M9" s="240">
        <v>17</v>
      </c>
      <c r="N9" s="241">
        <v>5</v>
      </c>
      <c r="O9" s="242"/>
      <c r="P9" s="240">
        <v>13</v>
      </c>
      <c r="Q9" s="241">
        <v>5</v>
      </c>
      <c r="S9" s="287">
        <v>16</v>
      </c>
      <c r="T9" s="241">
        <v>5</v>
      </c>
      <c r="V9" s="240">
        <v>15</v>
      </c>
      <c r="W9" s="241">
        <v>5</v>
      </c>
      <c r="Y9" s="240">
        <v>15</v>
      </c>
      <c r="Z9" s="241">
        <v>5</v>
      </c>
      <c r="AB9" s="240">
        <v>12</v>
      </c>
      <c r="AC9" s="241">
        <v>5</v>
      </c>
      <c r="AE9" s="240">
        <v>19</v>
      </c>
      <c r="AF9" s="241">
        <v>5</v>
      </c>
      <c r="AH9" s="240">
        <v>15</v>
      </c>
      <c r="AI9" s="241">
        <v>5</v>
      </c>
      <c r="AK9" s="240">
        <v>14</v>
      </c>
      <c r="AL9" s="241">
        <v>5</v>
      </c>
      <c r="AN9" s="240">
        <v>19</v>
      </c>
      <c r="AO9" s="241">
        <v>5</v>
      </c>
      <c r="AQ9" s="240">
        <v>17</v>
      </c>
      <c r="AR9" s="241">
        <v>5</v>
      </c>
    </row>
    <row r="10" spans="1:44" s="23" customFormat="1" ht="18" customHeight="1" x14ac:dyDescent="0.15">
      <c r="A10" s="240">
        <v>52</v>
      </c>
      <c r="B10" s="241">
        <v>4</v>
      </c>
      <c r="C10" s="232"/>
      <c r="D10" s="131">
        <v>60</v>
      </c>
      <c r="E10" s="132">
        <v>4</v>
      </c>
      <c r="G10" s="240">
        <v>25</v>
      </c>
      <c r="H10" s="241">
        <v>4</v>
      </c>
      <c r="I10" s="242"/>
      <c r="J10" s="240">
        <v>20</v>
      </c>
      <c r="K10" s="241">
        <v>4</v>
      </c>
      <c r="L10" s="242"/>
      <c r="M10" s="240">
        <v>23</v>
      </c>
      <c r="N10" s="241">
        <v>4</v>
      </c>
      <c r="O10" s="242"/>
      <c r="P10" s="240">
        <v>18</v>
      </c>
      <c r="Q10" s="241">
        <v>4</v>
      </c>
      <c r="S10" s="287">
        <v>22</v>
      </c>
      <c r="T10" s="241">
        <v>4</v>
      </c>
      <c r="V10" s="240">
        <v>20</v>
      </c>
      <c r="W10" s="241">
        <v>4</v>
      </c>
      <c r="Y10" s="240">
        <v>21</v>
      </c>
      <c r="Z10" s="241">
        <v>4</v>
      </c>
      <c r="AB10" s="240">
        <v>19</v>
      </c>
      <c r="AC10" s="241">
        <v>4</v>
      </c>
      <c r="AE10" s="240">
        <v>27</v>
      </c>
      <c r="AF10" s="241">
        <v>4</v>
      </c>
      <c r="AH10" s="240">
        <v>21</v>
      </c>
      <c r="AI10" s="241">
        <v>4</v>
      </c>
      <c r="AK10" s="240">
        <v>19</v>
      </c>
      <c r="AL10" s="241">
        <v>4</v>
      </c>
      <c r="AN10" s="240">
        <v>26</v>
      </c>
      <c r="AO10" s="241">
        <v>4</v>
      </c>
      <c r="AQ10" s="240">
        <v>22</v>
      </c>
      <c r="AR10" s="241">
        <v>4</v>
      </c>
    </row>
    <row r="11" spans="1:44" s="23" customFormat="1" ht="18" customHeight="1" x14ac:dyDescent="0.15">
      <c r="A11" s="240">
        <v>63</v>
      </c>
      <c r="B11" s="241">
        <v>3</v>
      </c>
      <c r="C11" s="232"/>
      <c r="D11" s="131">
        <v>70</v>
      </c>
      <c r="E11" s="132">
        <v>3</v>
      </c>
      <c r="G11" s="240">
        <v>30</v>
      </c>
      <c r="H11" s="241">
        <v>3</v>
      </c>
      <c r="I11" s="242"/>
      <c r="J11" s="240">
        <v>26</v>
      </c>
      <c r="K11" s="241">
        <v>3</v>
      </c>
      <c r="L11" s="242"/>
      <c r="M11" s="240">
        <v>29</v>
      </c>
      <c r="N11" s="241">
        <v>3</v>
      </c>
      <c r="O11" s="242"/>
      <c r="P11" s="240">
        <v>23</v>
      </c>
      <c r="Q11" s="241">
        <v>3</v>
      </c>
      <c r="S11" s="287">
        <v>32</v>
      </c>
      <c r="T11" s="241">
        <v>3</v>
      </c>
      <c r="V11" s="240">
        <v>26</v>
      </c>
      <c r="W11" s="241">
        <v>3</v>
      </c>
      <c r="Y11" s="240">
        <v>30</v>
      </c>
      <c r="Z11" s="241">
        <v>3</v>
      </c>
      <c r="AB11" s="240">
        <v>28</v>
      </c>
      <c r="AC11" s="241">
        <v>3</v>
      </c>
      <c r="AE11" s="240">
        <v>32</v>
      </c>
      <c r="AF11" s="241">
        <v>3</v>
      </c>
      <c r="AH11" s="240">
        <v>30</v>
      </c>
      <c r="AI11" s="241">
        <v>3</v>
      </c>
      <c r="AK11" s="240">
        <v>27</v>
      </c>
      <c r="AL11" s="241">
        <v>3</v>
      </c>
      <c r="AN11" s="240">
        <v>34</v>
      </c>
      <c r="AO11" s="241">
        <v>3</v>
      </c>
      <c r="AQ11" s="240">
        <v>30</v>
      </c>
      <c r="AR11" s="241">
        <v>3</v>
      </c>
    </row>
    <row r="12" spans="1:44" s="23" customFormat="1" ht="18" customHeight="1" x14ac:dyDescent="0.15">
      <c r="A12" s="240">
        <v>72</v>
      </c>
      <c r="B12" s="241">
        <v>2</v>
      </c>
      <c r="C12" s="232"/>
      <c r="D12" s="131">
        <v>80</v>
      </c>
      <c r="E12" s="132">
        <v>2</v>
      </c>
      <c r="G12" s="240">
        <v>37</v>
      </c>
      <c r="H12" s="241">
        <v>2</v>
      </c>
      <c r="I12" s="242"/>
      <c r="J12" s="240">
        <v>33</v>
      </c>
      <c r="K12" s="241">
        <v>2</v>
      </c>
      <c r="L12" s="242"/>
      <c r="M12" s="240">
        <v>37</v>
      </c>
      <c r="N12" s="241">
        <v>2</v>
      </c>
      <c r="O12" s="242"/>
      <c r="P12" s="240">
        <v>29</v>
      </c>
      <c r="Q12" s="241">
        <v>2</v>
      </c>
      <c r="S12" s="287">
        <v>42</v>
      </c>
      <c r="T12" s="241">
        <v>2</v>
      </c>
      <c r="V12" s="240">
        <v>33</v>
      </c>
      <c r="W12" s="241">
        <v>2</v>
      </c>
      <c r="Y12" s="240">
        <v>39</v>
      </c>
      <c r="Z12" s="241">
        <v>2</v>
      </c>
      <c r="AB12" s="240">
        <v>36</v>
      </c>
      <c r="AC12" s="241">
        <v>2</v>
      </c>
      <c r="AE12" s="240">
        <v>40</v>
      </c>
      <c r="AF12" s="241">
        <v>2</v>
      </c>
      <c r="AH12" s="240">
        <v>37</v>
      </c>
      <c r="AI12" s="241">
        <v>2</v>
      </c>
      <c r="AK12" s="240">
        <v>37</v>
      </c>
      <c r="AL12" s="241">
        <v>2</v>
      </c>
      <c r="AN12" s="240">
        <v>40</v>
      </c>
      <c r="AO12" s="241">
        <v>2</v>
      </c>
      <c r="AQ12" s="240">
        <v>37</v>
      </c>
      <c r="AR12" s="241">
        <v>2</v>
      </c>
    </row>
    <row r="13" spans="1:44" s="23" customFormat="1" ht="18" customHeight="1" thickBot="1" x14ac:dyDescent="0.2">
      <c r="A13" s="116">
        <v>79</v>
      </c>
      <c r="B13" s="117">
        <v>1</v>
      </c>
      <c r="C13" s="232"/>
      <c r="D13" s="116">
        <v>90</v>
      </c>
      <c r="E13" s="117">
        <v>1</v>
      </c>
      <c r="G13" s="116">
        <v>44</v>
      </c>
      <c r="H13" s="117">
        <v>1</v>
      </c>
      <c r="I13" s="242"/>
      <c r="J13" s="116">
        <v>40</v>
      </c>
      <c r="K13" s="117">
        <v>1</v>
      </c>
      <c r="L13" s="242"/>
      <c r="M13" s="116">
        <v>44</v>
      </c>
      <c r="N13" s="117">
        <v>1</v>
      </c>
      <c r="O13" s="242"/>
      <c r="P13" s="116">
        <v>38</v>
      </c>
      <c r="Q13" s="117">
        <v>1</v>
      </c>
      <c r="S13" s="116">
        <v>48</v>
      </c>
      <c r="T13" s="117">
        <v>1</v>
      </c>
      <c r="V13" s="116">
        <v>42</v>
      </c>
      <c r="W13" s="117">
        <v>1</v>
      </c>
      <c r="Y13" s="116">
        <v>46</v>
      </c>
      <c r="Z13" s="117">
        <v>1</v>
      </c>
      <c r="AB13" s="116">
        <v>44</v>
      </c>
      <c r="AC13" s="117">
        <v>1</v>
      </c>
      <c r="AE13" s="116">
        <v>44</v>
      </c>
      <c r="AF13" s="117">
        <v>1</v>
      </c>
      <c r="AH13" s="116">
        <v>44</v>
      </c>
      <c r="AI13" s="117">
        <v>1</v>
      </c>
      <c r="AK13" s="116">
        <v>45</v>
      </c>
      <c r="AL13" s="117">
        <v>1</v>
      </c>
      <c r="AN13" s="116">
        <v>45</v>
      </c>
      <c r="AO13" s="117">
        <v>1</v>
      </c>
      <c r="AQ13" s="116">
        <v>44</v>
      </c>
      <c r="AR13" s="117">
        <v>1</v>
      </c>
    </row>
    <row r="14" spans="1:44" s="23" customFormat="1" ht="18" customHeight="1" thickBot="1" x14ac:dyDescent="0.2">
      <c r="A14" s="50"/>
      <c r="B14" s="50"/>
      <c r="C14" s="232"/>
    </row>
    <row r="15" spans="1:44" s="23" customFormat="1" ht="18" customHeight="1" x14ac:dyDescent="0.15">
      <c r="A15" s="325" t="s">
        <v>778</v>
      </c>
      <c r="B15" s="326"/>
      <c r="C15" s="232"/>
      <c r="D15" s="325" t="s">
        <v>345</v>
      </c>
      <c r="E15" s="326"/>
      <c r="G15" s="325" t="s">
        <v>780</v>
      </c>
      <c r="H15" s="326"/>
      <c r="J15" s="325" t="s">
        <v>781</v>
      </c>
      <c r="K15" s="326"/>
      <c r="M15" s="325" t="s">
        <v>782</v>
      </c>
      <c r="N15" s="326"/>
      <c r="AH15" s="325" t="s">
        <v>784</v>
      </c>
      <c r="AI15" s="326"/>
      <c r="AJ15" s="49"/>
      <c r="AK15" s="325" t="s">
        <v>785</v>
      </c>
      <c r="AL15" s="326"/>
      <c r="AM15" s="49"/>
      <c r="AN15" s="325" t="s">
        <v>786</v>
      </c>
      <c r="AO15" s="326"/>
      <c r="AP15" s="49"/>
      <c r="AQ15" s="325" t="s">
        <v>787</v>
      </c>
      <c r="AR15" s="326"/>
    </row>
    <row r="16" spans="1:44" s="23" customFormat="1" ht="18" customHeight="1" thickBot="1" x14ac:dyDescent="0.2">
      <c r="A16" s="327"/>
      <c r="B16" s="328"/>
      <c r="C16" s="232"/>
      <c r="D16" s="327"/>
      <c r="E16" s="328"/>
      <c r="G16" s="327"/>
      <c r="H16" s="328"/>
      <c r="J16" s="327"/>
      <c r="K16" s="328"/>
      <c r="M16" s="327"/>
      <c r="N16" s="328"/>
      <c r="AH16" s="327"/>
      <c r="AI16" s="328"/>
      <c r="AJ16" s="49"/>
      <c r="AK16" s="327"/>
      <c r="AL16" s="328"/>
      <c r="AM16" s="49"/>
      <c r="AN16" s="327"/>
      <c r="AO16" s="328"/>
      <c r="AP16" s="49"/>
      <c r="AQ16" s="327"/>
      <c r="AR16" s="328"/>
    </row>
    <row r="17" spans="1:44" s="23" customFormat="1" ht="18" customHeight="1" x14ac:dyDescent="0.15">
      <c r="A17" s="333" t="s">
        <v>28</v>
      </c>
      <c r="B17" s="334" t="s">
        <v>27</v>
      </c>
      <c r="C17" s="232"/>
      <c r="D17" s="333" t="s">
        <v>28</v>
      </c>
      <c r="E17" s="334" t="s">
        <v>27</v>
      </c>
      <c r="G17" s="329" t="s">
        <v>28</v>
      </c>
      <c r="H17" s="331" t="s">
        <v>27</v>
      </c>
      <c r="J17" s="333" t="s">
        <v>28</v>
      </c>
      <c r="K17" s="334" t="s">
        <v>27</v>
      </c>
      <c r="M17" s="333" t="s">
        <v>28</v>
      </c>
      <c r="N17" s="334" t="s">
        <v>27</v>
      </c>
      <c r="AH17" s="329" t="s">
        <v>28</v>
      </c>
      <c r="AI17" s="331" t="s">
        <v>27</v>
      </c>
      <c r="AJ17" s="243"/>
      <c r="AK17" s="329" t="s">
        <v>28</v>
      </c>
      <c r="AL17" s="331" t="s">
        <v>27</v>
      </c>
      <c r="AN17" s="329" t="s">
        <v>28</v>
      </c>
      <c r="AO17" s="331" t="s">
        <v>27</v>
      </c>
      <c r="AQ17" s="329" t="s">
        <v>28</v>
      </c>
      <c r="AR17" s="331" t="s">
        <v>27</v>
      </c>
    </row>
    <row r="18" spans="1:44" s="23" customFormat="1" ht="18" customHeight="1" thickBot="1" x14ac:dyDescent="0.2">
      <c r="A18" s="330"/>
      <c r="B18" s="332"/>
      <c r="C18" s="232"/>
      <c r="D18" s="333"/>
      <c r="E18" s="334"/>
      <c r="G18" s="330"/>
      <c r="H18" s="332"/>
      <c r="J18" s="330"/>
      <c r="K18" s="332"/>
      <c r="M18" s="330"/>
      <c r="N18" s="332"/>
      <c r="AH18" s="330"/>
      <c r="AI18" s="332"/>
      <c r="AK18" s="330"/>
      <c r="AL18" s="332"/>
      <c r="AN18" s="330"/>
      <c r="AO18" s="332"/>
      <c r="AQ18" s="330"/>
      <c r="AR18" s="332"/>
    </row>
    <row r="19" spans="1:44" s="23" customFormat="1" ht="18" customHeight="1" x14ac:dyDescent="0.15">
      <c r="A19" s="134">
        <v>0</v>
      </c>
      <c r="B19" s="137">
        <v>9</v>
      </c>
      <c r="C19" s="232"/>
      <c r="D19" s="112">
        <v>0</v>
      </c>
      <c r="E19" s="113">
        <v>9</v>
      </c>
      <c r="G19" s="255">
        <v>0</v>
      </c>
      <c r="H19" s="137">
        <v>9</v>
      </c>
      <c r="J19" s="255">
        <v>0</v>
      </c>
      <c r="K19" s="137">
        <v>9</v>
      </c>
      <c r="M19" s="255">
        <v>0</v>
      </c>
      <c r="N19" s="137">
        <v>9</v>
      </c>
      <c r="AH19" s="255">
        <v>0</v>
      </c>
      <c r="AI19" s="137">
        <v>9</v>
      </c>
      <c r="AK19" s="255">
        <v>0</v>
      </c>
      <c r="AL19" s="137">
        <v>9</v>
      </c>
      <c r="AN19" s="255">
        <v>0</v>
      </c>
      <c r="AO19" s="137">
        <v>9</v>
      </c>
      <c r="AQ19" s="255">
        <v>0</v>
      </c>
      <c r="AR19" s="137">
        <v>9</v>
      </c>
    </row>
    <row r="20" spans="1:44" s="23" customFormat="1" ht="18" customHeight="1" x14ac:dyDescent="0.15">
      <c r="A20" s="135">
        <v>13</v>
      </c>
      <c r="B20" s="136">
        <v>8</v>
      </c>
      <c r="C20" s="232"/>
      <c r="D20" s="114">
        <v>5</v>
      </c>
      <c r="E20" s="115">
        <v>8</v>
      </c>
      <c r="G20" s="256">
        <v>15</v>
      </c>
      <c r="H20" s="257">
        <v>8</v>
      </c>
      <c r="J20" s="256">
        <v>10</v>
      </c>
      <c r="K20" s="257">
        <v>8</v>
      </c>
      <c r="M20" s="256">
        <v>13</v>
      </c>
      <c r="N20" s="257">
        <v>8</v>
      </c>
      <c r="AH20" s="256"/>
      <c r="AI20" s="257">
        <v>8</v>
      </c>
      <c r="AK20" s="256"/>
      <c r="AL20" s="257">
        <v>8</v>
      </c>
      <c r="AN20" s="256"/>
      <c r="AO20" s="257">
        <v>8</v>
      </c>
      <c r="AQ20" s="256"/>
      <c r="AR20" s="257">
        <v>8</v>
      </c>
    </row>
    <row r="21" spans="1:44" s="23" customFormat="1" ht="18" customHeight="1" x14ac:dyDescent="0.15">
      <c r="A21" s="135">
        <v>19</v>
      </c>
      <c r="B21" s="136">
        <v>7</v>
      </c>
      <c r="C21" s="232"/>
      <c r="D21" s="114">
        <v>10</v>
      </c>
      <c r="E21" s="115">
        <v>7</v>
      </c>
      <c r="G21" s="256">
        <v>18</v>
      </c>
      <c r="H21" s="257">
        <v>7</v>
      </c>
      <c r="J21" s="256">
        <v>14</v>
      </c>
      <c r="K21" s="257">
        <v>7</v>
      </c>
      <c r="M21" s="256">
        <v>16</v>
      </c>
      <c r="N21" s="257">
        <v>7</v>
      </c>
      <c r="AH21" s="256"/>
      <c r="AI21" s="257">
        <v>7</v>
      </c>
      <c r="AK21" s="256"/>
      <c r="AL21" s="257">
        <v>7</v>
      </c>
      <c r="AN21" s="256"/>
      <c r="AO21" s="257">
        <v>7</v>
      </c>
      <c r="AQ21" s="256"/>
      <c r="AR21" s="257">
        <v>7</v>
      </c>
    </row>
    <row r="22" spans="1:44" s="23" customFormat="1" ht="18" customHeight="1" x14ac:dyDescent="0.15">
      <c r="A22" s="135">
        <v>28</v>
      </c>
      <c r="B22" s="136">
        <v>6</v>
      </c>
      <c r="C22" s="232"/>
      <c r="D22" s="114">
        <v>15</v>
      </c>
      <c r="E22" s="115">
        <v>6</v>
      </c>
      <c r="G22" s="256">
        <v>23</v>
      </c>
      <c r="H22" s="257">
        <v>6</v>
      </c>
      <c r="J22" s="256">
        <v>19</v>
      </c>
      <c r="K22" s="257">
        <v>6</v>
      </c>
      <c r="M22" s="256">
        <v>21</v>
      </c>
      <c r="N22" s="257">
        <v>6</v>
      </c>
      <c r="AH22" s="256"/>
      <c r="AI22" s="257">
        <v>6</v>
      </c>
      <c r="AK22" s="256"/>
      <c r="AL22" s="257">
        <v>6</v>
      </c>
      <c r="AN22" s="256"/>
      <c r="AO22" s="257">
        <v>6</v>
      </c>
      <c r="AQ22" s="256"/>
      <c r="AR22" s="257">
        <v>6</v>
      </c>
    </row>
    <row r="23" spans="1:44" s="23" customFormat="1" ht="18" customHeight="1" x14ac:dyDescent="0.15">
      <c r="A23" s="135">
        <v>38</v>
      </c>
      <c r="B23" s="136">
        <v>5</v>
      </c>
      <c r="C23" s="232"/>
      <c r="D23" s="114">
        <v>20</v>
      </c>
      <c r="E23" s="115">
        <v>5</v>
      </c>
      <c r="G23" s="256">
        <v>33</v>
      </c>
      <c r="H23" s="257">
        <v>5</v>
      </c>
      <c r="J23" s="256">
        <v>29</v>
      </c>
      <c r="K23" s="257">
        <v>5</v>
      </c>
      <c r="M23" s="256">
        <v>31</v>
      </c>
      <c r="N23" s="257">
        <v>5</v>
      </c>
      <c r="AH23" s="256"/>
      <c r="AI23" s="257">
        <v>5</v>
      </c>
      <c r="AK23" s="256"/>
      <c r="AL23" s="257">
        <v>5</v>
      </c>
      <c r="AN23" s="256"/>
      <c r="AO23" s="257">
        <v>5</v>
      </c>
      <c r="AQ23" s="256"/>
      <c r="AR23" s="257">
        <v>5</v>
      </c>
    </row>
    <row r="24" spans="1:44" s="23" customFormat="1" ht="18" customHeight="1" x14ac:dyDescent="0.15">
      <c r="A24" s="135">
        <v>49</v>
      </c>
      <c r="B24" s="136">
        <v>4</v>
      </c>
      <c r="C24" s="232"/>
      <c r="D24" s="114">
        <v>25</v>
      </c>
      <c r="E24" s="115">
        <v>4</v>
      </c>
      <c r="G24" s="256">
        <v>59</v>
      </c>
      <c r="H24" s="257">
        <v>4</v>
      </c>
      <c r="J24" s="256">
        <v>49</v>
      </c>
      <c r="K24" s="257">
        <v>4</v>
      </c>
      <c r="M24" s="256">
        <v>51</v>
      </c>
      <c r="N24" s="257">
        <v>4</v>
      </c>
      <c r="AH24" s="256"/>
      <c r="AI24" s="257">
        <v>4</v>
      </c>
      <c r="AK24" s="256"/>
      <c r="AL24" s="257">
        <v>4</v>
      </c>
      <c r="AN24" s="256"/>
      <c r="AO24" s="257">
        <v>4</v>
      </c>
      <c r="AQ24" s="256"/>
      <c r="AR24" s="257">
        <v>4</v>
      </c>
    </row>
    <row r="25" spans="1:44" s="23" customFormat="1" ht="18" customHeight="1" x14ac:dyDescent="0.15">
      <c r="A25" s="135">
        <v>60</v>
      </c>
      <c r="B25" s="136">
        <v>3</v>
      </c>
      <c r="C25" s="232"/>
      <c r="D25" s="114">
        <v>30</v>
      </c>
      <c r="E25" s="115">
        <v>3</v>
      </c>
      <c r="G25" s="256">
        <v>68</v>
      </c>
      <c r="H25" s="257">
        <v>3</v>
      </c>
      <c r="J25" s="256">
        <v>64</v>
      </c>
      <c r="K25" s="257">
        <v>3</v>
      </c>
      <c r="M25" s="256">
        <v>66</v>
      </c>
      <c r="N25" s="257">
        <v>3</v>
      </c>
      <c r="AH25" s="256"/>
      <c r="AI25" s="257">
        <v>3</v>
      </c>
      <c r="AK25" s="256"/>
      <c r="AL25" s="257">
        <v>3</v>
      </c>
      <c r="AN25" s="256"/>
      <c r="AO25" s="257">
        <v>3</v>
      </c>
      <c r="AQ25" s="256"/>
      <c r="AR25" s="257">
        <v>3</v>
      </c>
    </row>
    <row r="26" spans="1:44" s="23" customFormat="1" ht="18" customHeight="1" x14ac:dyDescent="0.15">
      <c r="A26" s="135">
        <v>68</v>
      </c>
      <c r="B26" s="136">
        <v>2</v>
      </c>
      <c r="C26" s="232"/>
      <c r="D26" s="114">
        <v>35</v>
      </c>
      <c r="E26" s="115">
        <v>2</v>
      </c>
      <c r="G26" s="256">
        <v>77</v>
      </c>
      <c r="H26" s="257">
        <v>2</v>
      </c>
      <c r="J26" s="256">
        <v>73</v>
      </c>
      <c r="K26" s="257">
        <v>2</v>
      </c>
      <c r="M26" s="256">
        <v>76</v>
      </c>
      <c r="N26" s="257">
        <v>2</v>
      </c>
      <c r="AH26" s="256"/>
      <c r="AI26" s="257">
        <v>2</v>
      </c>
      <c r="AK26" s="256"/>
      <c r="AL26" s="257">
        <v>2</v>
      </c>
      <c r="AN26" s="256"/>
      <c r="AO26" s="257">
        <v>2</v>
      </c>
      <c r="AQ26" s="256"/>
      <c r="AR26" s="257">
        <v>2</v>
      </c>
    </row>
    <row r="27" spans="1:44" s="23" customFormat="1" ht="18" customHeight="1" thickBot="1" x14ac:dyDescent="0.2">
      <c r="A27" s="116">
        <v>76</v>
      </c>
      <c r="B27" s="117">
        <v>1</v>
      </c>
      <c r="C27" s="232"/>
      <c r="D27" s="116">
        <v>40</v>
      </c>
      <c r="E27" s="117">
        <v>1</v>
      </c>
      <c r="G27" s="116">
        <v>85</v>
      </c>
      <c r="H27" s="117">
        <v>1</v>
      </c>
      <c r="J27" s="116">
        <v>81</v>
      </c>
      <c r="K27" s="117">
        <v>1</v>
      </c>
      <c r="M27" s="116">
        <v>84</v>
      </c>
      <c r="N27" s="117">
        <v>1</v>
      </c>
      <c r="AH27" s="116"/>
      <c r="AI27" s="117">
        <v>1</v>
      </c>
      <c r="AK27" s="116"/>
      <c r="AL27" s="117">
        <v>1</v>
      </c>
      <c r="AN27" s="116"/>
      <c r="AO27" s="117">
        <v>1</v>
      </c>
      <c r="AQ27" s="116"/>
      <c r="AR27" s="117">
        <v>1</v>
      </c>
    </row>
    <row r="28" spans="1:44" s="23" customFormat="1" ht="18" customHeight="1" x14ac:dyDescent="0.15">
      <c r="C28" s="232"/>
    </row>
    <row r="29" spans="1:44" s="23" customFormat="1" ht="18" customHeight="1" x14ac:dyDescent="0.15">
      <c r="C29" s="232"/>
    </row>
    <row r="30" spans="1:44" s="23" customFormat="1" ht="18" customHeight="1" x14ac:dyDescent="0.15"/>
    <row r="31" spans="1:44" s="23" customFormat="1" ht="18" customHeight="1" x14ac:dyDescent="0.15"/>
    <row r="32" spans="1:44" s="23" customFormat="1" ht="18" customHeight="1" x14ac:dyDescent="0.15"/>
    <row r="33" spans="1:3" s="23" customFormat="1" ht="18" customHeight="1" x14ac:dyDescent="0.15"/>
    <row r="34" spans="1:3" s="23" customFormat="1" ht="18" customHeight="1" x14ac:dyDescent="0.15"/>
    <row r="35" spans="1:3" s="23" customFormat="1" ht="18" customHeight="1" x14ac:dyDescent="0.15"/>
    <row r="36" spans="1:3" s="23" customFormat="1" ht="18" customHeight="1" x14ac:dyDescent="0.15"/>
    <row r="37" spans="1:3" s="23" customFormat="1" ht="18" customHeight="1" x14ac:dyDescent="0.15"/>
    <row r="38" spans="1:3" s="23" customFormat="1" ht="18" customHeight="1" x14ac:dyDescent="0.15"/>
    <row r="39" spans="1:3" s="23" customFormat="1" ht="18" customHeight="1" x14ac:dyDescent="0.15"/>
    <row r="40" spans="1:3" s="23" customFormat="1" ht="18" customHeight="1" x14ac:dyDescent="0.15"/>
    <row r="41" spans="1:3" s="23" customFormat="1" ht="18" customHeight="1" x14ac:dyDescent="0.15">
      <c r="A41" s="50"/>
      <c r="B41" s="50"/>
      <c r="C41" s="51"/>
    </row>
    <row r="42" spans="1:3" s="23" customFormat="1" ht="18" customHeight="1" x14ac:dyDescent="0.15"/>
    <row r="43" spans="1:3" s="23" customFormat="1" ht="18" customHeight="1" x14ac:dyDescent="0.15"/>
    <row r="44" spans="1:3" s="23" customFormat="1" ht="18" customHeight="1" x14ac:dyDescent="0.15"/>
    <row r="45" spans="1:3" s="23" customFormat="1" ht="18" customHeight="1" x14ac:dyDescent="0.15"/>
    <row r="46" spans="1:3" s="23" customFormat="1" ht="18" customHeight="1" x14ac:dyDescent="0.15"/>
    <row r="47" spans="1:3" s="23" customFormat="1" ht="18" customHeight="1" x14ac:dyDescent="0.15"/>
    <row r="48" spans="1:3" s="23" customFormat="1" ht="18" customHeight="1" x14ac:dyDescent="0.15"/>
    <row r="49" spans="1:3" s="23" customFormat="1" ht="18" customHeight="1" x14ac:dyDescent="0.15"/>
    <row r="50" spans="1:3" s="23" customFormat="1" ht="18" customHeight="1" x14ac:dyDescent="0.15"/>
    <row r="51" spans="1:3" s="23" customFormat="1" ht="18" customHeight="1" x14ac:dyDescent="0.15"/>
    <row r="52" spans="1:3" s="23" customFormat="1" ht="18" customHeight="1" x14ac:dyDescent="0.15"/>
    <row r="53" spans="1:3" s="23" customFormat="1" ht="18" customHeight="1" x14ac:dyDescent="0.15"/>
    <row r="54" spans="1:3" s="23" customFormat="1" ht="18" customHeight="1" x14ac:dyDescent="0.15"/>
    <row r="55" spans="1:3" s="23" customFormat="1" ht="18" customHeight="1" x14ac:dyDescent="0.15">
      <c r="A55" s="50"/>
      <c r="B55" s="50"/>
      <c r="C55" s="51"/>
    </row>
    <row r="56" spans="1:3" s="23" customFormat="1" ht="18" customHeight="1" x14ac:dyDescent="0.15"/>
    <row r="57" spans="1:3" s="23" customFormat="1" ht="18" customHeight="1" x14ac:dyDescent="0.15"/>
    <row r="58" spans="1:3" s="23" customFormat="1" ht="18" customHeight="1" x14ac:dyDescent="0.15"/>
    <row r="59" spans="1:3" s="23" customFormat="1" ht="18" customHeight="1" x14ac:dyDescent="0.15"/>
    <row r="60" spans="1:3" s="23" customFormat="1" ht="18" customHeight="1" x14ac:dyDescent="0.15"/>
    <row r="61" spans="1:3" s="23" customFormat="1" ht="18" customHeight="1" x14ac:dyDescent="0.15"/>
    <row r="62" spans="1:3" s="23" customFormat="1" ht="18" customHeight="1" x14ac:dyDescent="0.15"/>
    <row r="63" spans="1:3" s="23" customFormat="1" ht="18" customHeight="1" x14ac:dyDescent="0.15"/>
    <row r="64" spans="1:3" s="23" customFormat="1" ht="18" customHeight="1" x14ac:dyDescent="0.15"/>
    <row r="65" spans="1:3" s="23" customFormat="1" ht="18" customHeight="1" x14ac:dyDescent="0.15"/>
    <row r="66" spans="1:3" s="23" customFormat="1" ht="18" customHeight="1" x14ac:dyDescent="0.15"/>
    <row r="67" spans="1:3" s="23" customFormat="1" ht="18" customHeight="1" x14ac:dyDescent="0.15"/>
    <row r="68" spans="1:3" s="23" customFormat="1" ht="18" customHeight="1" x14ac:dyDescent="0.15"/>
    <row r="69" spans="1:3" s="23" customFormat="1" ht="18" customHeight="1" x14ac:dyDescent="0.15">
      <c r="A69" s="49"/>
      <c r="B69" s="49"/>
      <c r="C69" s="49"/>
    </row>
    <row r="70" spans="1:3" s="23" customFormat="1" ht="18" customHeight="1" x14ac:dyDescent="0.15">
      <c r="A70" s="49"/>
      <c r="B70" s="49"/>
      <c r="C70" s="49"/>
    </row>
    <row r="71" spans="1:3" s="23" customFormat="1" ht="18" customHeight="1" x14ac:dyDescent="0.15">
      <c r="A71" s="49"/>
      <c r="B71" s="49"/>
      <c r="C71" s="49"/>
    </row>
    <row r="72" spans="1:3" s="23" customFormat="1" ht="18" customHeight="1" x14ac:dyDescent="0.15">
      <c r="A72" s="49"/>
      <c r="B72" s="49"/>
      <c r="C72" s="49"/>
    </row>
    <row r="73" spans="1:3" s="23" customFormat="1" ht="18" customHeight="1" x14ac:dyDescent="0.15">
      <c r="A73" s="49"/>
      <c r="B73" s="49"/>
      <c r="C73" s="49"/>
    </row>
    <row r="74" spans="1:3" s="23" customFormat="1" ht="18" customHeight="1" x14ac:dyDescent="0.15">
      <c r="A74" s="49"/>
      <c r="B74" s="49"/>
      <c r="C74" s="49"/>
    </row>
    <row r="75" spans="1:3" s="23" customFormat="1" ht="18" customHeight="1" x14ac:dyDescent="0.15">
      <c r="A75" s="49"/>
      <c r="B75" s="49"/>
      <c r="C75" s="49"/>
    </row>
    <row r="76" spans="1:3" s="23" customFormat="1" ht="18" customHeight="1" x14ac:dyDescent="0.15">
      <c r="A76" s="49"/>
      <c r="B76" s="49"/>
      <c r="C76" s="49"/>
    </row>
    <row r="77" spans="1:3" s="23" customFormat="1" ht="18" customHeight="1" x14ac:dyDescent="0.15">
      <c r="A77" s="49"/>
      <c r="B77" s="49"/>
      <c r="C77" s="49"/>
    </row>
    <row r="78" spans="1:3" s="23" customFormat="1" ht="18" customHeight="1" x14ac:dyDescent="0.15">
      <c r="A78" s="49"/>
      <c r="B78" s="49"/>
      <c r="C78" s="49"/>
    </row>
    <row r="79" spans="1:3" s="23" customFormat="1" ht="18" customHeight="1" x14ac:dyDescent="0.15">
      <c r="A79" s="49"/>
      <c r="B79" s="49"/>
      <c r="C79" s="49"/>
    </row>
    <row r="80" spans="1:3" s="23" customFormat="1" ht="18" customHeight="1" x14ac:dyDescent="0.15">
      <c r="A80" s="49"/>
      <c r="B80" s="49"/>
      <c r="C80" s="49"/>
    </row>
    <row r="81" spans="1:3" s="23" customFormat="1" ht="18" customHeight="1" x14ac:dyDescent="0.15">
      <c r="A81" s="49"/>
      <c r="B81" s="49"/>
      <c r="C81" s="49"/>
    </row>
    <row r="82" spans="1:3" s="23" customFormat="1" ht="18" customHeight="1" x14ac:dyDescent="0.15">
      <c r="A82" s="49"/>
      <c r="B82" s="49"/>
      <c r="C82" s="49"/>
    </row>
    <row r="83" spans="1:3" s="23" customFormat="1" ht="18" customHeight="1" x14ac:dyDescent="0.15">
      <c r="A83" s="49"/>
      <c r="B83" s="49"/>
      <c r="C83" s="49"/>
    </row>
    <row r="84" spans="1:3" s="23" customFormat="1" ht="18" customHeight="1" x14ac:dyDescent="0.15">
      <c r="A84" s="49"/>
      <c r="B84" s="49"/>
      <c r="C84" s="49"/>
    </row>
    <row r="85" spans="1:3" s="23" customFormat="1" ht="18" customHeight="1" x14ac:dyDescent="0.15">
      <c r="A85" s="49"/>
      <c r="B85" s="49"/>
      <c r="C85" s="49"/>
    </row>
    <row r="86" spans="1:3" s="23" customFormat="1" ht="18" customHeight="1" x14ac:dyDescent="0.15">
      <c r="A86" s="49"/>
      <c r="B86" s="49"/>
      <c r="C86" s="49"/>
    </row>
    <row r="87" spans="1:3" s="23" customFormat="1" ht="18" customHeight="1" x14ac:dyDescent="0.15">
      <c r="A87" s="49"/>
      <c r="B87" s="49"/>
      <c r="C87" s="49"/>
    </row>
    <row r="88" spans="1:3" s="23" customFormat="1" ht="18" customHeight="1" x14ac:dyDescent="0.15">
      <c r="A88" s="49"/>
      <c r="B88" s="49"/>
      <c r="C88" s="49"/>
    </row>
    <row r="89" spans="1:3" s="23" customFormat="1" ht="18" customHeight="1" x14ac:dyDescent="0.15">
      <c r="A89" s="49"/>
      <c r="B89" s="49"/>
      <c r="C89" s="49"/>
    </row>
    <row r="90" spans="1:3" s="23" customFormat="1" ht="18" customHeight="1" x14ac:dyDescent="0.15">
      <c r="A90" s="49"/>
      <c r="B90" s="49"/>
      <c r="C90" s="49"/>
    </row>
    <row r="91" spans="1:3" s="23" customFormat="1" ht="18" customHeight="1" x14ac:dyDescent="0.15">
      <c r="A91" s="49"/>
      <c r="B91" s="49"/>
      <c r="C91" s="49"/>
    </row>
    <row r="92" spans="1:3" s="23" customFormat="1" ht="18" customHeight="1" x14ac:dyDescent="0.15">
      <c r="A92" s="49"/>
      <c r="B92" s="49"/>
      <c r="C92" s="49"/>
    </row>
    <row r="93" spans="1:3" s="23" customFormat="1" ht="18" customHeight="1" x14ac:dyDescent="0.15">
      <c r="A93" s="49"/>
      <c r="B93" s="49"/>
      <c r="C93" s="49"/>
    </row>
    <row r="94" spans="1:3" s="23" customFormat="1" ht="18" customHeight="1" x14ac:dyDescent="0.15">
      <c r="A94" s="49"/>
      <c r="B94" s="49"/>
      <c r="C94" s="49"/>
    </row>
    <row r="95" spans="1:3" s="23" customFormat="1" ht="18" customHeight="1" x14ac:dyDescent="0.15">
      <c r="A95" s="49"/>
      <c r="B95" s="49"/>
      <c r="C95" s="49"/>
    </row>
    <row r="96" spans="1:3" s="23" customFormat="1" ht="18" customHeight="1" x14ac:dyDescent="0.15">
      <c r="A96" s="49"/>
      <c r="B96" s="49"/>
      <c r="C96" s="49"/>
    </row>
    <row r="97" spans="1:3" s="23" customFormat="1" ht="18" customHeight="1" x14ac:dyDescent="0.15">
      <c r="A97" s="49"/>
      <c r="B97" s="49"/>
      <c r="C97" s="49"/>
    </row>
    <row r="98" spans="1:3" s="23" customFormat="1" ht="18" customHeight="1" x14ac:dyDescent="0.15">
      <c r="A98" s="49"/>
      <c r="B98" s="49"/>
      <c r="C98" s="49"/>
    </row>
    <row r="99" spans="1:3" s="23" customFormat="1" ht="18" customHeight="1" x14ac:dyDescent="0.15">
      <c r="A99" s="49"/>
      <c r="B99" s="49"/>
      <c r="C99" s="49"/>
    </row>
    <row r="100" spans="1:3" s="23" customFormat="1" ht="18" customHeight="1" x14ac:dyDescent="0.15">
      <c r="A100" s="49"/>
      <c r="B100" s="49"/>
      <c r="C100" s="49"/>
    </row>
    <row r="101" spans="1:3" s="23" customFormat="1" ht="18" customHeight="1" x14ac:dyDescent="0.15">
      <c r="A101" s="49"/>
      <c r="B101" s="49"/>
      <c r="C101" s="49"/>
    </row>
    <row r="102" spans="1:3" s="23" customFormat="1" ht="18" customHeight="1" x14ac:dyDescent="0.15">
      <c r="A102" s="49"/>
      <c r="B102" s="49"/>
      <c r="C102" s="49"/>
    </row>
    <row r="103" spans="1:3" s="23" customFormat="1" ht="18" customHeight="1" x14ac:dyDescent="0.15">
      <c r="A103" s="49"/>
      <c r="B103" s="49"/>
      <c r="C103" s="49"/>
    </row>
    <row r="104" spans="1:3" s="23" customFormat="1" ht="18" customHeight="1" x14ac:dyDescent="0.15">
      <c r="A104" s="49"/>
      <c r="B104" s="49"/>
      <c r="C104" s="49"/>
    </row>
    <row r="105" spans="1:3" s="23" customFormat="1" ht="18" customHeight="1" x14ac:dyDescent="0.15">
      <c r="A105" s="49"/>
      <c r="B105" s="49"/>
      <c r="C105" s="49"/>
    </row>
    <row r="106" spans="1:3" s="23" customFormat="1" ht="18" customHeight="1" x14ac:dyDescent="0.15">
      <c r="A106" s="49"/>
      <c r="B106" s="49"/>
      <c r="C106" s="49"/>
    </row>
    <row r="107" spans="1:3" s="23" customFormat="1" ht="18" customHeight="1" x14ac:dyDescent="0.15">
      <c r="A107" s="49"/>
      <c r="B107" s="49"/>
      <c r="C107" s="49"/>
    </row>
    <row r="108" spans="1:3" s="23" customFormat="1" ht="18" customHeight="1" x14ac:dyDescent="0.15">
      <c r="A108" s="49"/>
      <c r="B108" s="49"/>
      <c r="C108" s="49"/>
    </row>
    <row r="109" spans="1:3" s="23" customFormat="1" ht="18" customHeight="1" x14ac:dyDescent="0.15">
      <c r="A109" s="49"/>
      <c r="B109" s="49"/>
      <c r="C109" s="49"/>
    </row>
    <row r="110" spans="1:3" s="23" customFormat="1" ht="18" customHeight="1" x14ac:dyDescent="0.15">
      <c r="A110" s="49"/>
      <c r="B110" s="49"/>
      <c r="C110" s="49"/>
    </row>
    <row r="111" spans="1:3" s="23" customFormat="1" ht="18" customHeight="1" x14ac:dyDescent="0.15">
      <c r="A111" s="49"/>
      <c r="B111" s="49"/>
      <c r="C111" s="49"/>
    </row>
    <row r="112" spans="1:3" s="23" customFormat="1" ht="18" customHeight="1" x14ac:dyDescent="0.15">
      <c r="A112" s="49"/>
      <c r="B112" s="49"/>
      <c r="C112" s="49"/>
    </row>
    <row r="113" spans="1:3" s="23" customFormat="1" ht="18" customHeight="1" x14ac:dyDescent="0.15">
      <c r="A113" s="49"/>
      <c r="B113" s="49"/>
      <c r="C113" s="49"/>
    </row>
    <row r="114" spans="1:3" s="23" customFormat="1" ht="18" customHeight="1" x14ac:dyDescent="0.15">
      <c r="A114" s="49"/>
      <c r="B114" s="49"/>
      <c r="C114" s="49"/>
    </row>
    <row r="115" spans="1:3" s="23" customFormat="1" ht="18" customHeight="1" x14ac:dyDescent="0.15">
      <c r="A115" s="49"/>
      <c r="B115" s="49"/>
      <c r="C115" s="49"/>
    </row>
    <row r="116" spans="1:3" s="23" customFormat="1" ht="18" customHeight="1" x14ac:dyDescent="0.15">
      <c r="A116" s="49"/>
      <c r="B116" s="49"/>
      <c r="C116" s="49"/>
    </row>
    <row r="117" spans="1:3" s="23" customFormat="1" ht="18" customHeight="1" x14ac:dyDescent="0.15">
      <c r="A117" s="49"/>
      <c r="B117" s="49"/>
      <c r="C117" s="49"/>
    </row>
    <row r="118" spans="1:3" s="23" customFormat="1" ht="18" customHeight="1" x14ac:dyDescent="0.15">
      <c r="A118" s="49"/>
      <c r="B118" s="49"/>
      <c r="C118" s="49"/>
    </row>
    <row r="119" spans="1:3" s="23" customFormat="1" ht="18" customHeight="1" x14ac:dyDescent="0.15">
      <c r="A119" s="49"/>
      <c r="B119" s="49"/>
      <c r="C119" s="49"/>
    </row>
    <row r="120" spans="1:3" s="23" customFormat="1" ht="18" customHeight="1" x14ac:dyDescent="0.15">
      <c r="A120" s="49"/>
      <c r="B120" s="49"/>
      <c r="C120" s="49"/>
    </row>
    <row r="121" spans="1:3" s="23" customFormat="1" ht="18" customHeight="1" x14ac:dyDescent="0.15">
      <c r="A121" s="49"/>
      <c r="B121" s="49"/>
      <c r="C121" s="49"/>
    </row>
    <row r="122" spans="1:3" s="23" customFormat="1" ht="18" customHeight="1" x14ac:dyDescent="0.15">
      <c r="A122" s="49"/>
      <c r="B122" s="49"/>
      <c r="C122" s="49"/>
    </row>
    <row r="123" spans="1:3" s="23" customFormat="1" ht="18" customHeight="1" x14ac:dyDescent="0.15">
      <c r="A123" s="49"/>
      <c r="B123" s="49"/>
      <c r="C123" s="49"/>
    </row>
    <row r="124" spans="1:3" s="23" customFormat="1" ht="18" customHeight="1" x14ac:dyDescent="0.15">
      <c r="A124" s="49"/>
      <c r="B124" s="49"/>
      <c r="C124" s="49"/>
    </row>
    <row r="125" spans="1:3" s="23" customFormat="1" ht="18" customHeight="1" x14ac:dyDescent="0.15">
      <c r="A125" s="49"/>
      <c r="B125" s="49"/>
      <c r="C125" s="49"/>
    </row>
    <row r="126" spans="1:3" s="23" customFormat="1" ht="18" customHeight="1" x14ac:dyDescent="0.15">
      <c r="A126" s="49"/>
      <c r="B126" s="49"/>
      <c r="C126" s="49"/>
    </row>
    <row r="127" spans="1:3" s="23" customFormat="1" ht="18" customHeight="1" x14ac:dyDescent="0.15">
      <c r="A127" s="49"/>
      <c r="B127" s="49"/>
      <c r="C127" s="49"/>
    </row>
    <row r="128" spans="1:3" s="23" customFormat="1" ht="18" customHeight="1" x14ac:dyDescent="0.15">
      <c r="A128" s="49"/>
      <c r="B128" s="49"/>
      <c r="C128" s="49"/>
    </row>
    <row r="129" spans="1:18" s="23" customFormat="1" ht="18" customHeight="1" x14ac:dyDescent="0.15">
      <c r="A129" s="49"/>
      <c r="B129" s="49"/>
      <c r="C129" s="49"/>
    </row>
    <row r="130" spans="1:18" s="23" customFormat="1" ht="18" customHeight="1" x14ac:dyDescent="0.15">
      <c r="A130" s="49"/>
      <c r="B130" s="49"/>
      <c r="C130" s="49"/>
    </row>
    <row r="131" spans="1:18" s="23" customFormat="1" ht="18" customHeight="1" x14ac:dyDescent="0.15">
      <c r="A131" s="49"/>
      <c r="B131" s="49"/>
      <c r="C131" s="49"/>
    </row>
    <row r="132" spans="1:18" s="23" customFormat="1" ht="18" customHeight="1" x14ac:dyDescent="0.15">
      <c r="A132" s="49"/>
      <c r="B132" s="49"/>
      <c r="C132" s="49"/>
    </row>
    <row r="133" spans="1:18" s="23" customFormat="1" ht="18" customHeight="1" x14ac:dyDescent="0.15">
      <c r="A133" s="49"/>
      <c r="B133" s="49"/>
      <c r="C133" s="49"/>
    </row>
    <row r="134" spans="1:18" s="23" customFormat="1" ht="18" customHeight="1" x14ac:dyDescent="0.15">
      <c r="A134" s="49"/>
      <c r="B134" s="49"/>
      <c r="C134" s="49"/>
    </row>
    <row r="135" spans="1:18" s="23" customFormat="1" ht="18" customHeight="1" x14ac:dyDescent="0.15">
      <c r="A135" s="49"/>
      <c r="B135" s="49"/>
      <c r="C135" s="49"/>
    </row>
    <row r="136" spans="1:18" s="23" customFormat="1" ht="18" customHeight="1" x14ac:dyDescent="0.15">
      <c r="A136" s="49"/>
      <c r="B136" s="49"/>
      <c r="C136" s="49"/>
    </row>
    <row r="137" spans="1:18" s="23" customFormat="1" ht="18" customHeight="1" x14ac:dyDescent="0.15">
      <c r="A137" s="49"/>
      <c r="B137" s="49"/>
      <c r="C137" s="49"/>
    </row>
    <row r="138" spans="1:18" s="23" customFormat="1" ht="18" customHeight="1" x14ac:dyDescent="0.15">
      <c r="A138" s="49"/>
      <c r="B138" s="49"/>
      <c r="C138" s="49"/>
    </row>
    <row r="139" spans="1:18" s="23" customFormat="1" ht="18" customHeight="1" x14ac:dyDescent="0.15">
      <c r="A139" s="49"/>
      <c r="B139" s="49"/>
      <c r="C139" s="49"/>
      <c r="Q139"/>
      <c r="R139"/>
    </row>
    <row r="140" spans="1:18" s="23" customFormat="1" ht="18" customHeight="1" x14ac:dyDescent="0.15">
      <c r="A140" s="49"/>
      <c r="B140" s="49"/>
      <c r="C140" s="49"/>
      <c r="Q140"/>
      <c r="R140"/>
    </row>
    <row r="141" spans="1:18" s="23" customFormat="1" ht="18" customHeight="1" x14ac:dyDescent="0.15">
      <c r="A141" s="49"/>
      <c r="B141" s="49"/>
      <c r="C141" s="49"/>
    </row>
    <row r="142" spans="1:18" s="23" customFormat="1" ht="18" customHeight="1" x14ac:dyDescent="0.15">
      <c r="A142" s="49"/>
      <c r="B142" s="49"/>
      <c r="C142" s="49"/>
      <c r="Q142"/>
      <c r="R142"/>
    </row>
    <row r="143" spans="1:18" s="23" customFormat="1" ht="18" customHeight="1" x14ac:dyDescent="0.15">
      <c r="A143" s="49"/>
      <c r="B143" s="49"/>
      <c r="C143" s="49"/>
      <c r="Q143"/>
      <c r="R143"/>
    </row>
    <row r="144" spans="1:18" s="23" customFormat="1" ht="18" customHeight="1" x14ac:dyDescent="0.15">
      <c r="A144" s="49"/>
      <c r="B144" s="49"/>
      <c r="C144" s="49"/>
      <c r="Q144"/>
      <c r="R144"/>
    </row>
    <row r="145" spans="1:18" s="23" customFormat="1" ht="18" customHeight="1" x14ac:dyDescent="0.15">
      <c r="A145" s="49"/>
      <c r="B145" s="49"/>
      <c r="C145" s="49"/>
      <c r="Q145"/>
      <c r="R145"/>
    </row>
    <row r="146" spans="1:18" s="23" customFormat="1" ht="18" customHeight="1" x14ac:dyDescent="0.15">
      <c r="A146" s="49"/>
      <c r="B146" s="49"/>
      <c r="C146" s="49"/>
      <c r="Q146"/>
      <c r="R146"/>
    </row>
    <row r="147" spans="1:18" s="23" customFormat="1" ht="18" customHeight="1" x14ac:dyDescent="0.15">
      <c r="A147" s="49"/>
      <c r="B147" s="49"/>
      <c r="C147" s="49"/>
      <c r="Q147"/>
      <c r="R147"/>
    </row>
    <row r="148" spans="1:18" s="23" customFormat="1" ht="18" customHeight="1" x14ac:dyDescent="0.15">
      <c r="A148" s="49"/>
      <c r="B148" s="49"/>
      <c r="C148" s="49"/>
      <c r="Q148"/>
      <c r="R148"/>
    </row>
    <row r="149" spans="1:18" s="23" customFormat="1" ht="18" customHeight="1" x14ac:dyDescent="0.15">
      <c r="A149" s="49"/>
      <c r="B149" s="49"/>
      <c r="C149" s="49"/>
      <c r="Q149"/>
      <c r="R149"/>
    </row>
    <row r="150" spans="1:18" s="23" customFormat="1" ht="18" customHeight="1" x14ac:dyDescent="0.15">
      <c r="A150" s="49"/>
      <c r="B150" s="49"/>
      <c r="C150" s="49"/>
      <c r="Q150"/>
      <c r="R150"/>
    </row>
    <row r="151" spans="1:18" s="23" customFormat="1" ht="18" customHeight="1" x14ac:dyDescent="0.15">
      <c r="A151" s="49"/>
      <c r="B151" s="49"/>
      <c r="C151" s="49"/>
      <c r="Q151"/>
      <c r="R151"/>
    </row>
    <row r="152" spans="1:18" ht="18" customHeight="1" x14ac:dyDescent="0.15">
      <c r="A152" s="49"/>
      <c r="B152" s="49"/>
      <c r="C152" s="49"/>
      <c r="D152" s="23"/>
      <c r="E152" s="23"/>
    </row>
    <row r="153" spans="1:18" ht="18" customHeight="1" x14ac:dyDescent="0.15">
      <c r="A153" s="49"/>
      <c r="B153" s="49"/>
      <c r="C153" s="49"/>
      <c r="D153" s="23"/>
      <c r="E153" s="23"/>
    </row>
    <row r="154" spans="1:18" s="23" customFormat="1" ht="18" customHeight="1" x14ac:dyDescent="0.15">
      <c r="A154" s="49"/>
      <c r="B154" s="49"/>
      <c r="C154" s="49"/>
      <c r="Q154"/>
      <c r="R154"/>
    </row>
    <row r="155" spans="1:18" ht="18" customHeight="1" x14ac:dyDescent="0.15">
      <c r="A155" s="49"/>
      <c r="B155" s="49"/>
      <c r="C155" s="49"/>
      <c r="D155" s="23"/>
      <c r="E155" s="23"/>
    </row>
    <row r="156" spans="1:18" ht="18" customHeight="1" x14ac:dyDescent="0.15">
      <c r="A156" s="49"/>
      <c r="B156" s="49"/>
      <c r="C156" s="49"/>
      <c r="D156" s="23"/>
      <c r="E156" s="23"/>
    </row>
    <row r="157" spans="1:18" ht="18" customHeight="1" x14ac:dyDescent="0.15">
      <c r="A157" s="49"/>
      <c r="B157" s="49"/>
      <c r="C157" s="49"/>
      <c r="D157" s="23"/>
      <c r="E157" s="23"/>
    </row>
    <row r="158" spans="1:18" ht="18" customHeight="1" x14ac:dyDescent="0.15">
      <c r="A158" s="49"/>
      <c r="B158" s="49"/>
      <c r="C158" s="49"/>
      <c r="D158" s="23"/>
      <c r="E158" s="23"/>
    </row>
    <row r="159" spans="1:18" ht="14.25" x14ac:dyDescent="0.15">
      <c r="A159" s="49"/>
      <c r="B159" s="49"/>
      <c r="C159" s="49"/>
      <c r="D159" s="23"/>
      <c r="E159" s="23"/>
    </row>
    <row r="160" spans="1:18" ht="14.25" x14ac:dyDescent="0.15">
      <c r="A160" s="49"/>
      <c r="B160" s="49"/>
      <c r="C160" s="49"/>
      <c r="D160" s="23"/>
      <c r="E160" s="23"/>
    </row>
    <row r="161" spans="1:5" ht="14.25" x14ac:dyDescent="0.15">
      <c r="A161" s="49"/>
      <c r="B161" s="49"/>
      <c r="C161" s="49"/>
      <c r="D161" s="23"/>
      <c r="E161" s="23"/>
    </row>
    <row r="162" spans="1:5" ht="14.25" x14ac:dyDescent="0.15">
      <c r="A162" s="49"/>
      <c r="B162" s="49"/>
      <c r="C162" s="49"/>
      <c r="D162" s="23"/>
      <c r="E162" s="23"/>
    </row>
    <row r="163" spans="1:5" ht="14.25" x14ac:dyDescent="0.15">
      <c r="A163" s="49"/>
      <c r="B163" s="49"/>
      <c r="C163" s="49"/>
      <c r="D163" s="23"/>
      <c r="E163" s="23"/>
    </row>
    <row r="164" spans="1:5" ht="14.25" x14ac:dyDescent="0.15">
      <c r="A164" s="49"/>
      <c r="B164" s="49"/>
      <c r="C164" s="49"/>
      <c r="D164" s="23"/>
      <c r="E164" s="23"/>
    </row>
    <row r="165" spans="1:5" ht="14.25" x14ac:dyDescent="0.15">
      <c r="A165" s="49"/>
      <c r="B165" s="49"/>
      <c r="C165" s="49"/>
      <c r="D165" s="23"/>
      <c r="E165" s="23"/>
    </row>
    <row r="166" spans="1:5" ht="14.25" x14ac:dyDescent="0.15">
      <c r="A166" s="49"/>
      <c r="B166" s="49"/>
      <c r="C166" s="49"/>
      <c r="D166" s="23"/>
      <c r="E166" s="23"/>
    </row>
    <row r="167" spans="1:5" ht="14.25" x14ac:dyDescent="0.15">
      <c r="A167" s="49"/>
      <c r="B167" s="49"/>
      <c r="C167" s="49"/>
      <c r="D167" s="23"/>
      <c r="E167" s="23"/>
    </row>
    <row r="168" spans="1:5" ht="14.25" x14ac:dyDescent="0.15">
      <c r="A168" s="49"/>
      <c r="B168" s="49"/>
      <c r="C168" s="49"/>
      <c r="D168" s="23"/>
      <c r="E168" s="23"/>
    </row>
    <row r="169" spans="1:5" ht="14.25" x14ac:dyDescent="0.15">
      <c r="A169" s="49"/>
      <c r="B169" s="49"/>
      <c r="C169" s="49"/>
      <c r="D169" s="23"/>
      <c r="E169" s="23"/>
    </row>
    <row r="170" spans="1:5" ht="14.25" x14ac:dyDescent="0.15">
      <c r="A170" s="49"/>
      <c r="B170" s="49"/>
      <c r="C170" s="49"/>
      <c r="D170" s="23"/>
      <c r="E170" s="23"/>
    </row>
    <row r="171" spans="1:5" ht="14.25" x14ac:dyDescent="0.15">
      <c r="A171" s="49"/>
      <c r="B171" s="49"/>
      <c r="C171" s="49"/>
      <c r="D171" s="23"/>
      <c r="E171" s="23"/>
    </row>
    <row r="172" spans="1:5" ht="14.25" x14ac:dyDescent="0.15">
      <c r="A172" s="49"/>
      <c r="B172" s="49"/>
      <c r="C172" s="49"/>
      <c r="D172" s="23"/>
      <c r="E172" s="23"/>
    </row>
    <row r="173" spans="1:5" ht="14.25" x14ac:dyDescent="0.15">
      <c r="A173" s="49"/>
      <c r="B173" s="49"/>
      <c r="C173" s="49"/>
      <c r="D173" s="23"/>
      <c r="E173" s="23"/>
    </row>
    <row r="174" spans="1:5" ht="14.25" x14ac:dyDescent="0.15">
      <c r="A174" s="49"/>
      <c r="B174" s="49"/>
      <c r="C174" s="49"/>
      <c r="D174" s="23"/>
      <c r="E174" s="23"/>
    </row>
    <row r="175" spans="1:5" ht="14.25" x14ac:dyDescent="0.15">
      <c r="A175" s="49"/>
      <c r="B175" s="49"/>
      <c r="C175" s="49"/>
      <c r="D175" s="23"/>
      <c r="E175" s="23"/>
    </row>
    <row r="176" spans="1:5" ht="14.25" x14ac:dyDescent="0.15">
      <c r="A176" s="49"/>
      <c r="B176" s="49"/>
      <c r="C176" s="49"/>
      <c r="D176" s="23"/>
      <c r="E176" s="23"/>
    </row>
    <row r="177" spans="1:5" ht="14.25" x14ac:dyDescent="0.15">
      <c r="A177" s="49"/>
      <c r="B177" s="49"/>
      <c r="C177" s="49"/>
      <c r="D177" s="23"/>
      <c r="E177" s="23"/>
    </row>
    <row r="178" spans="1:5" ht="14.25" x14ac:dyDescent="0.15">
      <c r="A178" s="49"/>
      <c r="B178" s="49"/>
      <c r="C178" s="49"/>
    </row>
    <row r="179" spans="1:5" ht="14.25" x14ac:dyDescent="0.15">
      <c r="A179" s="49"/>
      <c r="B179" s="49"/>
      <c r="C179" s="49"/>
    </row>
    <row r="180" spans="1:5" ht="14.25" x14ac:dyDescent="0.15">
      <c r="A180" s="49"/>
      <c r="B180" s="49"/>
      <c r="C180" s="49"/>
      <c r="D180" s="23"/>
      <c r="E180" s="23"/>
    </row>
    <row r="181" spans="1:5" ht="14.25" x14ac:dyDescent="0.15">
      <c r="A181" s="49"/>
      <c r="B181" s="49"/>
      <c r="C181" s="49"/>
    </row>
    <row r="182" spans="1:5" ht="14.25" x14ac:dyDescent="0.15">
      <c r="A182" s="49"/>
      <c r="B182" s="49"/>
      <c r="C182" s="49"/>
    </row>
    <row r="183" spans="1:5" ht="14.25" x14ac:dyDescent="0.15">
      <c r="A183" s="49"/>
      <c r="B183" s="49"/>
      <c r="C183" s="49"/>
    </row>
    <row r="184" spans="1:5" ht="14.25" x14ac:dyDescent="0.15">
      <c r="A184" s="49"/>
      <c r="B184" s="49"/>
      <c r="C184" s="49"/>
    </row>
    <row r="185" spans="1:5" ht="14.25" x14ac:dyDescent="0.15">
      <c r="A185" s="49"/>
      <c r="B185" s="49"/>
      <c r="C185" s="49"/>
    </row>
    <row r="186" spans="1:5" ht="14.25" x14ac:dyDescent="0.15">
      <c r="A186" s="49"/>
      <c r="B186" s="49"/>
      <c r="C186" s="49"/>
    </row>
    <row r="187" spans="1:5" ht="14.25" x14ac:dyDescent="0.15">
      <c r="A187" s="49"/>
      <c r="B187" s="49"/>
      <c r="C187" s="49"/>
    </row>
    <row r="188" spans="1:5" ht="14.25" x14ac:dyDescent="0.15">
      <c r="A188" s="49"/>
      <c r="B188" s="49"/>
      <c r="C188" s="49"/>
    </row>
    <row r="189" spans="1:5" ht="14.25" x14ac:dyDescent="0.15">
      <c r="A189" s="49"/>
      <c r="B189" s="49"/>
      <c r="C189" s="49"/>
    </row>
    <row r="190" spans="1:5" ht="14.25" x14ac:dyDescent="0.15">
      <c r="A190" s="49"/>
      <c r="B190" s="49"/>
      <c r="C190" s="49"/>
    </row>
    <row r="191" spans="1:5" ht="14.25" x14ac:dyDescent="0.15">
      <c r="A191" s="49"/>
      <c r="B191" s="49"/>
      <c r="C191" s="49"/>
    </row>
    <row r="192" spans="1:5" ht="14.25" x14ac:dyDescent="0.15">
      <c r="A192" s="49"/>
      <c r="B192" s="49"/>
      <c r="C192" s="49"/>
    </row>
    <row r="193" spans="1:3" ht="14.25" x14ac:dyDescent="0.15">
      <c r="A193" s="49"/>
      <c r="B193" s="49"/>
      <c r="C193" s="49"/>
    </row>
    <row r="194" spans="1:3" ht="14.25" x14ac:dyDescent="0.15">
      <c r="A194" s="49"/>
      <c r="B194" s="49"/>
      <c r="C194" s="49"/>
    </row>
    <row r="195" spans="1:3" ht="14.25" x14ac:dyDescent="0.15">
      <c r="A195" s="49"/>
      <c r="B195" s="49"/>
      <c r="C195" s="49"/>
    </row>
    <row r="196" spans="1:3" ht="14.25" x14ac:dyDescent="0.15">
      <c r="A196" s="49"/>
      <c r="B196" s="49"/>
      <c r="C196" s="49"/>
    </row>
    <row r="197" spans="1:3" ht="14.25" x14ac:dyDescent="0.15">
      <c r="A197" s="49"/>
      <c r="B197" s="49"/>
      <c r="C197" s="49"/>
    </row>
    <row r="198" spans="1:3" ht="14.25" x14ac:dyDescent="0.15">
      <c r="A198" s="49"/>
      <c r="B198" s="49"/>
      <c r="C198" s="49"/>
    </row>
    <row r="199" spans="1:3" ht="14.25" x14ac:dyDescent="0.15">
      <c r="A199" s="49"/>
      <c r="B199" s="49"/>
      <c r="C199" s="49"/>
    </row>
    <row r="200" spans="1:3" ht="14.25" x14ac:dyDescent="0.15">
      <c r="A200" s="49"/>
      <c r="B200" s="49"/>
      <c r="C200" s="49"/>
    </row>
    <row r="201" spans="1:3" ht="14.25" x14ac:dyDescent="0.15">
      <c r="A201" s="49"/>
      <c r="B201" s="49"/>
      <c r="C201" s="49"/>
    </row>
    <row r="202" spans="1:3" ht="14.25" x14ac:dyDescent="0.15">
      <c r="A202" s="49"/>
      <c r="B202" s="49"/>
      <c r="C202" s="49"/>
    </row>
    <row r="203" spans="1:3" ht="14.25" x14ac:dyDescent="0.15">
      <c r="A203" s="49"/>
      <c r="B203" s="49"/>
      <c r="C203" s="49"/>
    </row>
    <row r="204" spans="1:3" ht="14.25" x14ac:dyDescent="0.15">
      <c r="A204" s="49"/>
      <c r="B204" s="49"/>
      <c r="C204" s="49"/>
    </row>
    <row r="205" spans="1:3" ht="14.25" x14ac:dyDescent="0.15">
      <c r="A205" s="49"/>
      <c r="B205" s="49"/>
      <c r="C205" s="49"/>
    </row>
    <row r="206" spans="1:3" ht="14.25" x14ac:dyDescent="0.15">
      <c r="A206" s="49"/>
      <c r="B206" s="49"/>
      <c r="C206" s="49"/>
    </row>
    <row r="207" spans="1:3" ht="14.25" x14ac:dyDescent="0.15">
      <c r="A207" s="49"/>
      <c r="B207" s="49"/>
      <c r="C207" s="49"/>
    </row>
    <row r="208" spans="1:3" ht="14.25" x14ac:dyDescent="0.15">
      <c r="A208" s="49"/>
      <c r="B208" s="49"/>
      <c r="C208" s="49"/>
    </row>
    <row r="209" spans="1:3" ht="14.25" x14ac:dyDescent="0.15">
      <c r="A209" s="49"/>
      <c r="B209" s="49"/>
      <c r="C209" s="49"/>
    </row>
    <row r="210" spans="1:3" ht="14.25" x14ac:dyDescent="0.15">
      <c r="A210" s="49"/>
      <c r="B210" s="49"/>
      <c r="C210" s="49"/>
    </row>
    <row r="211" spans="1:3" ht="14.25" x14ac:dyDescent="0.15">
      <c r="A211" s="49"/>
      <c r="B211" s="49"/>
      <c r="C211" s="49"/>
    </row>
    <row r="212" spans="1:3" ht="14.25" x14ac:dyDescent="0.15">
      <c r="A212" s="49"/>
      <c r="B212" s="49"/>
      <c r="C212" s="49"/>
    </row>
    <row r="213" spans="1:3" ht="14.25" x14ac:dyDescent="0.15">
      <c r="A213" s="49"/>
      <c r="B213" s="49"/>
      <c r="C213" s="49"/>
    </row>
    <row r="214" spans="1:3" ht="14.25" x14ac:dyDescent="0.15">
      <c r="A214" s="49"/>
      <c r="B214" s="49"/>
      <c r="C214" s="49"/>
    </row>
    <row r="215" spans="1:3" ht="14.25" x14ac:dyDescent="0.15">
      <c r="A215" s="49"/>
      <c r="B215" s="49"/>
      <c r="C215" s="49"/>
    </row>
    <row r="216" spans="1:3" ht="14.25" x14ac:dyDescent="0.15">
      <c r="A216" s="49"/>
      <c r="B216" s="49"/>
      <c r="C216" s="49"/>
    </row>
    <row r="217" spans="1:3" ht="14.25" x14ac:dyDescent="0.15">
      <c r="A217" s="49"/>
      <c r="B217" s="49"/>
      <c r="C217" s="49"/>
    </row>
    <row r="218" spans="1:3" ht="14.25" x14ac:dyDescent="0.15">
      <c r="A218" s="49"/>
      <c r="B218" s="49"/>
      <c r="C218" s="49"/>
    </row>
    <row r="219" spans="1:3" ht="14.25" x14ac:dyDescent="0.15">
      <c r="A219" s="49"/>
      <c r="B219" s="49"/>
      <c r="C219" s="49"/>
    </row>
    <row r="220" spans="1:3" ht="14.25" x14ac:dyDescent="0.15">
      <c r="A220" s="49"/>
      <c r="B220" s="49"/>
      <c r="C220" s="49"/>
    </row>
    <row r="221" spans="1:3" ht="14.25" x14ac:dyDescent="0.15">
      <c r="A221" s="49"/>
      <c r="B221" s="49"/>
      <c r="C221" s="49"/>
    </row>
    <row r="222" spans="1:3" ht="14.25" x14ac:dyDescent="0.15">
      <c r="A222" s="49"/>
      <c r="B222" s="49"/>
      <c r="C222" s="49"/>
    </row>
    <row r="223" spans="1:3" ht="14.25" x14ac:dyDescent="0.15">
      <c r="A223" s="49"/>
      <c r="B223" s="49"/>
      <c r="C223" s="49"/>
    </row>
    <row r="224" spans="1:3" ht="14.25" x14ac:dyDescent="0.15">
      <c r="A224" s="49"/>
      <c r="B224" s="49"/>
      <c r="C224" s="49"/>
    </row>
    <row r="225" spans="1:3" ht="14.25" x14ac:dyDescent="0.15">
      <c r="A225" s="49"/>
      <c r="B225" s="49"/>
      <c r="C225" s="49"/>
    </row>
    <row r="226" spans="1:3" ht="14.25" x14ac:dyDescent="0.15">
      <c r="A226" s="49"/>
      <c r="B226" s="49"/>
      <c r="C226" s="49"/>
    </row>
    <row r="227" spans="1:3" ht="14.25" x14ac:dyDescent="0.15">
      <c r="A227" s="49"/>
      <c r="B227" s="49"/>
      <c r="C227" s="49"/>
    </row>
    <row r="228" spans="1:3" ht="14.25" x14ac:dyDescent="0.15">
      <c r="A228" s="49"/>
      <c r="B228" s="49"/>
      <c r="C228" s="49"/>
    </row>
    <row r="229" spans="1:3" ht="14.25" x14ac:dyDescent="0.15">
      <c r="A229" s="49"/>
      <c r="B229" s="49"/>
      <c r="C229" s="49"/>
    </row>
    <row r="230" spans="1:3" ht="14.25" x14ac:dyDescent="0.15">
      <c r="A230" s="49"/>
      <c r="B230" s="49"/>
      <c r="C230" s="49"/>
    </row>
    <row r="231" spans="1:3" ht="14.25" x14ac:dyDescent="0.15">
      <c r="A231" s="49"/>
      <c r="B231" s="49"/>
      <c r="C231" s="49"/>
    </row>
    <row r="232" spans="1:3" ht="14.25" x14ac:dyDescent="0.15">
      <c r="A232" s="49"/>
      <c r="B232" s="49"/>
      <c r="C232" s="49"/>
    </row>
    <row r="233" spans="1:3" ht="14.25" x14ac:dyDescent="0.15">
      <c r="A233" s="49"/>
      <c r="B233" s="49"/>
      <c r="C233" s="49"/>
    </row>
    <row r="234" spans="1:3" ht="14.25" x14ac:dyDescent="0.15">
      <c r="A234" s="49"/>
      <c r="B234" s="49"/>
      <c r="C234" s="49"/>
    </row>
    <row r="235" spans="1:3" ht="14.25" x14ac:dyDescent="0.15">
      <c r="A235" s="49"/>
      <c r="B235" s="49"/>
      <c r="C235" s="49"/>
    </row>
    <row r="236" spans="1:3" ht="14.25" x14ac:dyDescent="0.15">
      <c r="A236" s="49"/>
      <c r="B236" s="49"/>
      <c r="C236" s="49"/>
    </row>
    <row r="237" spans="1:3" ht="14.25" x14ac:dyDescent="0.15">
      <c r="A237" s="49"/>
      <c r="B237" s="49"/>
      <c r="C237" s="49"/>
    </row>
    <row r="238" spans="1:3" ht="14.25" x14ac:dyDescent="0.15">
      <c r="A238" s="49"/>
      <c r="B238" s="49"/>
      <c r="C238" s="49"/>
    </row>
    <row r="239" spans="1:3" ht="14.25" x14ac:dyDescent="0.15">
      <c r="A239" s="49"/>
      <c r="B239" s="49"/>
      <c r="C239" s="49"/>
    </row>
    <row r="240" spans="1:3" ht="14.25" x14ac:dyDescent="0.15">
      <c r="A240" s="49"/>
      <c r="B240" s="49"/>
      <c r="C240" s="49"/>
    </row>
    <row r="241" spans="1:3" ht="14.25" x14ac:dyDescent="0.15">
      <c r="A241" s="49"/>
      <c r="B241" s="49"/>
      <c r="C241" s="49"/>
    </row>
    <row r="242" spans="1:3" ht="14.25" x14ac:dyDescent="0.15">
      <c r="A242" s="49"/>
      <c r="B242" s="49"/>
      <c r="C242" s="49"/>
    </row>
    <row r="243" spans="1:3" ht="14.25" x14ac:dyDescent="0.15">
      <c r="A243" s="49"/>
      <c r="B243" s="49"/>
      <c r="C243" s="49"/>
    </row>
    <row r="244" spans="1:3" ht="14.25" x14ac:dyDescent="0.15">
      <c r="A244" s="49"/>
      <c r="B244" s="49"/>
      <c r="C244" s="49"/>
    </row>
    <row r="245" spans="1:3" ht="14.25" x14ac:dyDescent="0.15">
      <c r="A245" s="49"/>
      <c r="B245" s="49"/>
      <c r="C245" s="49"/>
    </row>
    <row r="246" spans="1:3" ht="14.25" x14ac:dyDescent="0.15">
      <c r="C246" s="49"/>
    </row>
    <row r="247" spans="1:3" ht="14.25" x14ac:dyDescent="0.15">
      <c r="C247" s="49"/>
    </row>
    <row r="248" spans="1:3" ht="14.25" x14ac:dyDescent="0.15">
      <c r="C248" s="49"/>
    </row>
    <row r="249" spans="1:3" ht="14.25" x14ac:dyDescent="0.15">
      <c r="C249" s="49"/>
    </row>
    <row r="250" spans="1:3" ht="14.25" x14ac:dyDescent="0.15">
      <c r="C250" s="49"/>
    </row>
  </sheetData>
  <mergeCells count="72">
    <mergeCell ref="AN15:AO16"/>
    <mergeCell ref="AQ15:AR16"/>
    <mergeCell ref="AH17:AH18"/>
    <mergeCell ref="AI17:AI18"/>
    <mergeCell ref="AK17:AK18"/>
    <mergeCell ref="AL17:AL18"/>
    <mergeCell ref="AN17:AN18"/>
    <mergeCell ref="AO17:AO18"/>
    <mergeCell ref="AQ17:AQ18"/>
    <mergeCell ref="AR17:AR18"/>
    <mergeCell ref="M15:N16"/>
    <mergeCell ref="M17:M18"/>
    <mergeCell ref="N17:N18"/>
    <mergeCell ref="AH15:AI16"/>
    <mergeCell ref="AK15:AL16"/>
    <mergeCell ref="G15:H16"/>
    <mergeCell ref="G17:G18"/>
    <mergeCell ref="H17:H18"/>
    <mergeCell ref="J15:K16"/>
    <mergeCell ref="J17:J18"/>
    <mergeCell ref="K17:K18"/>
    <mergeCell ref="D1:E2"/>
    <mergeCell ref="D3:D4"/>
    <mergeCell ref="E3:E4"/>
    <mergeCell ref="A15:B16"/>
    <mergeCell ref="A17:A18"/>
    <mergeCell ref="B17:B18"/>
    <mergeCell ref="E17:E18"/>
    <mergeCell ref="D17:D18"/>
    <mergeCell ref="D15:E16"/>
    <mergeCell ref="A1:B2"/>
    <mergeCell ref="A3:A4"/>
    <mergeCell ref="B3:B4"/>
    <mergeCell ref="Y1:Z2"/>
    <mergeCell ref="AB1:AC2"/>
    <mergeCell ref="AE1:AF2"/>
    <mergeCell ref="Y3:Y4"/>
    <mergeCell ref="Z3:Z4"/>
    <mergeCell ref="AB3:AB4"/>
    <mergeCell ref="AC3:AC4"/>
    <mergeCell ref="AE3:AE4"/>
    <mergeCell ref="AF3:AF4"/>
    <mergeCell ref="G1:H2"/>
    <mergeCell ref="G3:G4"/>
    <mergeCell ref="H3:H4"/>
    <mergeCell ref="P1:Q2"/>
    <mergeCell ref="P3:P4"/>
    <mergeCell ref="Q3:Q4"/>
    <mergeCell ref="J1:K2"/>
    <mergeCell ref="J3:J4"/>
    <mergeCell ref="K3:K4"/>
    <mergeCell ref="M1:N2"/>
    <mergeCell ref="M3:M4"/>
    <mergeCell ref="N3:N4"/>
    <mergeCell ref="V1:W2"/>
    <mergeCell ref="V3:V4"/>
    <mergeCell ref="W3:W4"/>
    <mergeCell ref="S1:T2"/>
    <mergeCell ref="S3:S4"/>
    <mergeCell ref="T3:T4"/>
    <mergeCell ref="AH1:AI2"/>
    <mergeCell ref="AK1:AL2"/>
    <mergeCell ref="AN1:AO2"/>
    <mergeCell ref="AQ1:AR2"/>
    <mergeCell ref="AH3:AH4"/>
    <mergeCell ref="AI3:AI4"/>
    <mergeCell ref="AK3:AK4"/>
    <mergeCell ref="AL3:AL4"/>
    <mergeCell ref="AN3:AN4"/>
    <mergeCell ref="AO3:AO4"/>
    <mergeCell ref="AQ3:AQ4"/>
    <mergeCell ref="AR3:AR4"/>
  </mergeCells>
  <phoneticPr fontId="3" type="noConversion"/>
  <pageMargins left="0.7" right="0.7" top="0.75" bottom="0.75" header="0.3" footer="0.3"/>
  <pageSetup paperSize="9" scale="82" orientation="portrait" r:id="rId1"/>
  <rowBreaks count="1" manualBreakCount="1">
    <brk id="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236"/>
  <sheetViews>
    <sheetView tabSelected="1" zoomScaleNormal="100" workbookViewId="0">
      <selection activeCell="A4" sqref="A4"/>
    </sheetView>
  </sheetViews>
  <sheetFormatPr defaultRowHeight="13.5" x14ac:dyDescent="0.15"/>
  <cols>
    <col min="1" max="1" width="4.5546875" style="109" customWidth="1"/>
    <col min="2" max="2" width="4.77734375" style="108" customWidth="1"/>
    <col min="3" max="3" width="7.88671875" style="109" customWidth="1"/>
    <col min="4" max="4" width="9.88671875" style="245" bestFit="1" customWidth="1"/>
    <col min="5" max="5" width="5.33203125" style="108" customWidth="1"/>
    <col min="6" max="6" width="5.33203125" style="109" customWidth="1"/>
    <col min="7" max="7" width="9.88671875" style="108" bestFit="1" customWidth="1"/>
    <col min="8" max="8" width="5.33203125" style="108" customWidth="1"/>
    <col min="9" max="9" width="5.33203125" style="109" customWidth="1"/>
    <col min="10" max="10" width="5.33203125" style="108" customWidth="1"/>
    <col min="11" max="13" width="5.33203125" style="109" customWidth="1"/>
    <col min="14" max="14" width="8.6640625" style="109" customWidth="1"/>
    <col min="15" max="16" width="5.33203125" style="109" customWidth="1"/>
    <col min="17" max="17" width="9.44140625" style="109" customWidth="1"/>
    <col min="18" max="21" width="5.33203125" style="109" customWidth="1"/>
    <col min="22" max="22" width="7.109375" style="109" customWidth="1"/>
    <col min="23" max="23" width="5.33203125" style="109" customWidth="1"/>
    <col min="24" max="24" width="2" style="1" customWidth="1"/>
    <col min="25" max="25" width="5.77734375" style="1" customWidth="1"/>
    <col min="26" max="26" width="4" style="1" customWidth="1"/>
    <col min="27" max="27" width="8.88671875" style="1" hidden="1" customWidth="1"/>
    <col min="28" max="28" width="2.109375" style="1" customWidth="1"/>
    <col min="29" max="29" width="2.5546875" style="1" customWidth="1"/>
    <col min="30" max="30" width="5.21875" style="1" customWidth="1"/>
    <col min="31" max="41" width="5.77734375" style="1" customWidth="1"/>
    <col min="42" max="45" width="5.77734375" style="1" hidden="1" customWidth="1"/>
    <col min="46" max="54" width="5.77734375" style="1" customWidth="1"/>
    <col min="55" max="16384" width="8.88671875" style="1"/>
  </cols>
  <sheetData>
    <row r="1" spans="1:49" ht="29.25" customHeight="1" x14ac:dyDescent="0.3">
      <c r="A1" s="305" t="s">
        <v>356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24"/>
      <c r="Y1" s="24"/>
      <c r="Z1" s="24"/>
    </row>
    <row r="2" spans="1:49" ht="33.75" customHeight="1" thickBot="1" x14ac:dyDescent="0.2">
      <c r="A2" s="343" t="s">
        <v>798</v>
      </c>
      <c r="B2" s="343"/>
      <c r="C2" s="343"/>
      <c r="D2" s="343"/>
      <c r="E2" s="343"/>
      <c r="F2" s="343"/>
      <c r="G2" s="343"/>
      <c r="H2" s="343"/>
      <c r="I2" s="38"/>
      <c r="J2" s="296"/>
      <c r="K2" s="38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133"/>
      <c r="W2" s="133"/>
      <c r="X2" s="133"/>
      <c r="Y2" s="133"/>
      <c r="Z2" s="133"/>
    </row>
    <row r="3" spans="1:49" s="3" customFormat="1" ht="45" customHeight="1" thickBot="1" x14ac:dyDescent="0.2">
      <c r="A3" s="387" t="s">
        <v>346</v>
      </c>
      <c r="B3" s="388" t="s">
        <v>3</v>
      </c>
      <c r="C3" s="395" t="s">
        <v>4</v>
      </c>
      <c r="D3" s="391" t="s">
        <v>352</v>
      </c>
      <c r="E3" s="389"/>
      <c r="F3" s="390" t="s">
        <v>357</v>
      </c>
      <c r="G3" s="391" t="s">
        <v>353</v>
      </c>
      <c r="H3" s="389"/>
      <c r="I3" s="390" t="s">
        <v>357</v>
      </c>
      <c r="J3" s="392" t="s">
        <v>354</v>
      </c>
      <c r="K3" s="390" t="s">
        <v>357</v>
      </c>
      <c r="L3" s="277" t="s">
        <v>13</v>
      </c>
      <c r="M3" s="396" t="s">
        <v>14</v>
      </c>
      <c r="N3" s="391" t="s">
        <v>742</v>
      </c>
      <c r="O3" s="389"/>
      <c r="P3" s="394"/>
      <c r="Q3" s="391" t="s">
        <v>744</v>
      </c>
      <c r="R3" s="389"/>
      <c r="S3" s="394"/>
      <c r="T3" s="393" t="s">
        <v>345</v>
      </c>
      <c r="U3" s="390" t="s">
        <v>357</v>
      </c>
      <c r="V3" s="401" t="s">
        <v>6</v>
      </c>
      <c r="W3" s="390" t="s">
        <v>351</v>
      </c>
      <c r="X3" s="2"/>
      <c r="Y3" s="341" t="s">
        <v>8</v>
      </c>
      <c r="Z3" s="342"/>
      <c r="AC3" s="335" t="s">
        <v>776</v>
      </c>
      <c r="AD3" s="336"/>
      <c r="AE3" s="260" t="s">
        <v>779</v>
      </c>
      <c r="AF3" s="273" t="s">
        <v>778</v>
      </c>
      <c r="AG3" s="274" t="s">
        <v>780</v>
      </c>
      <c r="AH3" s="26" t="s">
        <v>781</v>
      </c>
      <c r="AI3" s="275" t="s">
        <v>782</v>
      </c>
      <c r="AJ3" s="25" t="s">
        <v>773</v>
      </c>
      <c r="AK3" s="25" t="s">
        <v>774</v>
      </c>
      <c r="AL3" s="279" t="s">
        <v>783</v>
      </c>
      <c r="AM3" s="280" t="s">
        <v>768</v>
      </c>
      <c r="AN3" s="280" t="s">
        <v>770</v>
      </c>
      <c r="AO3" s="281" t="s">
        <v>771</v>
      </c>
      <c r="AP3" s="282" t="s">
        <v>784</v>
      </c>
      <c r="AQ3" s="280" t="s">
        <v>785</v>
      </c>
      <c r="AR3" s="280" t="s">
        <v>786</v>
      </c>
      <c r="AS3" s="281" t="s">
        <v>787</v>
      </c>
      <c r="AT3" s="279" t="s">
        <v>793</v>
      </c>
      <c r="AU3" s="280" t="s">
        <v>794</v>
      </c>
      <c r="AV3" s="280" t="s">
        <v>795</v>
      </c>
      <c r="AW3" s="281" t="s">
        <v>796</v>
      </c>
    </row>
    <row r="4" spans="1:49" s="7" customFormat="1" ht="24.95" customHeight="1" x14ac:dyDescent="0.15">
      <c r="A4" s="383">
        <v>1</v>
      </c>
      <c r="B4" s="384">
        <v>5</v>
      </c>
      <c r="C4" s="111" t="s">
        <v>803</v>
      </c>
      <c r="D4" s="383" t="s">
        <v>779</v>
      </c>
      <c r="E4" s="384">
        <v>77</v>
      </c>
      <c r="F4" s="382">
        <f>IF(D4=예상등급!$A$1,LOOKUP(E4,예상등급!$A$5:$A$13,예상등급!$B$5:$B$13),IF(D4=예상등급!$A$15,LOOKUP(E4,예상등급!$A$19:$A$27,예상등급!$B$19:$B$27),""))</f>
        <v>2</v>
      </c>
      <c r="G4" s="383" t="s">
        <v>780</v>
      </c>
      <c r="H4" s="384">
        <v>76</v>
      </c>
      <c r="I4" s="382">
        <f>IF(G4=예상등급!$G$15,LOOKUP(H4,예상등급!$G$19:$G$27,예상등급!$H$19:$H$27),IF(G4=예상등급!$J$15,LOOKUP(H4,예상등급!$J$19:$J$27,예상등급!$K$19:$K$27),IF(G4=예상등급!$M$15,LOOKUP(H4,예상등급!$M$19:$M$27,예상등급!$N$19:$N$27),"")))</f>
        <v>3</v>
      </c>
      <c r="J4" s="383">
        <v>91</v>
      </c>
      <c r="K4" s="382">
        <f>IF(J4="","",(LOOKUP(J4,예상등급!$D$5:$D$13,예상등급!$E$5:$E$13)))</f>
        <v>1</v>
      </c>
      <c r="L4" s="301">
        <f>SUM(E4,H4,J4)</f>
        <v>244</v>
      </c>
      <c r="M4" s="398">
        <f>RANK(L4,$L$4:$L$491)</f>
        <v>2</v>
      </c>
      <c r="N4" s="383" t="s">
        <v>761</v>
      </c>
      <c r="O4" s="384">
        <v>50</v>
      </c>
      <c r="P4" s="385">
        <f>IF(N4=예상등급!$G$1,LOOKUP(O4,예상등급!$G$5:$G$13,예상등급!$H$5:$H$13),IF(N4=예상등급!$J$1,LOOKUP(O4,예상등급!$J$5:$J$13,예상등급!$K$5:$K$13),IF(N4=예상등급!$M$1,LOOKUP(O4,예상등급!$M$5:$M$13,예상등급!$N$5:$N$13),IF(N4=예상등급!$P$1,LOOKUP(O4,예상등급!$P$5:$P$13,예상등급!$Q$5:$Q$13),IF(N4=예상등급!$S$1,LOOKUP(O4,예상등급!$S$5:$S$13,예상등급!$T$5:$T$13),IF(N4=예상등급!$V$1,LOOKUP(O4,예상등급!$V$5:$V$13,예상등급!$W$5:$W$13),IF(N4=예상등급!$Y$1,LOOKUP(O4,예상등급!$Y$5:$Y$13,예상등급!$Z$5:$Z$13),IF(N4=예상등급!$AB$1,LOOKUP(O4,예상등급!$AB$5:$AB$13,예상등급!$AC$5:$AC$13),IF(N4=예상등급!$AE$1,LOOKUP(O4,예상등급!$AE$5:$AE$13,예상등급!$AF$5:$AF$13),IF(N4=예상등급!$AH$1,LOOKUP(O4,예상등급!$AH$5:$AH$13,예상등급!$AI$5:$AI$13),IF(N4=예상등급!$AK$1,LOOKUP(O4,예상등급!$AK$5:$AK$13,예상등급!$AL$5:$AL$13),IF(N4=예상등급!$AN$1,LOOKUP(O4,예상등급!$AN$5:$AN$13,예상등급!$AO$5:$AO$13),IF(N4=예상등급!$AQ$1,LOOKUP(O4,예상등급!$AQ$5:$AQ$13,예상등급!$AR$5:$AR$13),IF(N4=예상등급!$AH$15,LOOKUP(O4,예상등급!$AH$19:$AH$27,예상등급!$AI$19:$AI$27),IF(N4=예상등급!$AK$15,LOOKUP(O4,예상등급!$AK$19:$AK$27,예상등급!$AL$19:$AL$27),IF(N4=예상등급!$AN$15,LOOKUP(O4,예상등급!$AN$19:$AN$27,예상등급!$AO$19:$AO$27),IF(N4=예상등급!$AQ$15,LOOKUP(O4,예상등급!$AQ$19:$AQ$27,예상등급!$AR$19:$AR$27),"")))))))))))))))))</f>
        <v>1</v>
      </c>
      <c r="Q4" s="383" t="s">
        <v>772</v>
      </c>
      <c r="R4" s="384">
        <v>44</v>
      </c>
      <c r="S4" s="385">
        <f>IF(Q4=예상등급!$G$1,LOOKUP(R4,예상등급!$G$5:$G$13,예상등급!$H$5:$H$13),IF(Q4=예상등급!$J$1,LOOKUP(R4,예상등급!$J$5:$J$13,예상등급!$K$5:$K$13),IF(Q4=예상등급!$M$1,LOOKUP(R4,예상등급!$M$5:$M$13,예상등급!$N$5:$N$13),IF(Q4=예상등급!$P$1,LOOKUP(R4,예상등급!$P$5:$P$13,예상등급!$Q$5:$Q$13),IF(Q4=예상등급!$S$1,LOOKUP(R4,예상등급!$S$5:$S$13,예상등급!$T$5:$T$13),IF(Q4=예상등급!$V$1,LOOKUP(R4,예상등급!$V$5:$V$13,예상등급!$W$5:$W$13),IF(Q4=예상등급!$Y$1,LOOKUP(R4,예상등급!$Y$5:$Y$13,예상등급!$Z$5:$Z$13),IF(Q4=예상등급!$AB$1,LOOKUP(R4,예상등급!$AB$5:$AB$13,예상등급!$AC$5:$AC$13),IF(Q4=예상등급!$AE$1,LOOKUP(R4,예상등급!$AE$5:$AE$13,예상등급!$AF$5:$AF$13),IF(Q4=예상등급!$AH$1,LOOKUP(R4,예상등급!$AH$5:$AH$13,예상등급!$AI$5:$AI$13),IF(Q4=예상등급!$AK$1,LOOKUP(R4,예상등급!$AK$5:$AK$13,예상등급!$AL$5:$AL$13),IF(Q4=예상등급!$AN$1,LOOKUP(R4,예상등급!$AN$5:$AN$13,예상등급!$AO$5:$AO$13),IF(Q4=예상등급!$AQ$1,LOOKUP(R4,예상등급!$AQ$5:$AQ$13,예상등급!$AR$5:$AR$13),IF(Q4=예상등급!$AH$15,LOOKUP(R4,예상등급!$AH$19:$AH$27,예상등급!$AI$19:$AI$27),IF(Q4=예상등급!$AK$15,LOOKUP(R4,예상등급!$AK$19:$AK$27,예상등급!$AL$19:$AL$27),IF(Q4=예상등급!$AN$15,LOOKUP(R4,예상등급!$AN$19:$AN$27,예상등급!$AO$19:$AO$27),IF(Q4=예상등급!$AQ$15,LOOKUP(R4,예상등급!$AQ$19:$AQ$27,예상등급!$AR$19:$AR$27),"")))))))))))))))))</f>
        <v>1</v>
      </c>
      <c r="T4" s="383">
        <v>31</v>
      </c>
      <c r="U4" s="382">
        <f>IF(T4="","",LOOKUP(T4,예상등급!$D$19:$D$27,예상등급!$E$19:$E$27))</f>
        <v>3</v>
      </c>
      <c r="V4" s="402">
        <f>SUM(L4,T4,R4,O4)</f>
        <v>369</v>
      </c>
      <c r="W4" s="386">
        <f>RANK(V4,$V$4:$V$491)</f>
        <v>1</v>
      </c>
      <c r="X4" s="4"/>
      <c r="Y4" s="138">
        <v>450</v>
      </c>
      <c r="Z4" s="139"/>
      <c r="AA4" s="7">
        <v>449</v>
      </c>
      <c r="AC4" s="238">
        <v>1</v>
      </c>
      <c r="AD4" s="248" t="s">
        <v>775</v>
      </c>
      <c r="AE4" s="249">
        <f>COUNTIFS($D$4:$D$491,$AE$3,$F$4:$F$491,AC4)</f>
        <v>2</v>
      </c>
      <c r="AF4" s="267">
        <f>COUNTIFS($D$4:$D$491,$AF$3,$F$4:$F$491,AC4)</f>
        <v>2</v>
      </c>
      <c r="AG4" s="249">
        <f>COUNTIFS($G$4:$G$491,$AG$3,$I$4:$I$491,AC4)</f>
        <v>1</v>
      </c>
      <c r="AH4" s="236">
        <f>COUNTIFS($G$4:$G$491,$AH$3,$I$4:$I$491,AC4)</f>
        <v>3</v>
      </c>
      <c r="AI4" s="267">
        <f>COUNTIFS($G$4:$G$491,$AI$3,$I$4:$I$491,AC4)</f>
        <v>0</v>
      </c>
      <c r="AJ4" s="270">
        <f>COUNTIF($K$4:$K$491,AC4)</f>
        <v>12</v>
      </c>
      <c r="AK4" s="297">
        <f>COUNTIF($U$4:$U$491,AC4)</f>
        <v>13</v>
      </c>
      <c r="AL4" s="291">
        <f>COUNTIFS($N$4:$N$491,$AL$3,$P$4:$P$491,$AC4)+COUNTIFS($Q$4:$Q$491,$AL$3,$S$4:$S$491,$AC4)</f>
        <v>0</v>
      </c>
      <c r="AM4" s="261">
        <f>COUNTIFS($N$4:$N$491,$AM$3,$P$4:$P$491,$AC4)+COUNTIFS($Q$4:$Q$491,$AM$3,$S$4:$S$491,$AC4)</f>
        <v>0</v>
      </c>
      <c r="AN4" s="261">
        <f>COUNTIFS($N$4:$N$491,$AN$3,$P$4:$P$491,$AC4)+COUNTIFS($Q$4:$Q$491,$AN$3,$S$4:$S$491,$AC4)</f>
        <v>1</v>
      </c>
      <c r="AO4" s="292">
        <f>COUNTIFS($N$4:$N$491,$AO$3,$P$4:$P$491,$AC4)+COUNTIFS($Q$4:$Q$491,$AO$3,$S$4:$S$491,$AC4)</f>
        <v>1</v>
      </c>
      <c r="AP4" s="263">
        <f>COUNTIFS($N$4:$N$491,$AP$3,$P$4:$P$491,$AC4)</f>
        <v>0</v>
      </c>
      <c r="AQ4" s="261">
        <f>COUNTIFS($N$4:$N$491,$AQ$3,$P$4:$P$491,$AC4)</f>
        <v>0</v>
      </c>
      <c r="AR4" s="261">
        <f>COUNTIFS($N$4:$N$491,$AR$3,$P$4:$P$491,$AC4)</f>
        <v>0</v>
      </c>
      <c r="AS4" s="268">
        <f>COUNTIFS($N$4:$N$491,$AS$3,$P$4:$P$491,$AC4)</f>
        <v>0</v>
      </c>
      <c r="AT4" s="291">
        <f>COUNTIFS($N$4:$N$491,$AT$3,$P$4:$P$491,$AC4)+COUNTIFS($Q$4:$Q$491,$AT$3,$S$4:$S$491,$AC4)</f>
        <v>0</v>
      </c>
      <c r="AU4" s="261">
        <f>COUNTIFS($N$4:$N$491,$AU$3,$P$4:$P$491,$AC4)+COUNTIFS($Q$4:$Q$491,$AU$3,$S$4:$S$491,$AC4)</f>
        <v>0</v>
      </c>
      <c r="AV4" s="261">
        <f>COUNTIFS($N$4:$N$491,$AV$3,$P$4:$P$491,$AC4)+COUNTIFS($Q$4:$Q$491,$AV$3,$S$4:$S$491,$AC4)</f>
        <v>0</v>
      </c>
      <c r="AW4" s="292">
        <f>COUNTIFS($N$4:$N$491,$AW$3,$P$4:$P$491,$AC4)+COUNTIFS($Q$4:$Q$491,$AW$3,$S$4:$S$491,$AC4)</f>
        <v>0</v>
      </c>
    </row>
    <row r="5" spans="1:49" s="7" customFormat="1" ht="24.95" customHeight="1" x14ac:dyDescent="0.15">
      <c r="A5" s="110">
        <v>7</v>
      </c>
      <c r="B5" s="71">
        <v>5</v>
      </c>
      <c r="C5" s="100" t="s">
        <v>920</v>
      </c>
      <c r="D5" s="110" t="s">
        <v>779</v>
      </c>
      <c r="E5" s="71">
        <v>76</v>
      </c>
      <c r="F5" s="382">
        <f>IF(D5=예상등급!$A$1,LOOKUP(E5,예상등급!$A$5:$A$13,예상등급!$B$5:$B$13),IF(D5=예상등급!$A$15,LOOKUP(E5,예상등급!$A$19:$A$27,예상등급!$B$19:$B$27),""))</f>
        <v>2</v>
      </c>
      <c r="G5" s="110" t="s">
        <v>781</v>
      </c>
      <c r="H5" s="71">
        <v>73</v>
      </c>
      <c r="I5" s="382">
        <f>IF(G5=예상등급!$G$15,LOOKUP(H5,예상등급!$G$19:$G$27,예상등급!$H$19:$H$27),IF(G5=예상등급!$J$15,LOOKUP(H5,예상등급!$J$19:$J$27,예상등급!$K$19:$K$27),IF(G5=예상등급!$M$15,LOOKUP(H5,예상등급!$M$19:$M$27,예상등급!$N$19:$N$27),"")))</f>
        <v>2</v>
      </c>
      <c r="J5" s="110">
        <v>82</v>
      </c>
      <c r="K5" s="382">
        <f>IF(J5="","",(LOOKUP(J5,예상등급!$D$5:$D$13,예상등급!$E$5:$E$13)))</f>
        <v>2</v>
      </c>
      <c r="L5" s="301">
        <f>SUM(E5,H5,J5)</f>
        <v>231</v>
      </c>
      <c r="M5" s="398">
        <f>RANK(L5,$L$4:$L$491)</f>
        <v>8</v>
      </c>
      <c r="N5" s="110" t="s">
        <v>765</v>
      </c>
      <c r="O5" s="71">
        <v>50</v>
      </c>
      <c r="P5" s="385">
        <f>IF(N5=예상등급!$G$1,LOOKUP(O5,예상등급!$G$5:$G$13,예상등급!$H$5:$H$13),IF(N5=예상등급!$J$1,LOOKUP(O5,예상등급!$J$5:$J$13,예상등급!$K$5:$K$13),IF(N5=예상등급!$M$1,LOOKUP(O5,예상등급!$M$5:$M$13,예상등급!$N$5:$N$13),IF(N5=예상등급!$P$1,LOOKUP(O5,예상등급!$P$5:$P$13,예상등급!$Q$5:$Q$13),IF(N5=예상등급!$S$1,LOOKUP(O5,예상등급!$S$5:$S$13,예상등급!$T$5:$T$13),IF(N5=예상등급!$V$1,LOOKUP(O5,예상등급!$V$5:$V$13,예상등급!$W$5:$W$13),IF(N5=예상등급!$Y$1,LOOKUP(O5,예상등급!$Y$5:$Y$13,예상등급!$Z$5:$Z$13),IF(N5=예상등급!$AB$1,LOOKUP(O5,예상등급!$AB$5:$AB$13,예상등급!$AC$5:$AC$13),IF(N5=예상등급!$AE$1,LOOKUP(O5,예상등급!$AE$5:$AE$13,예상등급!$AF$5:$AF$13),IF(N5=예상등급!$AH$1,LOOKUP(O5,예상등급!$AH$5:$AH$13,예상등급!$AI$5:$AI$13),IF(N5=예상등급!$AK$1,LOOKUP(O5,예상등급!$AK$5:$AK$13,예상등급!$AL$5:$AL$13),IF(N5=예상등급!$AN$1,LOOKUP(O5,예상등급!$AN$5:$AN$13,예상등급!$AO$5:$AO$13),IF(N5=예상등급!$AQ$1,LOOKUP(O5,예상등급!$AQ$5:$AQ$13,예상등급!$AR$5:$AR$13),IF(N5=예상등급!$AH$15,LOOKUP(O5,예상등급!$AH$19:$AH$27,예상등급!$AI$19:$AI$27),IF(N5=예상등급!$AK$15,LOOKUP(O5,예상등급!$AK$19:$AK$27,예상등급!$AL$19:$AL$27),IF(N5=예상등급!$AN$15,LOOKUP(O5,예상등급!$AN$19:$AN$27,예상등급!$AO$19:$AO$27),IF(N5=예상등급!$AQ$15,LOOKUP(O5,예상등급!$AQ$19:$AQ$27,예상등급!$AR$19:$AR$27),"")))))))))))))))))</f>
        <v>1</v>
      </c>
      <c r="Q5" s="110" t="s">
        <v>762</v>
      </c>
      <c r="R5" s="71">
        <v>44</v>
      </c>
      <c r="S5" s="385">
        <f>IF(Q5=예상등급!$G$1,LOOKUP(R5,예상등급!$G$5:$G$13,예상등급!$H$5:$H$13),IF(Q5=예상등급!$J$1,LOOKUP(R5,예상등급!$J$5:$J$13,예상등급!$K$5:$K$13),IF(Q5=예상등급!$M$1,LOOKUP(R5,예상등급!$M$5:$M$13,예상등급!$N$5:$N$13),IF(Q5=예상등급!$P$1,LOOKUP(R5,예상등급!$P$5:$P$13,예상등급!$Q$5:$Q$13),IF(Q5=예상등급!$S$1,LOOKUP(R5,예상등급!$S$5:$S$13,예상등급!$T$5:$T$13),IF(Q5=예상등급!$V$1,LOOKUP(R5,예상등급!$V$5:$V$13,예상등급!$W$5:$W$13),IF(Q5=예상등급!$Y$1,LOOKUP(R5,예상등급!$Y$5:$Y$13,예상등급!$Z$5:$Z$13),IF(Q5=예상등급!$AB$1,LOOKUP(R5,예상등급!$AB$5:$AB$13,예상등급!$AC$5:$AC$13),IF(Q5=예상등급!$AE$1,LOOKUP(R5,예상등급!$AE$5:$AE$13,예상등급!$AF$5:$AF$13),IF(Q5=예상등급!$AH$1,LOOKUP(R5,예상등급!$AH$5:$AH$13,예상등급!$AI$5:$AI$13),IF(Q5=예상등급!$AK$1,LOOKUP(R5,예상등급!$AK$5:$AK$13,예상등급!$AL$5:$AL$13),IF(Q5=예상등급!$AN$1,LOOKUP(R5,예상등급!$AN$5:$AN$13,예상등급!$AO$5:$AO$13),IF(Q5=예상등급!$AQ$1,LOOKUP(R5,예상등급!$AQ$5:$AQ$13,예상등급!$AR$5:$AR$13),IF(Q5=예상등급!$AH$15,LOOKUP(R5,예상등급!$AH$19:$AH$27,예상등급!$AI$19:$AI$27),IF(Q5=예상등급!$AK$15,LOOKUP(R5,예상등급!$AK$19:$AK$27,예상등급!$AL$19:$AL$27),IF(Q5=예상등급!$AN$15,LOOKUP(R5,예상등급!$AN$19:$AN$27,예상등급!$AO$19:$AO$27),IF(Q5=예상등급!$AQ$15,LOOKUP(R5,예상등급!$AQ$19:$AQ$27,예상등급!$AR$19:$AR$27),"")))))))))))))))))</f>
        <v>1</v>
      </c>
      <c r="T5" s="110">
        <v>38</v>
      </c>
      <c r="U5" s="382">
        <f>IF(T5="","",LOOKUP(T5,예상등급!$D$19:$D$27,예상등급!$E$19:$E$27))</f>
        <v>2</v>
      </c>
      <c r="V5" s="402">
        <f>SUM(L5,T5,R5,O5)</f>
        <v>363</v>
      </c>
      <c r="W5" s="278">
        <f>RANK(V5,$V$4:$V$491)</f>
        <v>2</v>
      </c>
      <c r="X5" s="4"/>
      <c r="Y5" s="140">
        <v>440</v>
      </c>
      <c r="Z5" s="141">
        <f>FREQUENCY($V$4:$V$236,AA4:AA39)</f>
        <v>0</v>
      </c>
      <c r="AA5" s="7">
        <v>439</v>
      </c>
      <c r="AC5" s="235">
        <v>2</v>
      </c>
      <c r="AD5" s="246" t="s">
        <v>775</v>
      </c>
      <c r="AE5" s="247">
        <f>COUNTIFS($D$4:$D$491,$AE$3,$F$4:$F$491,AC5)</f>
        <v>10</v>
      </c>
      <c r="AF5" s="233">
        <f>COUNTIFS($D$4:$D$491,$AF$3,$F$4:$F$491,AC5)</f>
        <v>2</v>
      </c>
      <c r="AG5" s="247">
        <f>COUNTIFS($G$4:$G$491,$AG$3,$I$4:$I$491,AC5)</f>
        <v>1</v>
      </c>
      <c r="AH5" s="234">
        <f>COUNTIFS($G$4:$G$491,$AH$3,$I$4:$I$491,AC5)</f>
        <v>16</v>
      </c>
      <c r="AI5" s="233">
        <f>COUNTIFS($G$4:$G$491,$AI$3,$I$4:$I$491,AC5)</f>
        <v>1</v>
      </c>
      <c r="AJ5" s="269">
        <f>COUNTIF($K$4:$K$491,AC5)</f>
        <v>25</v>
      </c>
      <c r="AK5" s="298">
        <f>COUNTIF($U$4:$U$491,AC5)</f>
        <v>17</v>
      </c>
      <c r="AL5" s="247">
        <f>COUNTIFS($N$4:$N$491,$AL$3,$P$4:$P$491,$AC5)+COUNTIFS($Q$4:$Q$491,$AL$3,$S$4:$S$491,$AC5)</f>
        <v>2</v>
      </c>
      <c r="AM5" s="234">
        <f>COUNTIFS($N$4:$N$491,$AM$3,$P$4:$P$491,$AC5)+COUNTIFS($Q$4:$Q$491,$AM$3,$S$4:$S$491,$AC5)</f>
        <v>1</v>
      </c>
      <c r="AN5" s="234">
        <f>COUNTIFS($N$4:$N$491,$AN$3,$P$4:$P$491,$AC5)+COUNTIFS($Q$4:$Q$491,$AN$3,$S$4:$S$491,$AC5)</f>
        <v>0</v>
      </c>
      <c r="AO5" s="102">
        <f>COUNTIFS($N$4:$N$491,$AO$3,$P$4:$P$491,$AC5)+COUNTIFS($Q$4:$Q$491,$AO$3,$S$4:$S$491,$AC5)</f>
        <v>3</v>
      </c>
      <c r="AP5" s="259">
        <f>COUNTIFS($N$4:$N$491,$AP$3,$P$4:$P$491,$AC5)</f>
        <v>0</v>
      </c>
      <c r="AQ5" s="234">
        <f>COUNTIFS($N$4:$N$491,$AQ$3,$P$4:$P$491,$AC5)</f>
        <v>0</v>
      </c>
      <c r="AR5" s="234">
        <f>COUNTIFS($N$4:$N$491,$AR$3,$P$4:$P$491,$AC5)</f>
        <v>0</v>
      </c>
      <c r="AS5" s="233">
        <f>COUNTIFS($N$4:$N$491,$AS$3,$P$4:$P$491,$AC5)</f>
        <v>0</v>
      </c>
      <c r="AT5" s="247">
        <f>COUNTIFS($N$4:$N$491,$AT$3,$P$4:$P$491,$AC5)+COUNTIFS($Q$4:$Q$491,$AT$3,$S$4:$S$491,$AC5)</f>
        <v>0</v>
      </c>
      <c r="AU5" s="234">
        <f>COUNTIFS($N$4:$N$491,$AU$3,$P$4:$P$491,$AC5)+COUNTIFS($Q$4:$Q$491,$AU$3,$S$4:$S$491,$AC5)</f>
        <v>0</v>
      </c>
      <c r="AV5" s="234">
        <f>COUNTIFS($N$4:$N$491,$AV$3,$P$4:$P$491,$AC5)+COUNTIFS($Q$4:$Q$491,$AV$3,$S$4:$S$491,$AC5)</f>
        <v>0</v>
      </c>
      <c r="AW5" s="102">
        <f>COUNTIFS($N$4:$N$491,$AW$3,$P$4:$P$491,$AC5)+COUNTIFS($Q$4:$Q$491,$AW$3,$S$4:$S$491,$AC5)</f>
        <v>0</v>
      </c>
    </row>
    <row r="6" spans="1:49" s="7" customFormat="1" ht="24.95" customHeight="1" x14ac:dyDescent="0.15">
      <c r="A6" s="110">
        <v>4</v>
      </c>
      <c r="B6" s="71">
        <v>7</v>
      </c>
      <c r="C6" s="100" t="s">
        <v>860</v>
      </c>
      <c r="D6" s="110" t="s">
        <v>779</v>
      </c>
      <c r="E6" s="71">
        <v>67</v>
      </c>
      <c r="F6" s="382">
        <f>IF(D6=예상등급!$A$1,LOOKUP(E6,예상등급!$A$5:$A$13,예상등급!$B$5:$B$13),IF(D6=예상등급!$A$15,LOOKUP(E6,예상등급!$A$19:$A$27,예상등급!$B$19:$B$27),""))</f>
        <v>3</v>
      </c>
      <c r="G6" s="110" t="s">
        <v>781</v>
      </c>
      <c r="H6" s="71">
        <v>84</v>
      </c>
      <c r="I6" s="382">
        <f>IF(G6=예상등급!$G$15,LOOKUP(H6,예상등급!$G$19:$G$27,예상등급!$H$19:$H$27),IF(G6=예상등급!$J$15,LOOKUP(H6,예상등급!$J$19:$J$27,예상등급!$K$19:$K$27),IF(G6=예상등급!$M$15,LOOKUP(H6,예상등급!$M$19:$M$27,예상등급!$N$19:$N$27),"")))</f>
        <v>1</v>
      </c>
      <c r="J6" s="110">
        <v>79</v>
      </c>
      <c r="K6" s="382">
        <f>IF(J6="","",(LOOKUP(J6,예상등급!$D$5:$D$13,예상등급!$E$5:$E$13)))</f>
        <v>3</v>
      </c>
      <c r="L6" s="301">
        <f>SUM(E6,H6,J6)</f>
        <v>230</v>
      </c>
      <c r="M6" s="398">
        <f>RANK(L6,$L$4:$L$491)</f>
        <v>9</v>
      </c>
      <c r="N6" s="110" t="s">
        <v>770</v>
      </c>
      <c r="O6" s="71">
        <v>48</v>
      </c>
      <c r="P6" s="385">
        <f>IF(N6=예상등급!$G$1,LOOKUP(O6,예상등급!$G$5:$G$13,예상등급!$H$5:$H$13),IF(N6=예상등급!$J$1,LOOKUP(O6,예상등급!$J$5:$J$13,예상등급!$K$5:$K$13),IF(N6=예상등급!$M$1,LOOKUP(O6,예상등급!$M$5:$M$13,예상등급!$N$5:$N$13),IF(N6=예상등급!$P$1,LOOKUP(O6,예상등급!$P$5:$P$13,예상등급!$Q$5:$Q$13),IF(N6=예상등급!$S$1,LOOKUP(O6,예상등급!$S$5:$S$13,예상등급!$T$5:$T$13),IF(N6=예상등급!$V$1,LOOKUP(O6,예상등급!$V$5:$V$13,예상등급!$W$5:$W$13),IF(N6=예상등급!$Y$1,LOOKUP(O6,예상등급!$Y$5:$Y$13,예상등급!$Z$5:$Z$13),IF(N6=예상등급!$AB$1,LOOKUP(O6,예상등급!$AB$5:$AB$13,예상등급!$AC$5:$AC$13),IF(N6=예상등급!$AE$1,LOOKUP(O6,예상등급!$AE$5:$AE$13,예상등급!$AF$5:$AF$13),IF(N6=예상등급!$AH$1,LOOKUP(O6,예상등급!$AH$5:$AH$13,예상등급!$AI$5:$AI$13),IF(N6=예상등급!$AK$1,LOOKUP(O6,예상등급!$AK$5:$AK$13,예상등급!$AL$5:$AL$13),IF(N6=예상등급!$AN$1,LOOKUP(O6,예상등급!$AN$5:$AN$13,예상등급!$AO$5:$AO$13),IF(N6=예상등급!$AQ$1,LOOKUP(O6,예상등급!$AQ$5:$AQ$13,예상등급!$AR$5:$AR$13),IF(N6=예상등급!$AH$15,LOOKUP(O6,예상등급!$AH$19:$AH$27,예상등급!$AI$19:$AI$27),IF(N6=예상등급!$AK$15,LOOKUP(O6,예상등급!$AK$19:$AK$27,예상등급!$AL$19:$AL$27),IF(N6=예상등급!$AN$15,LOOKUP(O6,예상등급!$AN$19:$AN$27,예상등급!$AO$19:$AO$27),IF(N6=예상등급!$AQ$15,LOOKUP(O6,예상등급!$AQ$19:$AQ$27,예상등급!$AR$19:$AR$27),"")))))))))))))))))</f>
        <v>1</v>
      </c>
      <c r="Q6" s="110" t="s">
        <v>771</v>
      </c>
      <c r="R6" s="71">
        <v>47</v>
      </c>
      <c r="S6" s="385">
        <f>IF(Q6=예상등급!$G$1,LOOKUP(R6,예상등급!$G$5:$G$13,예상등급!$H$5:$H$13),IF(Q6=예상등급!$J$1,LOOKUP(R6,예상등급!$J$5:$J$13,예상등급!$K$5:$K$13),IF(Q6=예상등급!$M$1,LOOKUP(R6,예상등급!$M$5:$M$13,예상등급!$N$5:$N$13),IF(Q6=예상등급!$P$1,LOOKUP(R6,예상등급!$P$5:$P$13,예상등급!$Q$5:$Q$13),IF(Q6=예상등급!$S$1,LOOKUP(R6,예상등급!$S$5:$S$13,예상등급!$T$5:$T$13),IF(Q6=예상등급!$V$1,LOOKUP(R6,예상등급!$V$5:$V$13,예상등급!$W$5:$W$13),IF(Q6=예상등급!$Y$1,LOOKUP(R6,예상등급!$Y$5:$Y$13,예상등급!$Z$5:$Z$13),IF(Q6=예상등급!$AB$1,LOOKUP(R6,예상등급!$AB$5:$AB$13,예상등급!$AC$5:$AC$13),IF(Q6=예상등급!$AE$1,LOOKUP(R6,예상등급!$AE$5:$AE$13,예상등급!$AF$5:$AF$13),IF(Q6=예상등급!$AH$1,LOOKUP(R6,예상등급!$AH$5:$AH$13,예상등급!$AI$5:$AI$13),IF(Q6=예상등급!$AK$1,LOOKUP(R6,예상등급!$AK$5:$AK$13,예상등급!$AL$5:$AL$13),IF(Q6=예상등급!$AN$1,LOOKUP(R6,예상등급!$AN$5:$AN$13,예상등급!$AO$5:$AO$13),IF(Q6=예상등급!$AQ$1,LOOKUP(R6,예상등급!$AQ$5:$AQ$13,예상등급!$AR$5:$AR$13),IF(Q6=예상등급!$AH$15,LOOKUP(R6,예상등급!$AH$19:$AH$27,예상등급!$AI$19:$AI$27),IF(Q6=예상등급!$AK$15,LOOKUP(R6,예상등급!$AK$19:$AK$27,예상등급!$AL$19:$AL$27),IF(Q6=예상등급!$AN$15,LOOKUP(R6,예상등급!$AN$19:$AN$27,예상등급!$AO$19:$AO$27),IF(Q6=예상등급!$AQ$15,LOOKUP(R6,예상등급!$AQ$19:$AQ$27,예상등급!$AR$19:$AR$27),"")))))))))))))))))</f>
        <v>1</v>
      </c>
      <c r="T6" s="110">
        <v>30</v>
      </c>
      <c r="U6" s="382">
        <f>IF(T6="","",LOOKUP(T6,예상등급!$D$19:$D$27,예상등급!$E$19:$E$27))</f>
        <v>3</v>
      </c>
      <c r="V6" s="402">
        <f>SUM(L6,T6,R6,O6)</f>
        <v>355</v>
      </c>
      <c r="W6" s="278">
        <f>RANK(V6,$V$4:$V$491)</f>
        <v>3</v>
      </c>
      <c r="X6" s="4"/>
      <c r="Y6" s="140">
        <v>430</v>
      </c>
      <c r="Z6" s="141">
        <f>FREQUENCY($V$4:$V$236,AA5:AA40)</f>
        <v>0</v>
      </c>
      <c r="AA6" s="7">
        <v>429</v>
      </c>
      <c r="AC6" s="235">
        <v>3</v>
      </c>
      <c r="AD6" s="246" t="s">
        <v>775</v>
      </c>
      <c r="AE6" s="247">
        <f>COUNTIFS($D$4:$D$491,$AE$3,$F$4:$F$491,AC6)</f>
        <v>34</v>
      </c>
      <c r="AF6" s="233">
        <f>COUNTIFS($D$4:$D$491,$AF$3,$F$4:$F$491,AC6)</f>
        <v>4</v>
      </c>
      <c r="AG6" s="247">
        <f>COUNTIFS($G$4:$G$491,$AG$3,$I$4:$I$491,AC6)</f>
        <v>14</v>
      </c>
      <c r="AH6" s="234">
        <f>COUNTIFS($G$4:$G$491,$AH$3,$I$4:$I$491,AC6)</f>
        <v>14</v>
      </c>
      <c r="AI6" s="233">
        <f>COUNTIFS($G$4:$G$491,$AI$3,$I$4:$I$491,AC6)</f>
        <v>1</v>
      </c>
      <c r="AJ6" s="269">
        <f>COUNTIF($K$4:$K$491,AC6)</f>
        <v>53</v>
      </c>
      <c r="AK6" s="298">
        <f>COUNTIF($U$4:$U$491,AC6)</f>
        <v>19</v>
      </c>
      <c r="AL6" s="247">
        <f>COUNTIFS($N$4:$N$491,$AL$3,$P$4:$P$491,$AC6)+COUNTIFS($Q$4:$Q$491,$AL$3,$S$4:$S$491,$AC6)</f>
        <v>4</v>
      </c>
      <c r="AM6" s="234">
        <f>COUNTIFS($N$4:$N$491,$AM$3,$P$4:$P$491,$AC6)+COUNTIFS($Q$4:$Q$491,$AM$3,$S$4:$S$491,$AC6)</f>
        <v>0</v>
      </c>
      <c r="AN6" s="234">
        <f>COUNTIFS($N$4:$N$491,$AN$3,$P$4:$P$491,$AC6)+COUNTIFS($Q$4:$Q$491,$AN$3,$S$4:$S$491,$AC6)</f>
        <v>2</v>
      </c>
      <c r="AO6" s="102">
        <f>COUNTIFS($N$4:$N$491,$AO$3,$P$4:$P$491,$AC6)+COUNTIFS($Q$4:$Q$491,$AO$3,$S$4:$S$491,$AC6)</f>
        <v>5</v>
      </c>
      <c r="AP6" s="259">
        <f>COUNTIFS($N$4:$N$491,$AP$3,$P$4:$P$491,$AC6)</f>
        <v>0</v>
      </c>
      <c r="AQ6" s="234">
        <f>COUNTIFS($N$4:$N$491,$AQ$3,$P$4:$P$491,$AC6)</f>
        <v>0</v>
      </c>
      <c r="AR6" s="234">
        <f>COUNTIFS($N$4:$N$491,$AR$3,$P$4:$P$491,$AC6)</f>
        <v>0</v>
      </c>
      <c r="AS6" s="233">
        <f>COUNTIFS($N$4:$N$491,$AS$3,$P$4:$P$491,$AC6)</f>
        <v>0</v>
      </c>
      <c r="AT6" s="247">
        <f>COUNTIFS($N$4:$N$491,$AT$3,$P$4:$P$491,$AC6)+COUNTIFS($Q$4:$Q$491,$AT$3,$S$4:$S$491,$AC6)</f>
        <v>0</v>
      </c>
      <c r="AU6" s="234">
        <f>COUNTIFS($N$4:$N$491,$AU$3,$P$4:$P$491,$AC6)+COUNTIFS($Q$4:$Q$491,$AU$3,$S$4:$S$491,$AC6)</f>
        <v>0</v>
      </c>
      <c r="AV6" s="234">
        <f>COUNTIFS($N$4:$N$491,$AV$3,$P$4:$P$491,$AC6)+COUNTIFS($Q$4:$Q$491,$AV$3,$S$4:$S$491,$AC6)</f>
        <v>0</v>
      </c>
      <c r="AW6" s="102">
        <f>COUNTIFS($N$4:$N$491,$AW$3,$P$4:$P$491,$AC6)+COUNTIFS($Q$4:$Q$491,$AW$3,$S$4:$S$491,$AC6)</f>
        <v>0</v>
      </c>
    </row>
    <row r="7" spans="1:49" s="7" customFormat="1" ht="24.95" customHeight="1" x14ac:dyDescent="0.15">
      <c r="A7" s="110">
        <v>4</v>
      </c>
      <c r="B7" s="71">
        <v>13</v>
      </c>
      <c r="C7" s="100" t="s">
        <v>866</v>
      </c>
      <c r="D7" s="110" t="s">
        <v>779</v>
      </c>
      <c r="E7" s="71">
        <v>70</v>
      </c>
      <c r="F7" s="382">
        <f>IF(D7=예상등급!$A$1,LOOKUP(E7,예상등급!$A$5:$A$13,예상등급!$B$5:$B$13),IF(D7=예상등급!$A$15,LOOKUP(E7,예상등급!$A$19:$A$27,예상등급!$B$19:$B$27),""))</f>
        <v>3</v>
      </c>
      <c r="G7" s="110" t="s">
        <v>781</v>
      </c>
      <c r="H7" s="71">
        <v>88</v>
      </c>
      <c r="I7" s="382">
        <f>IF(G7=예상등급!$G$15,LOOKUP(H7,예상등급!$G$19:$G$27,예상등급!$H$19:$H$27),IF(G7=예상등급!$J$15,LOOKUP(H7,예상등급!$J$19:$J$27,예상등급!$K$19:$K$27),IF(G7=예상등급!$M$15,LOOKUP(H7,예상등급!$M$19:$M$27,예상등급!$N$19:$N$27),"")))</f>
        <v>1</v>
      </c>
      <c r="J7" s="110">
        <v>78</v>
      </c>
      <c r="K7" s="382">
        <f>IF(J7="","",(LOOKUP(J7,예상등급!$D$5:$D$13,예상등급!$E$5:$E$13)))</f>
        <v>3</v>
      </c>
      <c r="L7" s="301">
        <f>SUM(E7,H7,J7)</f>
        <v>236</v>
      </c>
      <c r="M7" s="398">
        <f>RANK(L7,$L$4:$L$491)</f>
        <v>5</v>
      </c>
      <c r="N7" s="110" t="s">
        <v>768</v>
      </c>
      <c r="O7" s="71">
        <v>38</v>
      </c>
      <c r="P7" s="385">
        <f>IF(N7=예상등급!$G$1,LOOKUP(O7,예상등급!$G$5:$G$13,예상등급!$H$5:$H$13),IF(N7=예상등급!$J$1,LOOKUP(O7,예상등급!$J$5:$J$13,예상등급!$K$5:$K$13),IF(N7=예상등급!$M$1,LOOKUP(O7,예상등급!$M$5:$M$13,예상등급!$N$5:$N$13),IF(N7=예상등급!$P$1,LOOKUP(O7,예상등급!$P$5:$P$13,예상등급!$Q$5:$Q$13),IF(N7=예상등급!$S$1,LOOKUP(O7,예상등급!$S$5:$S$13,예상등급!$T$5:$T$13),IF(N7=예상등급!$V$1,LOOKUP(O7,예상등급!$V$5:$V$13,예상등급!$W$5:$W$13),IF(N7=예상등급!$Y$1,LOOKUP(O7,예상등급!$Y$5:$Y$13,예상등급!$Z$5:$Z$13),IF(N7=예상등급!$AB$1,LOOKUP(O7,예상등급!$AB$5:$AB$13,예상등급!$AC$5:$AC$13),IF(N7=예상등급!$AE$1,LOOKUP(O7,예상등급!$AE$5:$AE$13,예상등급!$AF$5:$AF$13),IF(N7=예상등급!$AH$1,LOOKUP(O7,예상등급!$AH$5:$AH$13,예상등급!$AI$5:$AI$13),IF(N7=예상등급!$AK$1,LOOKUP(O7,예상등급!$AK$5:$AK$13,예상등급!$AL$5:$AL$13),IF(N7=예상등급!$AN$1,LOOKUP(O7,예상등급!$AN$5:$AN$13,예상등급!$AO$5:$AO$13),IF(N7=예상등급!$AQ$1,LOOKUP(O7,예상등급!$AQ$5:$AQ$13,예상등급!$AR$5:$AR$13),IF(N7=예상등급!$AH$15,LOOKUP(O7,예상등급!$AH$19:$AH$27,예상등급!$AI$19:$AI$27),IF(N7=예상등급!$AK$15,LOOKUP(O7,예상등급!$AK$19:$AK$27,예상등급!$AL$19:$AL$27),IF(N7=예상등급!$AN$15,LOOKUP(O7,예상등급!$AN$19:$AN$27,예상등급!$AO$19:$AO$27),IF(N7=예상등급!$AQ$15,LOOKUP(O7,예상등급!$AQ$19:$AQ$27,예상등급!$AR$19:$AR$27),"")))))))))))))))))</f>
        <v>2</v>
      </c>
      <c r="Q7" s="110" t="s">
        <v>771</v>
      </c>
      <c r="R7" s="71">
        <v>34</v>
      </c>
      <c r="S7" s="385">
        <f>IF(Q7=예상등급!$G$1,LOOKUP(R7,예상등급!$G$5:$G$13,예상등급!$H$5:$H$13),IF(Q7=예상등급!$J$1,LOOKUP(R7,예상등급!$J$5:$J$13,예상등급!$K$5:$K$13),IF(Q7=예상등급!$M$1,LOOKUP(R7,예상등급!$M$5:$M$13,예상등급!$N$5:$N$13),IF(Q7=예상등급!$P$1,LOOKUP(R7,예상등급!$P$5:$P$13,예상등급!$Q$5:$Q$13),IF(Q7=예상등급!$S$1,LOOKUP(R7,예상등급!$S$5:$S$13,예상등급!$T$5:$T$13),IF(Q7=예상등급!$V$1,LOOKUP(R7,예상등급!$V$5:$V$13,예상등급!$W$5:$W$13),IF(Q7=예상등급!$Y$1,LOOKUP(R7,예상등급!$Y$5:$Y$13,예상등급!$Z$5:$Z$13),IF(Q7=예상등급!$AB$1,LOOKUP(R7,예상등급!$AB$5:$AB$13,예상등급!$AC$5:$AC$13),IF(Q7=예상등급!$AE$1,LOOKUP(R7,예상등급!$AE$5:$AE$13,예상등급!$AF$5:$AF$13),IF(Q7=예상등급!$AH$1,LOOKUP(R7,예상등급!$AH$5:$AH$13,예상등급!$AI$5:$AI$13),IF(Q7=예상등급!$AK$1,LOOKUP(R7,예상등급!$AK$5:$AK$13,예상등급!$AL$5:$AL$13),IF(Q7=예상등급!$AN$1,LOOKUP(R7,예상등급!$AN$5:$AN$13,예상등급!$AO$5:$AO$13),IF(Q7=예상등급!$AQ$1,LOOKUP(R7,예상등급!$AQ$5:$AQ$13,예상등급!$AR$5:$AR$13),IF(Q7=예상등급!$AH$15,LOOKUP(R7,예상등급!$AH$19:$AH$27,예상등급!$AI$19:$AI$27),IF(Q7=예상등급!$AK$15,LOOKUP(R7,예상등급!$AK$19:$AK$27,예상등급!$AL$19:$AL$27),IF(Q7=예상등급!$AN$15,LOOKUP(R7,예상등급!$AN$19:$AN$27,예상등급!$AO$19:$AO$27),IF(Q7=예상등급!$AQ$15,LOOKUP(R7,예상등급!$AQ$19:$AQ$27,예상등급!$AR$19:$AR$27),"")))))))))))))))))</f>
        <v>3</v>
      </c>
      <c r="T7" s="110">
        <v>47</v>
      </c>
      <c r="U7" s="382">
        <f>IF(T7="","",LOOKUP(T7,예상등급!$D$19:$D$27,예상등급!$E$19:$E$27))</f>
        <v>1</v>
      </c>
      <c r="V7" s="402">
        <f>SUM(L7,T7,R7,O7)</f>
        <v>355</v>
      </c>
      <c r="W7" s="278">
        <f>RANK(V7,$V$4:$V$491)</f>
        <v>3</v>
      </c>
      <c r="X7" s="4"/>
      <c r="Y7" s="140">
        <v>420</v>
      </c>
      <c r="Z7" s="141">
        <f>FREQUENCY($V$4:$V$236,AA6:AA41)</f>
        <v>0</v>
      </c>
      <c r="AA7" s="7">
        <v>419</v>
      </c>
      <c r="AC7" s="235">
        <v>4</v>
      </c>
      <c r="AD7" s="246" t="s">
        <v>775</v>
      </c>
      <c r="AE7" s="247">
        <f>COUNTIFS($D$4:$D$491,$AE$3,$F$4:$F$491,AC7)</f>
        <v>71</v>
      </c>
      <c r="AF7" s="233">
        <f>COUNTIFS($D$4:$D$491,$AF$3,$F$4:$F$491,AC7)</f>
        <v>3</v>
      </c>
      <c r="AG7" s="247">
        <f>COUNTIFS($G$4:$G$491,$AG$3,$I$4:$I$491,AC7)</f>
        <v>11</v>
      </c>
      <c r="AH7" s="234">
        <f>COUNTIFS($G$4:$G$491,$AH$3,$I$4:$I$491,AC7)</f>
        <v>16</v>
      </c>
      <c r="AI7" s="233">
        <f>COUNTIFS($G$4:$G$491,$AI$3,$I$4:$I$491,AC7)</f>
        <v>0</v>
      </c>
      <c r="AJ7" s="269">
        <f>COUNTIF($K$4:$K$491,AC7)</f>
        <v>61</v>
      </c>
      <c r="AK7" s="298">
        <f>COUNTIF($U$4:$U$491,AC7)</f>
        <v>30</v>
      </c>
      <c r="AL7" s="247">
        <f>COUNTIFS($N$4:$N$491,$AL$3,$P$4:$P$491,$AC7)+COUNTIFS($Q$4:$Q$491,$AL$3,$S$4:$S$491,$AC7)</f>
        <v>4</v>
      </c>
      <c r="AM7" s="234">
        <f>COUNTIFS($N$4:$N$491,$AM$3,$P$4:$P$491,$AC7)+COUNTIFS($Q$4:$Q$491,$AM$3,$S$4:$S$491,$AC7)</f>
        <v>2</v>
      </c>
      <c r="AN7" s="234">
        <f>COUNTIFS($N$4:$N$491,$AN$3,$P$4:$P$491,$AC7)+COUNTIFS($Q$4:$Q$491,$AN$3,$S$4:$S$491,$AC7)</f>
        <v>4</v>
      </c>
      <c r="AO7" s="102">
        <f>COUNTIFS($N$4:$N$491,$AO$3,$P$4:$P$491,$AC7)+COUNTIFS($Q$4:$Q$491,$AO$3,$S$4:$S$491,$AC7)</f>
        <v>5</v>
      </c>
      <c r="AP7" s="259">
        <f>COUNTIFS($N$4:$N$491,$AP$3,$P$4:$P$491,$AC7)</f>
        <v>0</v>
      </c>
      <c r="AQ7" s="234">
        <f>COUNTIFS($N$4:$N$491,$AQ$3,$P$4:$P$491,$AC7)</f>
        <v>0</v>
      </c>
      <c r="AR7" s="234">
        <f>COUNTIFS($N$4:$N$491,$AR$3,$P$4:$P$491,$AC7)</f>
        <v>0</v>
      </c>
      <c r="AS7" s="233">
        <f>COUNTIFS($N$4:$N$491,$AS$3,$P$4:$P$491,$AC7)</f>
        <v>0</v>
      </c>
      <c r="AT7" s="247">
        <f>COUNTIFS($N$4:$N$491,$AT$3,$P$4:$P$491,$AC7)+COUNTIFS($Q$4:$Q$491,$AT$3,$S$4:$S$491,$AC7)</f>
        <v>0</v>
      </c>
      <c r="AU7" s="234">
        <f>COUNTIFS($N$4:$N$491,$AU$3,$P$4:$P$491,$AC7)+COUNTIFS($Q$4:$Q$491,$AU$3,$S$4:$S$491,$AC7)</f>
        <v>0</v>
      </c>
      <c r="AV7" s="234">
        <f>COUNTIFS($N$4:$N$491,$AV$3,$P$4:$P$491,$AC7)+COUNTIFS($Q$4:$Q$491,$AV$3,$S$4:$S$491,$AC7)</f>
        <v>0</v>
      </c>
      <c r="AW7" s="102">
        <f>COUNTIFS($N$4:$N$491,$AW$3,$P$4:$P$491,$AC7)+COUNTIFS($Q$4:$Q$491,$AW$3,$S$4:$S$491,$AC7)</f>
        <v>0</v>
      </c>
    </row>
    <row r="8" spans="1:49" s="7" customFormat="1" ht="24.95" customHeight="1" x14ac:dyDescent="0.15">
      <c r="A8" s="110">
        <v>3</v>
      </c>
      <c r="B8" s="71">
        <v>20</v>
      </c>
      <c r="C8" s="100" t="s">
        <v>797</v>
      </c>
      <c r="D8" s="110" t="s">
        <v>779</v>
      </c>
      <c r="E8" s="71">
        <v>70</v>
      </c>
      <c r="F8" s="382">
        <f>IF(D8=예상등급!$A$1,LOOKUP(E8,예상등급!$A$5:$A$13,예상등급!$B$5:$B$13),IF(D8=예상등급!$A$15,LOOKUP(E8,예상등급!$A$19:$A$27,예상등급!$B$19:$B$27),""))</f>
        <v>3</v>
      </c>
      <c r="G8" s="110" t="s">
        <v>781</v>
      </c>
      <c r="H8" s="71">
        <v>70</v>
      </c>
      <c r="I8" s="382">
        <f>IF(G8=예상등급!$G$15,LOOKUP(H8,예상등급!$G$19:$G$27,예상등급!$H$19:$H$27),IF(G8=예상등급!$J$15,LOOKUP(H8,예상등급!$J$19:$J$27,예상등급!$K$19:$K$27),IF(G8=예상등급!$M$15,LOOKUP(H8,예상등급!$M$19:$M$27,예상등급!$N$19:$N$27),"")))</f>
        <v>3</v>
      </c>
      <c r="J8" s="110">
        <v>97</v>
      </c>
      <c r="K8" s="382">
        <f>IF(J8="","",(LOOKUP(J8,예상등급!$D$5:$D$13,예상등급!$E$5:$E$13)))</f>
        <v>1</v>
      </c>
      <c r="L8" s="301">
        <f>SUM(E8,H8,J8)</f>
        <v>237</v>
      </c>
      <c r="M8" s="398">
        <f>RANK(L8,$L$4:$L$491)</f>
        <v>3</v>
      </c>
      <c r="N8" s="110" t="s">
        <v>765</v>
      </c>
      <c r="O8" s="71">
        <v>37</v>
      </c>
      <c r="P8" s="385">
        <f>IF(N8=예상등급!$G$1,LOOKUP(O8,예상등급!$G$5:$G$13,예상등급!$H$5:$H$13),IF(N8=예상등급!$J$1,LOOKUP(O8,예상등급!$J$5:$J$13,예상등급!$K$5:$K$13),IF(N8=예상등급!$M$1,LOOKUP(O8,예상등급!$M$5:$M$13,예상등급!$N$5:$N$13),IF(N8=예상등급!$P$1,LOOKUP(O8,예상등급!$P$5:$P$13,예상등급!$Q$5:$Q$13),IF(N8=예상등급!$S$1,LOOKUP(O8,예상등급!$S$5:$S$13,예상등급!$T$5:$T$13),IF(N8=예상등급!$V$1,LOOKUP(O8,예상등급!$V$5:$V$13,예상등급!$W$5:$W$13),IF(N8=예상등급!$Y$1,LOOKUP(O8,예상등급!$Y$5:$Y$13,예상등급!$Z$5:$Z$13),IF(N8=예상등급!$AB$1,LOOKUP(O8,예상등급!$AB$5:$AB$13,예상등급!$AC$5:$AC$13),IF(N8=예상등급!$AE$1,LOOKUP(O8,예상등급!$AE$5:$AE$13,예상등급!$AF$5:$AF$13),IF(N8=예상등급!$AH$1,LOOKUP(O8,예상등급!$AH$5:$AH$13,예상등급!$AI$5:$AI$13),IF(N8=예상등급!$AK$1,LOOKUP(O8,예상등급!$AK$5:$AK$13,예상등급!$AL$5:$AL$13),IF(N8=예상등급!$AN$1,LOOKUP(O8,예상등급!$AN$5:$AN$13,예상등급!$AO$5:$AO$13),IF(N8=예상등급!$AQ$1,LOOKUP(O8,예상등급!$AQ$5:$AQ$13,예상등급!$AR$5:$AR$13),IF(N8=예상등급!$AH$15,LOOKUP(O8,예상등급!$AH$19:$AH$27,예상등급!$AI$19:$AI$27),IF(N8=예상등급!$AK$15,LOOKUP(O8,예상등급!$AK$19:$AK$27,예상등급!$AL$19:$AL$27),IF(N8=예상등급!$AN$15,LOOKUP(O8,예상등급!$AN$19:$AN$27,예상등급!$AO$19:$AO$27),IF(N8=예상등급!$AQ$15,LOOKUP(O8,예상등급!$AQ$19:$AQ$27,예상등급!$AR$19:$AR$27),"")))))))))))))))))</f>
        <v>2</v>
      </c>
      <c r="Q8" s="110" t="s">
        <v>762</v>
      </c>
      <c r="R8" s="71">
        <v>36</v>
      </c>
      <c r="S8" s="385">
        <f>IF(Q8=예상등급!$G$1,LOOKUP(R8,예상등급!$G$5:$G$13,예상등급!$H$5:$H$13),IF(Q8=예상등급!$J$1,LOOKUP(R8,예상등급!$J$5:$J$13,예상등급!$K$5:$K$13),IF(Q8=예상등급!$M$1,LOOKUP(R8,예상등급!$M$5:$M$13,예상등급!$N$5:$N$13),IF(Q8=예상등급!$P$1,LOOKUP(R8,예상등급!$P$5:$P$13,예상등급!$Q$5:$Q$13),IF(Q8=예상등급!$S$1,LOOKUP(R8,예상등급!$S$5:$S$13,예상등급!$T$5:$T$13),IF(Q8=예상등급!$V$1,LOOKUP(R8,예상등급!$V$5:$V$13,예상등급!$W$5:$W$13),IF(Q8=예상등급!$Y$1,LOOKUP(R8,예상등급!$Y$5:$Y$13,예상등급!$Z$5:$Z$13),IF(Q8=예상등급!$AB$1,LOOKUP(R8,예상등급!$AB$5:$AB$13,예상등급!$AC$5:$AC$13),IF(Q8=예상등급!$AE$1,LOOKUP(R8,예상등급!$AE$5:$AE$13,예상등급!$AF$5:$AF$13),IF(Q8=예상등급!$AH$1,LOOKUP(R8,예상등급!$AH$5:$AH$13,예상등급!$AI$5:$AI$13),IF(Q8=예상등급!$AK$1,LOOKUP(R8,예상등급!$AK$5:$AK$13,예상등급!$AL$5:$AL$13),IF(Q8=예상등급!$AN$1,LOOKUP(R8,예상등급!$AN$5:$AN$13,예상등급!$AO$5:$AO$13),IF(Q8=예상등급!$AQ$1,LOOKUP(R8,예상등급!$AQ$5:$AQ$13,예상등급!$AR$5:$AR$13),IF(Q8=예상등급!$AH$15,LOOKUP(R8,예상등급!$AH$19:$AH$27,예상등급!$AI$19:$AI$27),IF(Q8=예상등급!$AK$15,LOOKUP(R8,예상등급!$AK$19:$AK$27,예상등급!$AL$19:$AL$27),IF(Q8=예상등급!$AN$15,LOOKUP(R8,예상등급!$AN$19:$AN$27,예상등급!$AO$19:$AO$27),IF(Q8=예상등급!$AQ$15,LOOKUP(R8,예상등급!$AQ$19:$AQ$27,예상등급!$AR$19:$AR$27),"")))))))))))))))))</f>
        <v>3</v>
      </c>
      <c r="T8" s="110">
        <v>44</v>
      </c>
      <c r="U8" s="382">
        <f>IF(T8="","",LOOKUP(T8,예상등급!$D$19:$D$27,예상등급!$E$19:$E$27))</f>
        <v>1</v>
      </c>
      <c r="V8" s="402">
        <f>SUM(L8,T8,R8,O8)</f>
        <v>354</v>
      </c>
      <c r="W8" s="278">
        <f>RANK(V8,$V$4:$V$491)</f>
        <v>5</v>
      </c>
      <c r="X8" s="4"/>
      <c r="Y8" s="140">
        <v>410</v>
      </c>
      <c r="Z8" s="141">
        <f>FREQUENCY($V$4:$V$236,AA7:AA42)</f>
        <v>0</v>
      </c>
      <c r="AA8" s="7">
        <v>409</v>
      </c>
      <c r="AC8" s="235">
        <v>5</v>
      </c>
      <c r="AD8" s="246" t="s">
        <v>775</v>
      </c>
      <c r="AE8" s="247">
        <f>COUNTIFS($D$4:$D$491,$AE$3,$F$4:$F$491,AC8)</f>
        <v>42</v>
      </c>
      <c r="AF8" s="233">
        <f>COUNTIFS($D$4:$D$491,$AF$3,$F$4:$F$491,AC8)</f>
        <v>0</v>
      </c>
      <c r="AG8" s="247">
        <f>COUNTIFS($G$4:$G$491,$AG$3,$I$4:$I$491,AC8)</f>
        <v>51</v>
      </c>
      <c r="AH8" s="234">
        <f>COUNTIFS($G$4:$G$491,$AH$3,$I$4:$I$491,AC8)</f>
        <v>14</v>
      </c>
      <c r="AI8" s="233">
        <f>COUNTIFS($G$4:$G$491,$AI$3,$I$4:$I$491,AC8)</f>
        <v>1</v>
      </c>
      <c r="AJ8" s="269">
        <f>COUNTIF($K$4:$K$491,AC8)</f>
        <v>34</v>
      </c>
      <c r="AK8" s="298">
        <f>COUNTIF($U$4:$U$491,AC8)</f>
        <v>35</v>
      </c>
      <c r="AL8" s="247">
        <f>COUNTIFS($N$4:$N$491,$AL$3,$P$4:$P$491,$AC8)+COUNTIFS($Q$4:$Q$491,$AL$3,$S$4:$S$491,$AC8)</f>
        <v>5</v>
      </c>
      <c r="AM8" s="234">
        <f>COUNTIFS($N$4:$N$491,$AM$3,$P$4:$P$491,$AC8)+COUNTIFS($Q$4:$Q$491,$AM$3,$S$4:$S$491,$AC8)</f>
        <v>0</v>
      </c>
      <c r="AN8" s="234">
        <f>COUNTIFS($N$4:$N$491,$AN$3,$P$4:$P$491,$AC8)+COUNTIFS($Q$4:$Q$491,$AN$3,$S$4:$S$491,$AC8)</f>
        <v>6</v>
      </c>
      <c r="AO8" s="102">
        <f>COUNTIFS($N$4:$N$491,$AO$3,$P$4:$P$491,$AC8)+COUNTIFS($Q$4:$Q$491,$AO$3,$S$4:$S$491,$AC8)</f>
        <v>5</v>
      </c>
      <c r="AP8" s="259">
        <f>COUNTIFS($N$4:$N$491,$AP$3,$P$4:$P$491,$AC8)</f>
        <v>0</v>
      </c>
      <c r="AQ8" s="234">
        <f>COUNTIFS($N$4:$N$491,$AQ$3,$P$4:$P$491,$AC8)</f>
        <v>0</v>
      </c>
      <c r="AR8" s="234">
        <f>COUNTIFS($N$4:$N$491,$AR$3,$P$4:$P$491,$AC8)</f>
        <v>0</v>
      </c>
      <c r="AS8" s="233">
        <f>COUNTIFS($N$4:$N$491,$AS$3,$P$4:$P$491,$AC8)</f>
        <v>0</v>
      </c>
      <c r="AT8" s="247">
        <f>COUNTIFS($N$4:$N$491,$AT$3,$P$4:$P$491,$AC8)+COUNTIFS($Q$4:$Q$491,$AT$3,$S$4:$S$491,$AC8)</f>
        <v>0</v>
      </c>
      <c r="AU8" s="234">
        <f>COUNTIFS($N$4:$N$491,$AU$3,$P$4:$P$491,$AC8)+COUNTIFS($Q$4:$Q$491,$AU$3,$S$4:$S$491,$AC8)</f>
        <v>0</v>
      </c>
      <c r="AV8" s="234">
        <f>COUNTIFS($N$4:$N$491,$AV$3,$P$4:$P$491,$AC8)+COUNTIFS($Q$4:$Q$491,$AV$3,$S$4:$S$491,$AC8)</f>
        <v>0</v>
      </c>
      <c r="AW8" s="102">
        <f>COUNTIFS($N$4:$N$491,$AW$3,$P$4:$P$491,$AC8)+COUNTIFS($Q$4:$Q$491,$AW$3,$S$4:$S$491,$AC8)</f>
        <v>0</v>
      </c>
    </row>
    <row r="9" spans="1:49" s="7" customFormat="1" ht="24.95" customHeight="1" thickBot="1" x14ac:dyDescent="0.2">
      <c r="A9" s="110">
        <v>7</v>
      </c>
      <c r="B9" s="71">
        <v>25</v>
      </c>
      <c r="C9" s="100" t="s">
        <v>937</v>
      </c>
      <c r="D9" s="110" t="s">
        <v>779</v>
      </c>
      <c r="E9" s="71">
        <v>91</v>
      </c>
      <c r="F9" s="382">
        <f>IF(D9=예상등급!$A$1,LOOKUP(E9,예상등급!$A$5:$A$13,예상등급!$B$5:$B$13),IF(D9=예상등급!$A$15,LOOKUP(E9,예상등급!$A$19:$A$27,예상등급!$B$19:$B$27),""))</f>
        <v>1</v>
      </c>
      <c r="G9" s="110" t="s">
        <v>781</v>
      </c>
      <c r="H9" s="71">
        <v>70</v>
      </c>
      <c r="I9" s="382">
        <f>IF(G9=예상등급!$G$15,LOOKUP(H9,예상등급!$G$19:$G$27,예상등급!$H$19:$H$27),IF(G9=예상등급!$J$15,LOOKUP(H9,예상등급!$J$19:$J$27,예상등급!$K$19:$K$27),IF(G9=예상등급!$M$15,LOOKUP(H9,예상등급!$M$19:$M$27,예상등급!$N$19:$N$27),"")))</f>
        <v>3</v>
      </c>
      <c r="J9" s="110">
        <v>97</v>
      </c>
      <c r="K9" s="382">
        <f>IF(J9="","",(LOOKUP(J9,예상등급!$D$5:$D$13,예상등급!$E$5:$E$13)))</f>
        <v>1</v>
      </c>
      <c r="L9" s="301">
        <f>SUM(E9,H9,J9)</f>
        <v>258</v>
      </c>
      <c r="M9" s="398">
        <f>RANK(L9,$L$4:$L$491)</f>
        <v>1</v>
      </c>
      <c r="N9" s="110" t="s">
        <v>770</v>
      </c>
      <c r="O9" s="71">
        <v>26</v>
      </c>
      <c r="P9" s="385">
        <f>IF(N9=예상등급!$G$1,LOOKUP(O9,예상등급!$G$5:$G$13,예상등급!$H$5:$H$13),IF(N9=예상등급!$J$1,LOOKUP(O9,예상등급!$J$5:$J$13,예상등급!$K$5:$K$13),IF(N9=예상등급!$M$1,LOOKUP(O9,예상등급!$M$5:$M$13,예상등급!$N$5:$N$13),IF(N9=예상등급!$P$1,LOOKUP(O9,예상등급!$P$5:$P$13,예상등급!$Q$5:$Q$13),IF(N9=예상등급!$S$1,LOOKUP(O9,예상등급!$S$5:$S$13,예상등급!$T$5:$T$13),IF(N9=예상등급!$V$1,LOOKUP(O9,예상등급!$V$5:$V$13,예상등급!$W$5:$W$13),IF(N9=예상등급!$Y$1,LOOKUP(O9,예상등급!$Y$5:$Y$13,예상등급!$Z$5:$Z$13),IF(N9=예상등급!$AB$1,LOOKUP(O9,예상등급!$AB$5:$AB$13,예상등급!$AC$5:$AC$13),IF(N9=예상등급!$AE$1,LOOKUP(O9,예상등급!$AE$5:$AE$13,예상등급!$AF$5:$AF$13),IF(N9=예상등급!$AH$1,LOOKUP(O9,예상등급!$AH$5:$AH$13,예상등급!$AI$5:$AI$13),IF(N9=예상등급!$AK$1,LOOKUP(O9,예상등급!$AK$5:$AK$13,예상등급!$AL$5:$AL$13),IF(N9=예상등급!$AN$1,LOOKUP(O9,예상등급!$AN$5:$AN$13,예상등급!$AO$5:$AO$13),IF(N9=예상등급!$AQ$1,LOOKUP(O9,예상등급!$AQ$5:$AQ$13,예상등급!$AR$5:$AR$13),IF(N9=예상등급!$AH$15,LOOKUP(O9,예상등급!$AH$19:$AH$27,예상등급!$AI$19:$AI$27),IF(N9=예상등급!$AK$15,LOOKUP(O9,예상등급!$AK$19:$AK$27,예상등급!$AL$19:$AL$27),IF(N9=예상등급!$AN$15,LOOKUP(O9,예상등급!$AN$19:$AN$27,예상등급!$AO$19:$AO$27),IF(N9=예상등급!$AQ$15,LOOKUP(O9,예상등급!$AQ$19:$AQ$27,예상등급!$AR$19:$AR$27),"")))))))))))))))))</f>
        <v>4</v>
      </c>
      <c r="Q9" s="110" t="s">
        <v>771</v>
      </c>
      <c r="R9" s="71">
        <v>23</v>
      </c>
      <c r="S9" s="385">
        <f>IF(Q9=예상등급!$G$1,LOOKUP(R9,예상등급!$G$5:$G$13,예상등급!$H$5:$H$13),IF(Q9=예상등급!$J$1,LOOKUP(R9,예상등급!$J$5:$J$13,예상등급!$K$5:$K$13),IF(Q9=예상등급!$M$1,LOOKUP(R9,예상등급!$M$5:$M$13,예상등급!$N$5:$N$13),IF(Q9=예상등급!$P$1,LOOKUP(R9,예상등급!$P$5:$P$13,예상등급!$Q$5:$Q$13),IF(Q9=예상등급!$S$1,LOOKUP(R9,예상등급!$S$5:$S$13,예상등급!$T$5:$T$13),IF(Q9=예상등급!$V$1,LOOKUP(R9,예상등급!$V$5:$V$13,예상등급!$W$5:$W$13),IF(Q9=예상등급!$Y$1,LOOKUP(R9,예상등급!$Y$5:$Y$13,예상등급!$Z$5:$Z$13),IF(Q9=예상등급!$AB$1,LOOKUP(R9,예상등급!$AB$5:$AB$13,예상등급!$AC$5:$AC$13),IF(Q9=예상등급!$AE$1,LOOKUP(R9,예상등급!$AE$5:$AE$13,예상등급!$AF$5:$AF$13),IF(Q9=예상등급!$AH$1,LOOKUP(R9,예상등급!$AH$5:$AH$13,예상등급!$AI$5:$AI$13),IF(Q9=예상등급!$AK$1,LOOKUP(R9,예상등급!$AK$5:$AK$13,예상등급!$AL$5:$AL$13),IF(Q9=예상등급!$AN$1,LOOKUP(R9,예상등급!$AN$5:$AN$13,예상등급!$AO$5:$AO$13),IF(Q9=예상등급!$AQ$1,LOOKUP(R9,예상등급!$AQ$5:$AQ$13,예상등급!$AR$5:$AR$13),IF(Q9=예상등급!$AH$15,LOOKUP(R9,예상등급!$AH$19:$AH$27,예상등급!$AI$19:$AI$27),IF(Q9=예상등급!$AK$15,LOOKUP(R9,예상등급!$AK$19:$AK$27,예상등급!$AL$19:$AL$27),IF(Q9=예상등급!$AN$15,LOOKUP(R9,예상등급!$AN$19:$AN$27,예상등급!$AO$19:$AO$27),IF(Q9=예상등급!$AQ$15,LOOKUP(R9,예상등급!$AQ$19:$AQ$27,예상등급!$AR$19:$AR$27),"")))))))))))))))))</f>
        <v>4</v>
      </c>
      <c r="T9" s="110">
        <v>42</v>
      </c>
      <c r="U9" s="382">
        <f>IF(T9="","",LOOKUP(T9,예상등급!$D$19:$D$27,예상등급!$E$19:$E$27))</f>
        <v>1</v>
      </c>
      <c r="V9" s="402">
        <f>SUM(L9,T9,R9,O9)</f>
        <v>349</v>
      </c>
      <c r="W9" s="278">
        <f>RANK(V9,$V$4:$V$491)</f>
        <v>6</v>
      </c>
      <c r="X9" s="4"/>
      <c r="Y9" s="142">
        <v>400</v>
      </c>
      <c r="Z9" s="143">
        <f>FREQUENCY($V$4:$V$236,AA8:AA43)</f>
        <v>0</v>
      </c>
      <c r="AA9" s="7">
        <v>399</v>
      </c>
      <c r="AC9" s="235">
        <v>6</v>
      </c>
      <c r="AD9" s="246" t="s">
        <v>775</v>
      </c>
      <c r="AE9" s="247">
        <f>COUNTIFS($D$4:$D$491,$AE$3,$F$4:$F$491,AC9)</f>
        <v>38</v>
      </c>
      <c r="AF9" s="233">
        <f>COUNTIFS($D$4:$D$491,$AF$3,$F$4:$F$491,AC9)</f>
        <v>0</v>
      </c>
      <c r="AG9" s="247">
        <f>COUNTIFS($G$4:$G$491,$AG$3,$I$4:$I$491,AC9)</f>
        <v>15</v>
      </c>
      <c r="AH9" s="234">
        <f>COUNTIFS($G$4:$G$491,$AH$3,$I$4:$I$491,AC9)</f>
        <v>1</v>
      </c>
      <c r="AI9" s="233">
        <f>COUNTIFS($G$4:$G$491,$AI$3,$I$4:$I$491,AC9)</f>
        <v>0</v>
      </c>
      <c r="AJ9" s="269">
        <f>COUNTIF($K$4:$K$491,AC9)</f>
        <v>24</v>
      </c>
      <c r="AK9" s="298">
        <f>COUNTIF($U$4:$U$491,AC9)</f>
        <v>49</v>
      </c>
      <c r="AL9" s="247">
        <f>COUNTIFS($N$4:$N$491,$AL$3,$P$4:$P$491,$AC9)+COUNTIFS($Q$4:$Q$491,$AL$3,$S$4:$S$491,$AC9)</f>
        <v>2</v>
      </c>
      <c r="AM9" s="234">
        <f>COUNTIFS($N$4:$N$491,$AM$3,$P$4:$P$491,$AC9)+COUNTIFS($Q$4:$Q$491,$AM$3,$S$4:$S$491,$AC9)</f>
        <v>0</v>
      </c>
      <c r="AN9" s="234">
        <f>COUNTIFS($N$4:$N$491,$AN$3,$P$4:$P$491,$AC9)+COUNTIFS($Q$4:$Q$491,$AN$3,$S$4:$S$491,$AC9)</f>
        <v>2</v>
      </c>
      <c r="AO9" s="102">
        <f>COUNTIFS($N$4:$N$491,$AO$3,$P$4:$P$491,$AC9)+COUNTIFS($Q$4:$Q$491,$AO$3,$S$4:$S$491,$AC9)</f>
        <v>2</v>
      </c>
      <c r="AP9" s="259">
        <f>COUNTIFS($N$4:$N$491,$AP$3,$P$4:$P$491,$AC9)</f>
        <v>0</v>
      </c>
      <c r="AQ9" s="234">
        <f>COUNTIFS($N$4:$N$491,$AQ$3,$P$4:$P$491,$AC9)</f>
        <v>0</v>
      </c>
      <c r="AR9" s="234">
        <f>COUNTIFS($N$4:$N$491,$AR$3,$P$4:$P$491,$AC9)</f>
        <v>0</v>
      </c>
      <c r="AS9" s="233">
        <f>COUNTIFS($N$4:$N$491,$AS$3,$P$4:$P$491,$AC9)</f>
        <v>0</v>
      </c>
      <c r="AT9" s="247">
        <f>COUNTIFS($N$4:$N$491,$AT$3,$P$4:$P$491,$AC9)+COUNTIFS($Q$4:$Q$491,$AT$3,$S$4:$S$491,$AC9)</f>
        <v>0</v>
      </c>
      <c r="AU9" s="234">
        <f>COUNTIFS($N$4:$N$491,$AU$3,$P$4:$P$491,$AC9)+COUNTIFS($Q$4:$Q$491,$AU$3,$S$4:$S$491,$AC9)</f>
        <v>0</v>
      </c>
      <c r="AV9" s="234">
        <f>COUNTIFS($N$4:$N$491,$AV$3,$P$4:$P$491,$AC9)+COUNTIFS($Q$4:$Q$491,$AV$3,$S$4:$S$491,$AC9)</f>
        <v>0</v>
      </c>
      <c r="AW9" s="102">
        <f>COUNTIFS($N$4:$N$491,$AW$3,$P$4:$P$491,$AC9)+COUNTIFS($Q$4:$Q$491,$AW$3,$S$4:$S$491,$AC9)</f>
        <v>0</v>
      </c>
    </row>
    <row r="10" spans="1:49" s="7" customFormat="1" ht="24.95" customHeight="1" x14ac:dyDescent="0.15">
      <c r="A10" s="110">
        <v>9</v>
      </c>
      <c r="B10" s="71">
        <v>11</v>
      </c>
      <c r="C10" s="100" t="s">
        <v>969</v>
      </c>
      <c r="D10" s="110" t="s">
        <v>778</v>
      </c>
      <c r="E10" s="71">
        <v>77</v>
      </c>
      <c r="F10" s="382">
        <f>IF(D10=예상등급!$A$1,LOOKUP(E10,예상등급!$A$5:$A$13,예상등급!$B$5:$B$13),IF(D10=예상등급!$A$15,LOOKUP(E10,예상등급!$A$19:$A$27,예상등급!$B$19:$B$27),""))</f>
        <v>1</v>
      </c>
      <c r="G10" s="110" t="s">
        <v>780</v>
      </c>
      <c r="H10" s="71">
        <v>53</v>
      </c>
      <c r="I10" s="382">
        <f>IF(G10=예상등급!$G$15,LOOKUP(H10,예상등급!$G$19:$G$27,예상등급!$H$19:$H$27),IF(G10=예상등급!$J$15,LOOKUP(H10,예상등급!$J$19:$J$27,예상등급!$K$19:$K$27),IF(G10=예상등급!$M$15,LOOKUP(H10,예상등급!$M$19:$M$27,예상등급!$N$19:$N$27),"")))</f>
        <v>5</v>
      </c>
      <c r="J10" s="110">
        <v>92</v>
      </c>
      <c r="K10" s="382">
        <f>IF(J10="","",(LOOKUP(J10,예상등급!$D$5:$D$13,예상등급!$E$5:$E$13)))</f>
        <v>1</v>
      </c>
      <c r="L10" s="301">
        <f>SUM(E10,H10,J10)</f>
        <v>222</v>
      </c>
      <c r="M10" s="398">
        <f>RANK(L10,$L$4:$L$491)</f>
        <v>15</v>
      </c>
      <c r="N10" s="110" t="s">
        <v>772</v>
      </c>
      <c r="O10" s="71">
        <v>47</v>
      </c>
      <c r="P10" s="385">
        <f>IF(N10=예상등급!$G$1,LOOKUP(O10,예상등급!$G$5:$G$13,예상등급!$H$5:$H$13),IF(N10=예상등급!$J$1,LOOKUP(O10,예상등급!$J$5:$J$13,예상등급!$K$5:$K$13),IF(N10=예상등급!$M$1,LOOKUP(O10,예상등급!$M$5:$M$13,예상등급!$N$5:$N$13),IF(N10=예상등급!$P$1,LOOKUP(O10,예상등급!$P$5:$P$13,예상등급!$Q$5:$Q$13),IF(N10=예상등급!$S$1,LOOKUP(O10,예상등급!$S$5:$S$13,예상등급!$T$5:$T$13),IF(N10=예상등급!$V$1,LOOKUP(O10,예상등급!$V$5:$V$13,예상등급!$W$5:$W$13),IF(N10=예상등급!$Y$1,LOOKUP(O10,예상등급!$Y$5:$Y$13,예상등급!$Z$5:$Z$13),IF(N10=예상등급!$AB$1,LOOKUP(O10,예상등급!$AB$5:$AB$13,예상등급!$AC$5:$AC$13),IF(N10=예상등급!$AE$1,LOOKUP(O10,예상등급!$AE$5:$AE$13,예상등급!$AF$5:$AF$13),IF(N10=예상등급!$AH$1,LOOKUP(O10,예상등급!$AH$5:$AH$13,예상등급!$AI$5:$AI$13),IF(N10=예상등급!$AK$1,LOOKUP(O10,예상등급!$AK$5:$AK$13,예상등급!$AL$5:$AL$13),IF(N10=예상등급!$AN$1,LOOKUP(O10,예상등급!$AN$5:$AN$13,예상등급!$AO$5:$AO$13),IF(N10=예상등급!$AQ$1,LOOKUP(O10,예상등급!$AQ$5:$AQ$13,예상등급!$AR$5:$AR$13),IF(N10=예상등급!$AH$15,LOOKUP(O10,예상등급!$AH$19:$AH$27,예상등급!$AI$19:$AI$27),IF(N10=예상등급!$AK$15,LOOKUP(O10,예상등급!$AK$19:$AK$27,예상등급!$AL$19:$AL$27),IF(N10=예상등급!$AN$15,LOOKUP(O10,예상등급!$AN$19:$AN$27,예상등급!$AO$19:$AO$27),IF(N10=예상등급!$AQ$15,LOOKUP(O10,예상등급!$AQ$19:$AQ$27,예상등급!$AR$19:$AR$27),"")))))))))))))))))</f>
        <v>1</v>
      </c>
      <c r="Q10" s="110" t="s">
        <v>761</v>
      </c>
      <c r="R10" s="71">
        <v>42</v>
      </c>
      <c r="S10" s="385">
        <f>IF(Q10=예상등급!$G$1,LOOKUP(R10,예상등급!$G$5:$G$13,예상등급!$H$5:$H$13),IF(Q10=예상등급!$J$1,LOOKUP(R10,예상등급!$J$5:$J$13,예상등급!$K$5:$K$13),IF(Q10=예상등급!$M$1,LOOKUP(R10,예상등급!$M$5:$M$13,예상등급!$N$5:$N$13),IF(Q10=예상등급!$P$1,LOOKUP(R10,예상등급!$P$5:$P$13,예상등급!$Q$5:$Q$13),IF(Q10=예상등급!$S$1,LOOKUP(R10,예상등급!$S$5:$S$13,예상등급!$T$5:$T$13),IF(Q10=예상등급!$V$1,LOOKUP(R10,예상등급!$V$5:$V$13,예상등급!$W$5:$W$13),IF(Q10=예상등급!$Y$1,LOOKUP(R10,예상등급!$Y$5:$Y$13,예상등급!$Z$5:$Z$13),IF(Q10=예상등급!$AB$1,LOOKUP(R10,예상등급!$AB$5:$AB$13,예상등급!$AC$5:$AC$13),IF(Q10=예상등급!$AE$1,LOOKUP(R10,예상등급!$AE$5:$AE$13,예상등급!$AF$5:$AF$13),IF(Q10=예상등급!$AH$1,LOOKUP(R10,예상등급!$AH$5:$AH$13,예상등급!$AI$5:$AI$13),IF(Q10=예상등급!$AK$1,LOOKUP(R10,예상등급!$AK$5:$AK$13,예상등급!$AL$5:$AL$13),IF(Q10=예상등급!$AN$1,LOOKUP(R10,예상등급!$AN$5:$AN$13,예상등급!$AO$5:$AO$13),IF(Q10=예상등급!$AQ$1,LOOKUP(R10,예상등급!$AQ$5:$AQ$13,예상등급!$AR$5:$AR$13),IF(Q10=예상등급!$AH$15,LOOKUP(R10,예상등급!$AH$19:$AH$27,예상등급!$AI$19:$AI$27),IF(Q10=예상등급!$AK$15,LOOKUP(R10,예상등급!$AK$19:$AK$27,예상등급!$AL$19:$AL$27),IF(Q10=예상등급!$AN$15,LOOKUP(R10,예상등급!$AN$19:$AN$27,예상등급!$AO$19:$AO$27),IF(Q10=예상등급!$AQ$15,LOOKUP(R10,예상등급!$AQ$19:$AQ$27,예상등급!$AR$19:$AR$27),"")))))))))))))))))</f>
        <v>2</v>
      </c>
      <c r="T10" s="110">
        <v>36</v>
      </c>
      <c r="U10" s="382">
        <f>IF(T10="","",LOOKUP(T10,예상등급!$D$19:$D$27,예상등급!$E$19:$E$27))</f>
        <v>2</v>
      </c>
      <c r="V10" s="402">
        <f>SUM(L10,T10,R10,O10)</f>
        <v>347</v>
      </c>
      <c r="W10" s="278">
        <f>RANK(V10,$V$4:$V$491)</f>
        <v>7</v>
      </c>
      <c r="X10" s="4"/>
      <c r="Y10" s="138">
        <v>390</v>
      </c>
      <c r="Z10" s="144">
        <f>FREQUENCY($V$4:$V$236,AA9:AA44)</f>
        <v>0</v>
      </c>
      <c r="AA10" s="7">
        <v>389</v>
      </c>
      <c r="AC10" s="235">
        <v>7</v>
      </c>
      <c r="AD10" s="246" t="s">
        <v>775</v>
      </c>
      <c r="AE10" s="247">
        <f>COUNTIFS($D$4:$D$491,$AE$3,$F$4:$F$491,AC10)</f>
        <v>16</v>
      </c>
      <c r="AF10" s="233">
        <f>COUNTIFS($D$4:$D$491,$AF$3,$F$4:$F$491,AC10)</f>
        <v>0</v>
      </c>
      <c r="AG10" s="247">
        <f>COUNTIFS($G$4:$G$491,$AG$3,$I$4:$I$491,AC10)</f>
        <v>19</v>
      </c>
      <c r="AH10" s="234">
        <f>COUNTIFS($G$4:$G$491,$AH$3,$I$4:$I$491,AC10)</f>
        <v>4</v>
      </c>
      <c r="AI10" s="233">
        <f>COUNTIFS($G$4:$G$491,$AI$3,$I$4:$I$491,AC10)</f>
        <v>0</v>
      </c>
      <c r="AJ10" s="269">
        <f>COUNTIF($K$4:$K$491,AC10)</f>
        <v>11</v>
      </c>
      <c r="AK10" s="298">
        <f>COUNTIF($U$4:$U$491,AC10)</f>
        <v>42</v>
      </c>
      <c r="AL10" s="247">
        <f>COUNTIFS($N$4:$N$491,$AL$3,$P$4:$P$491,$AC10)+COUNTIFS($Q$4:$Q$491,$AL$3,$S$4:$S$491,$AC10)</f>
        <v>0</v>
      </c>
      <c r="AM10" s="234">
        <f>COUNTIFS($N$4:$N$491,$AM$3,$P$4:$P$491,$AC10)+COUNTIFS($Q$4:$Q$491,$AM$3,$S$4:$S$491,$AC10)</f>
        <v>0</v>
      </c>
      <c r="AN10" s="234">
        <f>COUNTIFS($N$4:$N$491,$AN$3,$P$4:$P$491,$AC10)+COUNTIFS($Q$4:$Q$491,$AN$3,$S$4:$S$491,$AC10)</f>
        <v>1</v>
      </c>
      <c r="AO10" s="102">
        <f>COUNTIFS($N$4:$N$491,$AO$3,$P$4:$P$491,$AC10)+COUNTIFS($Q$4:$Q$491,$AO$3,$S$4:$S$491,$AC10)</f>
        <v>3</v>
      </c>
      <c r="AP10" s="259">
        <f>COUNTIFS($N$4:$N$491,$AP$3,$P$4:$P$491,$AC10)</f>
        <v>0</v>
      </c>
      <c r="AQ10" s="234">
        <f>COUNTIFS($N$4:$N$491,$AQ$3,$P$4:$P$491,$AC10)</f>
        <v>0</v>
      </c>
      <c r="AR10" s="234">
        <f>COUNTIFS($N$4:$N$491,$AR$3,$P$4:$P$491,$AC10)</f>
        <v>0</v>
      </c>
      <c r="AS10" s="233">
        <f>COUNTIFS($N$4:$N$491,$AS$3,$P$4:$P$491,$AC10)</f>
        <v>0</v>
      </c>
      <c r="AT10" s="247">
        <f>COUNTIFS($N$4:$N$491,$AT$3,$P$4:$P$491,$AC10)+COUNTIFS($Q$4:$Q$491,$AT$3,$S$4:$S$491,$AC10)</f>
        <v>0</v>
      </c>
      <c r="AU10" s="234">
        <f>COUNTIFS($N$4:$N$491,$AU$3,$P$4:$P$491,$AC10)+COUNTIFS($Q$4:$Q$491,$AU$3,$S$4:$S$491,$AC10)</f>
        <v>0</v>
      </c>
      <c r="AV10" s="234">
        <f>COUNTIFS($N$4:$N$491,$AV$3,$P$4:$P$491,$AC10)+COUNTIFS($Q$4:$Q$491,$AV$3,$S$4:$S$491,$AC10)</f>
        <v>0</v>
      </c>
      <c r="AW10" s="102">
        <f>COUNTIFS($N$4:$N$491,$AW$3,$P$4:$P$491,$AC10)+COUNTIFS($Q$4:$Q$491,$AW$3,$S$4:$S$491,$AC10)</f>
        <v>0</v>
      </c>
    </row>
    <row r="11" spans="1:49" s="7" customFormat="1" ht="24.95" customHeight="1" x14ac:dyDescent="0.15">
      <c r="A11" s="110">
        <v>1</v>
      </c>
      <c r="B11" s="71">
        <v>19</v>
      </c>
      <c r="C11" s="100" t="s">
        <v>815</v>
      </c>
      <c r="D11" s="110" t="s">
        <v>779</v>
      </c>
      <c r="E11" s="71">
        <v>74</v>
      </c>
      <c r="F11" s="382">
        <f>IF(D11=예상등급!$A$1,LOOKUP(E11,예상등급!$A$5:$A$13,예상등급!$B$5:$B$13),IF(D11=예상등급!$A$15,LOOKUP(E11,예상등급!$A$19:$A$27,예상등급!$B$19:$B$27),""))</f>
        <v>2</v>
      </c>
      <c r="G11" s="110" t="s">
        <v>780</v>
      </c>
      <c r="H11" s="71">
        <v>69</v>
      </c>
      <c r="I11" s="382">
        <f>IF(G11=예상등급!$G$15,LOOKUP(H11,예상등급!$G$19:$G$27,예상등급!$H$19:$H$27),IF(G11=예상등급!$J$15,LOOKUP(H11,예상등급!$J$19:$J$27,예상등급!$K$19:$K$27),IF(G11=예상등급!$M$15,LOOKUP(H11,예상등급!$M$19:$M$27,예상등급!$N$19:$N$27),"")))</f>
        <v>3</v>
      </c>
      <c r="J11" s="110">
        <v>79</v>
      </c>
      <c r="K11" s="382">
        <f>IF(J11="","",(LOOKUP(J11,예상등급!$D$5:$D$13,예상등급!$E$5:$E$13)))</f>
        <v>3</v>
      </c>
      <c r="L11" s="301">
        <f>SUM(E11,H11,J11)</f>
        <v>222</v>
      </c>
      <c r="M11" s="398">
        <f>RANK(L11,$L$4:$L$491)</f>
        <v>15</v>
      </c>
      <c r="N11" s="110" t="s">
        <v>760</v>
      </c>
      <c r="O11" s="71">
        <v>41</v>
      </c>
      <c r="P11" s="385">
        <f>IF(N11=예상등급!$G$1,LOOKUP(O11,예상등급!$G$5:$G$13,예상등급!$H$5:$H$13),IF(N11=예상등급!$J$1,LOOKUP(O11,예상등급!$J$5:$J$13,예상등급!$K$5:$K$13),IF(N11=예상등급!$M$1,LOOKUP(O11,예상등급!$M$5:$M$13,예상등급!$N$5:$N$13),IF(N11=예상등급!$P$1,LOOKUP(O11,예상등급!$P$5:$P$13,예상등급!$Q$5:$Q$13),IF(N11=예상등급!$S$1,LOOKUP(O11,예상등급!$S$5:$S$13,예상등급!$T$5:$T$13),IF(N11=예상등급!$V$1,LOOKUP(O11,예상등급!$V$5:$V$13,예상등급!$W$5:$W$13),IF(N11=예상등급!$Y$1,LOOKUP(O11,예상등급!$Y$5:$Y$13,예상등급!$Z$5:$Z$13),IF(N11=예상등급!$AB$1,LOOKUP(O11,예상등급!$AB$5:$AB$13,예상등급!$AC$5:$AC$13),IF(N11=예상등급!$AE$1,LOOKUP(O11,예상등급!$AE$5:$AE$13,예상등급!$AF$5:$AF$13),IF(N11=예상등급!$AH$1,LOOKUP(O11,예상등급!$AH$5:$AH$13,예상등급!$AI$5:$AI$13),IF(N11=예상등급!$AK$1,LOOKUP(O11,예상등급!$AK$5:$AK$13,예상등급!$AL$5:$AL$13),IF(N11=예상등급!$AN$1,LOOKUP(O11,예상등급!$AN$5:$AN$13,예상등급!$AO$5:$AO$13),IF(N11=예상등급!$AQ$1,LOOKUP(O11,예상등급!$AQ$5:$AQ$13,예상등급!$AR$5:$AR$13),IF(N11=예상등급!$AH$15,LOOKUP(O11,예상등급!$AH$19:$AH$27,예상등급!$AI$19:$AI$27),IF(N11=예상등급!$AK$15,LOOKUP(O11,예상등급!$AK$19:$AK$27,예상등급!$AL$19:$AL$27),IF(N11=예상등급!$AN$15,LOOKUP(O11,예상등급!$AN$19:$AN$27,예상등급!$AO$19:$AO$27),IF(N11=예상등급!$AQ$15,LOOKUP(O11,예상등급!$AQ$19:$AQ$27,예상등급!$AR$19:$AR$27),"")))))))))))))))))</f>
        <v>1</v>
      </c>
      <c r="Q11" s="110" t="s">
        <v>765</v>
      </c>
      <c r="R11" s="71">
        <v>48</v>
      </c>
      <c r="S11" s="385">
        <f>IF(Q11=예상등급!$G$1,LOOKUP(R11,예상등급!$G$5:$G$13,예상등급!$H$5:$H$13),IF(Q11=예상등급!$J$1,LOOKUP(R11,예상등급!$J$5:$J$13,예상등급!$K$5:$K$13),IF(Q11=예상등급!$M$1,LOOKUP(R11,예상등급!$M$5:$M$13,예상등급!$N$5:$N$13),IF(Q11=예상등급!$P$1,LOOKUP(R11,예상등급!$P$5:$P$13,예상등급!$Q$5:$Q$13),IF(Q11=예상등급!$S$1,LOOKUP(R11,예상등급!$S$5:$S$13,예상등급!$T$5:$T$13),IF(Q11=예상등급!$V$1,LOOKUP(R11,예상등급!$V$5:$V$13,예상등급!$W$5:$W$13),IF(Q11=예상등급!$Y$1,LOOKUP(R11,예상등급!$Y$5:$Y$13,예상등급!$Z$5:$Z$13),IF(Q11=예상등급!$AB$1,LOOKUP(R11,예상등급!$AB$5:$AB$13,예상등급!$AC$5:$AC$13),IF(Q11=예상등급!$AE$1,LOOKUP(R11,예상등급!$AE$5:$AE$13,예상등급!$AF$5:$AF$13),IF(Q11=예상등급!$AH$1,LOOKUP(R11,예상등급!$AH$5:$AH$13,예상등급!$AI$5:$AI$13),IF(Q11=예상등급!$AK$1,LOOKUP(R11,예상등급!$AK$5:$AK$13,예상등급!$AL$5:$AL$13),IF(Q11=예상등급!$AN$1,LOOKUP(R11,예상등급!$AN$5:$AN$13,예상등급!$AO$5:$AO$13),IF(Q11=예상등급!$AQ$1,LOOKUP(R11,예상등급!$AQ$5:$AQ$13,예상등급!$AR$5:$AR$13),IF(Q11=예상등급!$AH$15,LOOKUP(R11,예상등급!$AH$19:$AH$27,예상등급!$AI$19:$AI$27),IF(Q11=예상등급!$AK$15,LOOKUP(R11,예상등급!$AK$19:$AK$27,예상등급!$AL$19:$AL$27),IF(Q11=예상등급!$AN$15,LOOKUP(R11,예상등급!$AN$19:$AN$27,예상등급!$AO$19:$AO$27),IF(Q11=예상등급!$AQ$15,LOOKUP(R11,예상등급!$AQ$19:$AQ$27,예상등급!$AR$19:$AR$27),"")))))))))))))))))</f>
        <v>1</v>
      </c>
      <c r="T11" s="110">
        <v>35</v>
      </c>
      <c r="U11" s="382">
        <f>IF(T11="","",LOOKUP(T11,예상등급!$D$19:$D$27,예상등급!$E$19:$E$27))</f>
        <v>2</v>
      </c>
      <c r="V11" s="402">
        <f>SUM(L11,T11,R11,O11)</f>
        <v>346</v>
      </c>
      <c r="W11" s="278">
        <f>RANK(V11,$V$4:$V$491)</f>
        <v>8</v>
      </c>
      <c r="X11" s="4"/>
      <c r="Y11" s="140">
        <v>380</v>
      </c>
      <c r="Z11" s="141">
        <f>FREQUENCY($V$4:$V$236,AA10:AA45)</f>
        <v>0</v>
      </c>
      <c r="AC11" s="235">
        <v>8</v>
      </c>
      <c r="AD11" s="246" t="s">
        <v>775</v>
      </c>
      <c r="AE11" s="247">
        <f>COUNTIFS($D$4:$D$491,$AE$3,$F$4:$F$491,AC11)</f>
        <v>6</v>
      </c>
      <c r="AF11" s="233">
        <f>COUNTIFS($D$4:$D$491,$AF$3,$F$4:$F$491,AC11)</f>
        <v>0</v>
      </c>
      <c r="AG11" s="247">
        <f>COUNTIFS($G$4:$G$491,$AG$3,$I$4:$I$491,AC11)</f>
        <v>16</v>
      </c>
      <c r="AH11" s="234">
        <f>COUNTIFS($G$4:$G$491,$AH$3,$I$4:$I$491,AC11)</f>
        <v>0</v>
      </c>
      <c r="AI11" s="233">
        <f>COUNTIFS($G$4:$G$491,$AI$3,$I$4:$I$491,AC11)</f>
        <v>0</v>
      </c>
      <c r="AJ11" s="269">
        <f>COUNTIF($K$4:$K$491,AC11)</f>
        <v>5</v>
      </c>
      <c r="AK11" s="298">
        <f>COUNTIF($U$4:$U$491,AC11)</f>
        <v>20</v>
      </c>
      <c r="AL11" s="247">
        <f>COUNTIFS($N$4:$N$491,$AL$3,$P$4:$P$491,$AC11)+COUNTIFS($Q$4:$Q$491,$AL$3,$S$4:$S$491,$AC11)</f>
        <v>0</v>
      </c>
      <c r="AM11" s="234">
        <f>COUNTIFS($N$4:$N$491,$AM$3,$P$4:$P$491,$AC11)+COUNTIFS($Q$4:$Q$491,$AM$3,$S$4:$S$491,$AC11)</f>
        <v>1</v>
      </c>
      <c r="AN11" s="234">
        <f>COUNTIFS($N$4:$N$491,$AN$3,$P$4:$P$491,$AC11)+COUNTIFS($Q$4:$Q$491,$AN$3,$S$4:$S$491,$AC11)</f>
        <v>0</v>
      </c>
      <c r="AO11" s="102">
        <f>COUNTIFS($N$4:$N$491,$AO$3,$P$4:$P$491,$AC11)+COUNTIFS($Q$4:$Q$491,$AO$3,$S$4:$S$491,$AC11)</f>
        <v>3</v>
      </c>
      <c r="AP11" s="259">
        <f>COUNTIFS($N$4:$N$491,$AP$3,$P$4:$P$491,$AC11)</f>
        <v>0</v>
      </c>
      <c r="AQ11" s="234">
        <f>COUNTIFS($N$4:$N$491,$AQ$3,$P$4:$P$491,$AC11)</f>
        <v>0</v>
      </c>
      <c r="AR11" s="234">
        <f>COUNTIFS($N$4:$N$491,$AR$3,$P$4:$P$491,$AC11)</f>
        <v>0</v>
      </c>
      <c r="AS11" s="233">
        <f>COUNTIFS($N$4:$N$491,$AS$3,$P$4:$P$491,$AC11)</f>
        <v>0</v>
      </c>
      <c r="AT11" s="247">
        <f>COUNTIFS($N$4:$N$491,$AT$3,$P$4:$P$491,$AC11)+COUNTIFS($Q$4:$Q$491,$AT$3,$S$4:$S$491,$AC11)</f>
        <v>0</v>
      </c>
      <c r="AU11" s="234">
        <f>COUNTIFS($N$4:$N$491,$AU$3,$P$4:$P$491,$AC11)+COUNTIFS($Q$4:$Q$491,$AU$3,$S$4:$S$491,$AC11)</f>
        <v>0</v>
      </c>
      <c r="AV11" s="234">
        <f>COUNTIFS($N$4:$N$491,$AV$3,$P$4:$P$491,$AC11)+COUNTIFS($Q$4:$Q$491,$AV$3,$S$4:$S$491,$AC11)</f>
        <v>0</v>
      </c>
      <c r="AW11" s="102">
        <f>COUNTIFS($N$4:$N$491,$AW$3,$P$4:$P$491,$AC11)+COUNTIFS($Q$4:$Q$491,$AW$3,$S$4:$S$491,$AC11)</f>
        <v>0</v>
      </c>
    </row>
    <row r="12" spans="1:49" s="7" customFormat="1" ht="24.95" customHeight="1" thickBot="1" x14ac:dyDescent="0.2">
      <c r="A12" s="110">
        <v>5</v>
      </c>
      <c r="B12" s="71">
        <v>19</v>
      </c>
      <c r="C12" s="100" t="s">
        <v>889</v>
      </c>
      <c r="D12" s="110" t="s">
        <v>779</v>
      </c>
      <c r="E12" s="71">
        <v>67</v>
      </c>
      <c r="F12" s="382">
        <f>IF(D12=예상등급!$A$1,LOOKUP(E12,예상등급!$A$5:$A$13,예상등급!$B$5:$B$13),IF(D12=예상등급!$A$15,LOOKUP(E12,예상등급!$A$19:$A$27,예상등급!$B$19:$B$27),""))</f>
        <v>3</v>
      </c>
      <c r="G12" s="110" t="s">
        <v>780</v>
      </c>
      <c r="H12" s="71">
        <v>72</v>
      </c>
      <c r="I12" s="382">
        <f>IF(G12=예상등급!$G$15,LOOKUP(H12,예상등급!$G$19:$G$27,예상등급!$H$19:$H$27),IF(G12=예상등급!$J$15,LOOKUP(H12,예상등급!$J$19:$J$27,예상등급!$K$19:$K$27),IF(G12=예상등급!$M$15,LOOKUP(H12,예상등급!$M$19:$M$27,예상등급!$N$19:$N$27),"")))</f>
        <v>3</v>
      </c>
      <c r="J12" s="110">
        <v>77</v>
      </c>
      <c r="K12" s="382">
        <f>IF(J12="","",(LOOKUP(J12,예상등급!$D$5:$D$13,예상등급!$E$5:$E$13)))</f>
        <v>3</v>
      </c>
      <c r="L12" s="301">
        <f>SUM(E12,H12,J12)</f>
        <v>216</v>
      </c>
      <c r="M12" s="398">
        <f>RANK(L12,$L$4:$L$491)</f>
        <v>24</v>
      </c>
      <c r="N12" s="110" t="s">
        <v>767</v>
      </c>
      <c r="O12" s="71">
        <v>50</v>
      </c>
      <c r="P12" s="385">
        <f>IF(N12=예상등급!$G$1,LOOKUP(O12,예상등급!$G$5:$G$13,예상등급!$H$5:$H$13),IF(N12=예상등급!$J$1,LOOKUP(O12,예상등급!$J$5:$J$13,예상등급!$K$5:$K$13),IF(N12=예상등급!$M$1,LOOKUP(O12,예상등급!$M$5:$M$13,예상등급!$N$5:$N$13),IF(N12=예상등급!$P$1,LOOKUP(O12,예상등급!$P$5:$P$13,예상등급!$Q$5:$Q$13),IF(N12=예상등급!$S$1,LOOKUP(O12,예상등급!$S$5:$S$13,예상등급!$T$5:$T$13),IF(N12=예상등급!$V$1,LOOKUP(O12,예상등급!$V$5:$V$13,예상등급!$W$5:$W$13),IF(N12=예상등급!$Y$1,LOOKUP(O12,예상등급!$Y$5:$Y$13,예상등급!$Z$5:$Z$13),IF(N12=예상등급!$AB$1,LOOKUP(O12,예상등급!$AB$5:$AB$13,예상등급!$AC$5:$AC$13),IF(N12=예상등급!$AE$1,LOOKUP(O12,예상등급!$AE$5:$AE$13,예상등급!$AF$5:$AF$13),IF(N12=예상등급!$AH$1,LOOKUP(O12,예상등급!$AH$5:$AH$13,예상등급!$AI$5:$AI$13),IF(N12=예상등급!$AK$1,LOOKUP(O12,예상등급!$AK$5:$AK$13,예상등급!$AL$5:$AL$13),IF(N12=예상등급!$AN$1,LOOKUP(O12,예상등급!$AN$5:$AN$13,예상등급!$AO$5:$AO$13),IF(N12=예상등급!$AQ$1,LOOKUP(O12,예상등급!$AQ$5:$AQ$13,예상등급!$AR$5:$AR$13),IF(N12=예상등급!$AH$15,LOOKUP(O12,예상등급!$AH$19:$AH$27,예상등급!$AI$19:$AI$27),IF(N12=예상등급!$AK$15,LOOKUP(O12,예상등급!$AK$19:$AK$27,예상등급!$AL$19:$AL$27),IF(N12=예상등급!$AN$15,LOOKUP(O12,예상등급!$AN$19:$AN$27,예상등급!$AO$19:$AO$27),IF(N12=예상등급!$AQ$15,LOOKUP(O12,예상등급!$AQ$19:$AQ$27,예상등급!$AR$19:$AR$27),"")))))))))))))))))</f>
        <v>1</v>
      </c>
      <c r="Q12" s="110" t="s">
        <v>770</v>
      </c>
      <c r="R12" s="71">
        <v>29</v>
      </c>
      <c r="S12" s="385">
        <f>IF(Q12=예상등급!$G$1,LOOKUP(R12,예상등급!$G$5:$G$13,예상등급!$H$5:$H$13),IF(Q12=예상등급!$J$1,LOOKUP(R12,예상등급!$J$5:$J$13,예상등급!$K$5:$K$13),IF(Q12=예상등급!$M$1,LOOKUP(R12,예상등급!$M$5:$M$13,예상등급!$N$5:$N$13),IF(Q12=예상등급!$P$1,LOOKUP(R12,예상등급!$P$5:$P$13,예상등급!$Q$5:$Q$13),IF(Q12=예상등급!$S$1,LOOKUP(R12,예상등급!$S$5:$S$13,예상등급!$T$5:$T$13),IF(Q12=예상등급!$V$1,LOOKUP(R12,예상등급!$V$5:$V$13,예상등급!$W$5:$W$13),IF(Q12=예상등급!$Y$1,LOOKUP(R12,예상등급!$Y$5:$Y$13,예상등급!$Z$5:$Z$13),IF(Q12=예상등급!$AB$1,LOOKUP(R12,예상등급!$AB$5:$AB$13,예상등급!$AC$5:$AC$13),IF(Q12=예상등급!$AE$1,LOOKUP(R12,예상등급!$AE$5:$AE$13,예상등급!$AF$5:$AF$13),IF(Q12=예상등급!$AH$1,LOOKUP(R12,예상등급!$AH$5:$AH$13,예상등급!$AI$5:$AI$13),IF(Q12=예상등급!$AK$1,LOOKUP(R12,예상등급!$AK$5:$AK$13,예상등급!$AL$5:$AL$13),IF(Q12=예상등급!$AN$1,LOOKUP(R12,예상등급!$AN$5:$AN$13,예상등급!$AO$5:$AO$13),IF(Q12=예상등급!$AQ$1,LOOKUP(R12,예상등급!$AQ$5:$AQ$13,예상등급!$AR$5:$AR$13),IF(Q12=예상등급!$AH$15,LOOKUP(R12,예상등급!$AH$19:$AH$27,예상등급!$AI$19:$AI$27),IF(Q12=예상등급!$AK$15,LOOKUP(R12,예상등급!$AK$19:$AK$27,예상등급!$AL$19:$AL$27),IF(Q12=예상등급!$AN$15,LOOKUP(R12,예상등급!$AN$19:$AN$27,예상등급!$AO$19:$AO$27),IF(Q12=예상등급!$AQ$15,LOOKUP(R12,예상등급!$AQ$19:$AQ$27,예상등급!$AR$19:$AR$27),"")))))))))))))))))</f>
        <v>4</v>
      </c>
      <c r="T12" s="110">
        <v>50</v>
      </c>
      <c r="U12" s="382">
        <f>IF(T12="","",LOOKUP(T12,예상등급!$D$19:$D$27,예상등급!$E$19:$E$27))</f>
        <v>1</v>
      </c>
      <c r="V12" s="402">
        <f>SUM(L12,T12,R12,O12)</f>
        <v>345</v>
      </c>
      <c r="W12" s="278">
        <f>RANK(V12,$V$4:$V$491)</f>
        <v>9</v>
      </c>
      <c r="X12" s="4"/>
      <c r="Y12" s="140">
        <v>370</v>
      </c>
      <c r="Z12" s="141">
        <f>FREQUENCY($V$4:$V$236,AA12:AA46)</f>
        <v>0</v>
      </c>
      <c r="AA12" s="7">
        <v>379</v>
      </c>
      <c r="AC12" s="251">
        <v>9</v>
      </c>
      <c r="AD12" s="252" t="s">
        <v>775</v>
      </c>
      <c r="AE12" s="265">
        <f>COUNTIFS($D$4:$D$491,$AE$3,$F$4:$F$491,AC12)</f>
        <v>1</v>
      </c>
      <c r="AF12" s="266">
        <f>COUNTIFS($D$4:$D$491,$AF$3,$F$4:$F$491,AC12)</f>
        <v>0</v>
      </c>
      <c r="AG12" s="253">
        <f>COUNTIFS($G$4:$G$491,$AG$3,$I$4:$I$491,AC12)</f>
        <v>31</v>
      </c>
      <c r="AH12" s="254">
        <f>COUNTIFS($G$4:$G$491,$AH$3,$I$4:$I$491,AC12)</f>
        <v>0</v>
      </c>
      <c r="AI12" s="276">
        <f>COUNTIFS($G$4:$G$491,$AI$3,$I$4:$I$491,AC12)</f>
        <v>0</v>
      </c>
      <c r="AJ12" s="271">
        <f>COUNTIF($K$4:$K$491,AC12)</f>
        <v>2</v>
      </c>
      <c r="AK12" s="299">
        <f>COUNTIF($U$4:$U$491,AC12)</f>
        <v>1</v>
      </c>
      <c r="AL12" s="288">
        <f>COUNTIFS($N$4:$N$491,$AL$3,$P$4:$P$491,$AC12)+COUNTIFS($Q$4:$Q$491,$AL$3,$S$4:$S$491,$AC12)</f>
        <v>0</v>
      </c>
      <c r="AM12" s="289">
        <f>COUNTIFS($N$4:$N$491,$AM$3,$P$4:$P$491,$AC12)+COUNTIFS($Q$4:$Q$491,$AM$3,$S$4:$S$491,$AC12)</f>
        <v>0</v>
      </c>
      <c r="AN12" s="289">
        <f>COUNTIFS($N$4:$N$491,$AN$3,$P$4:$P$491,$AC12)+COUNTIFS($Q$4:$Q$491,$AN$3,$S$4:$S$491,$AC12)</f>
        <v>0</v>
      </c>
      <c r="AO12" s="293">
        <f>COUNTIFS($N$4:$N$491,$AO$3,$P$4:$P$491,$AC12)+COUNTIFS($Q$4:$Q$491,$AO$3,$S$4:$S$491,$AC12)</f>
        <v>0</v>
      </c>
      <c r="AP12" s="283">
        <f>COUNTIFS($N$4:$N$491,$AP$3,$P$4:$P$491,$AC12)</f>
        <v>0</v>
      </c>
      <c r="AQ12" s="262">
        <f>COUNTIFS($N$4:$N$491,$AQ$3,$P$4:$P$491,$AC12)</f>
        <v>0</v>
      </c>
      <c r="AR12" s="262">
        <f>COUNTIFS($N$4:$N$491,$AR$3,$P$4:$P$491,$AC12)</f>
        <v>0</v>
      </c>
      <c r="AS12" s="290">
        <f>COUNTIFS($N$4:$N$491,$AS$3,$P$4:$P$491,$AC12)</f>
        <v>0</v>
      </c>
      <c r="AT12" s="288">
        <f>COUNTIFS($N$4:$N$491,$AT$3,$P$4:$P$491,$AC12)+COUNTIFS($Q$4:$Q$491,$AT$3,$S$4:$S$491,$AC12)</f>
        <v>0</v>
      </c>
      <c r="AU12" s="289">
        <f>COUNTIFS($N$4:$N$491,$AU$3,$P$4:$P$491,$AC12)+COUNTIFS($Q$4:$Q$491,$AU$3,$S$4:$S$491,$AC12)</f>
        <v>0</v>
      </c>
      <c r="AV12" s="289">
        <f>COUNTIFS($N$4:$N$491,$AV$3,$P$4:$P$491,$AC12)+COUNTIFS($Q$4:$Q$491,$AV$3,$S$4:$S$491,$AC12)</f>
        <v>0</v>
      </c>
      <c r="AW12" s="293">
        <f>COUNTIFS($N$4:$N$491,$AW$3,$P$4:$P$491,$AC12)+COUNTIFS($Q$4:$Q$491,$AW$3,$S$4:$S$491,$AC12)</f>
        <v>0</v>
      </c>
    </row>
    <row r="13" spans="1:49" s="7" customFormat="1" ht="24.95" customHeight="1" x14ac:dyDescent="0.15">
      <c r="A13" s="110">
        <v>4</v>
      </c>
      <c r="B13" s="71">
        <v>16</v>
      </c>
      <c r="C13" s="100" t="s">
        <v>655</v>
      </c>
      <c r="D13" s="110" t="s">
        <v>778</v>
      </c>
      <c r="E13" s="71">
        <v>68</v>
      </c>
      <c r="F13" s="382">
        <f>IF(D13=예상등급!$A$1,LOOKUP(E13,예상등급!$A$5:$A$13,예상등급!$B$5:$B$13),IF(D13=예상등급!$A$15,LOOKUP(E13,예상등급!$A$19:$A$27,예상등급!$B$19:$B$27),""))</f>
        <v>2</v>
      </c>
      <c r="G13" s="110" t="s">
        <v>781</v>
      </c>
      <c r="H13" s="71">
        <v>58</v>
      </c>
      <c r="I13" s="382">
        <f>IF(G13=예상등급!$G$15,LOOKUP(H13,예상등급!$G$19:$G$27,예상등급!$H$19:$H$27),IF(G13=예상등급!$J$15,LOOKUP(H13,예상등급!$J$19:$J$27,예상등급!$K$19:$K$27),IF(G13=예상등급!$M$15,LOOKUP(H13,예상등급!$M$19:$M$27,예상등급!$N$19:$N$27),"")))</f>
        <v>4</v>
      </c>
      <c r="J13" s="110">
        <v>100</v>
      </c>
      <c r="K13" s="382">
        <f>IF(J13="","",(LOOKUP(J13,예상등급!$D$5:$D$13,예상등급!$E$5:$E$13)))</f>
        <v>1</v>
      </c>
      <c r="L13" s="301">
        <f>SUM(E13,H13,J13)</f>
        <v>226</v>
      </c>
      <c r="M13" s="398">
        <f>RANK(L13,$L$4:$L$491)</f>
        <v>13</v>
      </c>
      <c r="N13" s="110" t="s">
        <v>770</v>
      </c>
      <c r="O13" s="71">
        <v>35</v>
      </c>
      <c r="P13" s="385">
        <f>IF(N13=예상등급!$G$1,LOOKUP(O13,예상등급!$G$5:$G$13,예상등급!$H$5:$H$13),IF(N13=예상등급!$J$1,LOOKUP(O13,예상등급!$J$5:$J$13,예상등급!$K$5:$K$13),IF(N13=예상등급!$M$1,LOOKUP(O13,예상등급!$M$5:$M$13,예상등급!$N$5:$N$13),IF(N13=예상등급!$P$1,LOOKUP(O13,예상등급!$P$5:$P$13,예상등급!$Q$5:$Q$13),IF(N13=예상등급!$S$1,LOOKUP(O13,예상등급!$S$5:$S$13,예상등급!$T$5:$T$13),IF(N13=예상등급!$V$1,LOOKUP(O13,예상등급!$V$5:$V$13,예상등급!$W$5:$W$13),IF(N13=예상등급!$Y$1,LOOKUP(O13,예상등급!$Y$5:$Y$13,예상등급!$Z$5:$Z$13),IF(N13=예상등급!$AB$1,LOOKUP(O13,예상등급!$AB$5:$AB$13,예상등급!$AC$5:$AC$13),IF(N13=예상등급!$AE$1,LOOKUP(O13,예상등급!$AE$5:$AE$13,예상등급!$AF$5:$AF$13),IF(N13=예상등급!$AH$1,LOOKUP(O13,예상등급!$AH$5:$AH$13,예상등급!$AI$5:$AI$13),IF(N13=예상등급!$AK$1,LOOKUP(O13,예상등급!$AK$5:$AK$13,예상등급!$AL$5:$AL$13),IF(N13=예상등급!$AN$1,LOOKUP(O13,예상등급!$AN$5:$AN$13,예상등급!$AO$5:$AO$13),IF(N13=예상등급!$AQ$1,LOOKUP(O13,예상등급!$AQ$5:$AQ$13,예상등급!$AR$5:$AR$13),IF(N13=예상등급!$AH$15,LOOKUP(O13,예상등급!$AH$19:$AH$27,예상등급!$AI$19:$AI$27),IF(N13=예상등급!$AK$15,LOOKUP(O13,예상등급!$AK$19:$AK$27,예상등급!$AL$19:$AL$27),IF(N13=예상등급!$AN$15,LOOKUP(O13,예상등급!$AN$19:$AN$27,예상등급!$AO$19:$AO$27),IF(N13=예상등급!$AQ$15,LOOKUP(O13,예상등급!$AQ$19:$AQ$27,예상등급!$AR$19:$AR$27),"")))))))))))))))))</f>
        <v>3</v>
      </c>
      <c r="Q13" s="110" t="s">
        <v>771</v>
      </c>
      <c r="R13" s="71">
        <v>37</v>
      </c>
      <c r="S13" s="385">
        <f>IF(Q13=예상등급!$G$1,LOOKUP(R13,예상등급!$G$5:$G$13,예상등급!$H$5:$H$13),IF(Q13=예상등급!$J$1,LOOKUP(R13,예상등급!$J$5:$J$13,예상등급!$K$5:$K$13),IF(Q13=예상등급!$M$1,LOOKUP(R13,예상등급!$M$5:$M$13,예상등급!$N$5:$N$13),IF(Q13=예상등급!$P$1,LOOKUP(R13,예상등급!$P$5:$P$13,예상등급!$Q$5:$Q$13),IF(Q13=예상등급!$S$1,LOOKUP(R13,예상등급!$S$5:$S$13,예상등급!$T$5:$T$13),IF(Q13=예상등급!$V$1,LOOKUP(R13,예상등급!$V$5:$V$13,예상등급!$W$5:$W$13),IF(Q13=예상등급!$Y$1,LOOKUP(R13,예상등급!$Y$5:$Y$13,예상등급!$Z$5:$Z$13),IF(Q13=예상등급!$AB$1,LOOKUP(R13,예상등급!$AB$5:$AB$13,예상등급!$AC$5:$AC$13),IF(Q13=예상등급!$AE$1,LOOKUP(R13,예상등급!$AE$5:$AE$13,예상등급!$AF$5:$AF$13),IF(Q13=예상등급!$AH$1,LOOKUP(R13,예상등급!$AH$5:$AH$13,예상등급!$AI$5:$AI$13),IF(Q13=예상등급!$AK$1,LOOKUP(R13,예상등급!$AK$5:$AK$13,예상등급!$AL$5:$AL$13),IF(Q13=예상등급!$AN$1,LOOKUP(R13,예상등급!$AN$5:$AN$13,예상등급!$AO$5:$AO$13),IF(Q13=예상등급!$AQ$1,LOOKUP(R13,예상등급!$AQ$5:$AQ$13,예상등급!$AR$5:$AR$13),IF(Q13=예상등급!$AH$15,LOOKUP(R13,예상등급!$AH$19:$AH$27,예상등급!$AI$19:$AI$27),IF(Q13=예상등급!$AK$15,LOOKUP(R13,예상등급!$AK$19:$AK$27,예상등급!$AL$19:$AL$27),IF(Q13=예상등급!$AN$15,LOOKUP(R13,예상등급!$AN$19:$AN$27,예상등급!$AO$19:$AO$27),IF(Q13=예상등급!$AQ$15,LOOKUP(R13,예상등급!$AQ$19:$AQ$27,예상등급!$AR$19:$AR$27),"")))))))))))))))))</f>
        <v>2</v>
      </c>
      <c r="T13" s="110">
        <v>43</v>
      </c>
      <c r="U13" s="382">
        <f>IF(T13="","",LOOKUP(T13,예상등급!$D$19:$D$27,예상등급!$E$19:$E$27))</f>
        <v>1</v>
      </c>
      <c r="V13" s="402">
        <f>SUM(L13,T13,R13,O13)</f>
        <v>341</v>
      </c>
      <c r="W13" s="278">
        <f>RANK(V13,$V$4:$V$491)</f>
        <v>10</v>
      </c>
      <c r="X13" s="4"/>
      <c r="Y13" s="140">
        <v>360</v>
      </c>
      <c r="Z13" s="141">
        <f>FREQUENCY($V$4:$V$236,AA13:AA47)</f>
        <v>2</v>
      </c>
      <c r="AA13" s="7">
        <v>369</v>
      </c>
      <c r="AC13" s="346" t="s">
        <v>777</v>
      </c>
      <c r="AD13" s="347"/>
      <c r="AE13" s="249">
        <f>SUM(AE4:AE12)</f>
        <v>220</v>
      </c>
      <c r="AF13" s="267">
        <f>SUM(AF4:AF12)</f>
        <v>11</v>
      </c>
      <c r="AG13" s="264">
        <f t="shared" ref="AG13:AK13" si="0">SUM(AG4:AG12)</f>
        <v>159</v>
      </c>
      <c r="AH13" s="261">
        <f t="shared" si="0"/>
        <v>68</v>
      </c>
      <c r="AI13" s="268">
        <f t="shared" si="0"/>
        <v>3</v>
      </c>
      <c r="AJ13" s="355">
        <f t="shared" si="0"/>
        <v>227</v>
      </c>
      <c r="AK13" s="355">
        <f t="shared" si="0"/>
        <v>226</v>
      </c>
      <c r="AL13" s="249">
        <f>SUM(AL4:AL12)</f>
        <v>17</v>
      </c>
      <c r="AM13" s="236">
        <f>SUM(AM4:AM12)</f>
        <v>4</v>
      </c>
      <c r="AN13" s="236">
        <f>SUM(AN4:AN12)</f>
        <v>16</v>
      </c>
      <c r="AO13" s="237">
        <f>SUM(AO4:AO12)</f>
        <v>27</v>
      </c>
      <c r="AP13" s="258">
        <f t="shared" ref="AP13:AS13" si="1">SUM(AP4:AP12)</f>
        <v>0</v>
      </c>
      <c r="AQ13" s="236">
        <f t="shared" si="1"/>
        <v>0</v>
      </c>
      <c r="AR13" s="236">
        <f t="shared" si="1"/>
        <v>0</v>
      </c>
      <c r="AS13" s="237">
        <f t="shared" si="1"/>
        <v>0</v>
      </c>
      <c r="AT13" s="249">
        <f>SUM(AT4:AT12)</f>
        <v>0</v>
      </c>
      <c r="AU13" s="236">
        <f>SUM(AU4:AU12)</f>
        <v>0</v>
      </c>
      <c r="AV13" s="236">
        <f>SUM(AV4:AV12)</f>
        <v>0</v>
      </c>
      <c r="AW13" s="237">
        <f>SUM(AW4:AW12)</f>
        <v>0</v>
      </c>
    </row>
    <row r="14" spans="1:49" s="7" customFormat="1" ht="24.95" customHeight="1" thickBot="1" x14ac:dyDescent="0.2">
      <c r="A14" s="110">
        <v>4</v>
      </c>
      <c r="B14" s="71">
        <v>4</v>
      </c>
      <c r="C14" s="100" t="s">
        <v>581</v>
      </c>
      <c r="D14" s="110" t="s">
        <v>779</v>
      </c>
      <c r="E14" s="71">
        <v>71</v>
      </c>
      <c r="F14" s="382">
        <f>IF(D14=예상등급!$A$1,LOOKUP(E14,예상등급!$A$5:$A$13,예상등급!$B$5:$B$13),IF(D14=예상등급!$A$15,LOOKUP(E14,예상등급!$A$19:$A$27,예상등급!$B$19:$B$27),""))</f>
        <v>3</v>
      </c>
      <c r="G14" s="110" t="s">
        <v>781</v>
      </c>
      <c r="H14" s="71">
        <v>65</v>
      </c>
      <c r="I14" s="382">
        <f>IF(G14=예상등급!$G$15,LOOKUP(H14,예상등급!$G$19:$G$27,예상등급!$H$19:$H$27),IF(G14=예상등급!$J$15,LOOKUP(H14,예상등급!$J$19:$J$27,예상등급!$K$19:$K$27),IF(G14=예상등급!$M$15,LOOKUP(H14,예상등급!$M$19:$M$27,예상등급!$N$19:$N$27),"")))</f>
        <v>3</v>
      </c>
      <c r="J14" s="110">
        <v>82</v>
      </c>
      <c r="K14" s="382">
        <f>IF(J14="","",(LOOKUP(J14,예상등급!$D$5:$D$13,예상등급!$E$5:$E$13)))</f>
        <v>2</v>
      </c>
      <c r="L14" s="301">
        <f>SUM(E14,H14,J14)</f>
        <v>218</v>
      </c>
      <c r="M14" s="398">
        <f>RANK(L14,$L$4:$L$491)</f>
        <v>23</v>
      </c>
      <c r="N14" s="110" t="s">
        <v>761</v>
      </c>
      <c r="O14" s="71">
        <v>40</v>
      </c>
      <c r="P14" s="385">
        <f>IF(N14=예상등급!$G$1,LOOKUP(O14,예상등급!$G$5:$G$13,예상등급!$H$5:$H$13),IF(N14=예상등급!$J$1,LOOKUP(O14,예상등급!$J$5:$J$13,예상등급!$K$5:$K$13),IF(N14=예상등급!$M$1,LOOKUP(O14,예상등급!$M$5:$M$13,예상등급!$N$5:$N$13),IF(N14=예상등급!$P$1,LOOKUP(O14,예상등급!$P$5:$P$13,예상등급!$Q$5:$Q$13),IF(N14=예상등급!$S$1,LOOKUP(O14,예상등급!$S$5:$S$13,예상등급!$T$5:$T$13),IF(N14=예상등급!$V$1,LOOKUP(O14,예상등급!$V$5:$V$13,예상등급!$W$5:$W$13),IF(N14=예상등급!$Y$1,LOOKUP(O14,예상등급!$Y$5:$Y$13,예상등급!$Z$5:$Z$13),IF(N14=예상등급!$AB$1,LOOKUP(O14,예상등급!$AB$5:$AB$13,예상등급!$AC$5:$AC$13),IF(N14=예상등급!$AE$1,LOOKUP(O14,예상등급!$AE$5:$AE$13,예상등급!$AF$5:$AF$13),IF(N14=예상등급!$AH$1,LOOKUP(O14,예상등급!$AH$5:$AH$13,예상등급!$AI$5:$AI$13),IF(N14=예상등급!$AK$1,LOOKUP(O14,예상등급!$AK$5:$AK$13,예상등급!$AL$5:$AL$13),IF(N14=예상등급!$AN$1,LOOKUP(O14,예상등급!$AN$5:$AN$13,예상등급!$AO$5:$AO$13),IF(N14=예상등급!$AQ$1,LOOKUP(O14,예상등급!$AQ$5:$AQ$13,예상등급!$AR$5:$AR$13),IF(N14=예상등급!$AH$15,LOOKUP(O14,예상등급!$AH$19:$AH$27,예상등급!$AI$19:$AI$27),IF(N14=예상등급!$AK$15,LOOKUP(O14,예상등급!$AK$19:$AK$27,예상등급!$AL$19:$AL$27),IF(N14=예상등급!$AN$15,LOOKUP(O14,예상등급!$AN$19:$AN$27,예상등급!$AO$19:$AO$27),IF(N14=예상등급!$AQ$15,LOOKUP(O14,예상등급!$AQ$19:$AQ$27,예상등급!$AR$19:$AR$27),"")))))))))))))))))</f>
        <v>2</v>
      </c>
      <c r="Q14" s="110" t="s">
        <v>772</v>
      </c>
      <c r="R14" s="71">
        <v>32</v>
      </c>
      <c r="S14" s="385">
        <f>IF(Q14=예상등급!$G$1,LOOKUP(R14,예상등급!$G$5:$G$13,예상등급!$H$5:$H$13),IF(Q14=예상등급!$J$1,LOOKUP(R14,예상등급!$J$5:$J$13,예상등급!$K$5:$K$13),IF(Q14=예상등급!$M$1,LOOKUP(R14,예상등급!$M$5:$M$13,예상등급!$N$5:$N$13),IF(Q14=예상등급!$P$1,LOOKUP(R14,예상등급!$P$5:$P$13,예상등급!$Q$5:$Q$13),IF(Q14=예상등급!$S$1,LOOKUP(R14,예상등급!$S$5:$S$13,예상등급!$T$5:$T$13),IF(Q14=예상등급!$V$1,LOOKUP(R14,예상등급!$V$5:$V$13,예상등급!$W$5:$W$13),IF(Q14=예상등급!$Y$1,LOOKUP(R14,예상등급!$Y$5:$Y$13,예상등급!$Z$5:$Z$13),IF(Q14=예상등급!$AB$1,LOOKUP(R14,예상등급!$AB$5:$AB$13,예상등급!$AC$5:$AC$13),IF(Q14=예상등급!$AE$1,LOOKUP(R14,예상등급!$AE$5:$AE$13,예상등급!$AF$5:$AF$13),IF(Q14=예상등급!$AH$1,LOOKUP(R14,예상등급!$AH$5:$AH$13,예상등급!$AI$5:$AI$13),IF(Q14=예상등급!$AK$1,LOOKUP(R14,예상등급!$AK$5:$AK$13,예상등급!$AL$5:$AL$13),IF(Q14=예상등급!$AN$1,LOOKUP(R14,예상등급!$AN$5:$AN$13,예상등급!$AO$5:$AO$13),IF(Q14=예상등급!$AQ$1,LOOKUP(R14,예상등급!$AQ$5:$AQ$13,예상등급!$AR$5:$AR$13),IF(Q14=예상등급!$AH$15,LOOKUP(R14,예상등급!$AH$19:$AH$27,예상등급!$AI$19:$AI$27),IF(Q14=예상등급!$AK$15,LOOKUP(R14,예상등급!$AK$19:$AK$27,예상등급!$AL$19:$AL$27),IF(Q14=예상등급!$AN$15,LOOKUP(R14,예상등급!$AN$19:$AN$27,예상등급!$AO$19:$AO$27),IF(Q14=예상등급!$AQ$15,LOOKUP(R14,예상등급!$AQ$19:$AQ$27,예상등급!$AR$19:$AR$27),"")))))))))))))))))</f>
        <v>3</v>
      </c>
      <c r="T14" s="110">
        <v>45</v>
      </c>
      <c r="U14" s="382">
        <f>IF(T14="","",LOOKUP(T14,예상등급!$D$19:$D$27,예상등급!$E$19:$E$27))</f>
        <v>1</v>
      </c>
      <c r="V14" s="402">
        <f>SUM(L14,T14,R14,O14)</f>
        <v>335</v>
      </c>
      <c r="W14" s="278">
        <f>RANK(V14,$V$4:$V$491)</f>
        <v>11</v>
      </c>
      <c r="X14" s="4"/>
      <c r="Y14" s="142">
        <v>350</v>
      </c>
      <c r="Z14" s="143">
        <f>FREQUENCY($V$4:$V$236,AA14:AA38)</f>
        <v>3</v>
      </c>
      <c r="AA14" s="7">
        <v>359</v>
      </c>
      <c r="AC14" s="348"/>
      <c r="AD14" s="349"/>
      <c r="AE14" s="348">
        <f>SUM(AE13:AF13)</f>
        <v>231</v>
      </c>
      <c r="AF14" s="354"/>
      <c r="AG14" s="348">
        <f>SUM(AG13:AI13)</f>
        <v>230</v>
      </c>
      <c r="AH14" s="353"/>
      <c r="AI14" s="354"/>
      <c r="AJ14" s="356"/>
      <c r="AK14" s="356"/>
      <c r="AL14" s="350">
        <f>SUM(AL13:AO13)</f>
        <v>64</v>
      </c>
      <c r="AM14" s="351"/>
      <c r="AN14" s="351"/>
      <c r="AO14" s="352"/>
      <c r="AP14" s="351">
        <f>SUM(AP13:AS13)</f>
        <v>0</v>
      </c>
      <c r="AQ14" s="351"/>
      <c r="AR14" s="351"/>
      <c r="AS14" s="352"/>
      <c r="AT14" s="350">
        <f>SUM(AT13:AW13)</f>
        <v>0</v>
      </c>
      <c r="AU14" s="351"/>
      <c r="AV14" s="351"/>
      <c r="AW14" s="352"/>
    </row>
    <row r="15" spans="1:49" s="7" customFormat="1" ht="24.95" customHeight="1" thickBot="1" x14ac:dyDescent="0.2">
      <c r="A15" s="110">
        <v>6</v>
      </c>
      <c r="B15" s="71">
        <v>5</v>
      </c>
      <c r="C15" s="100" t="s">
        <v>897</v>
      </c>
      <c r="D15" s="110" t="s">
        <v>779</v>
      </c>
      <c r="E15" s="71">
        <v>68</v>
      </c>
      <c r="F15" s="382">
        <f>IF(D15=예상등급!$A$1,LOOKUP(E15,예상등급!$A$5:$A$13,예상등급!$B$5:$B$13),IF(D15=예상등급!$A$15,LOOKUP(E15,예상등급!$A$19:$A$27,예상등급!$B$19:$B$27),""))</f>
        <v>3</v>
      </c>
      <c r="G15" s="110" t="s">
        <v>781</v>
      </c>
      <c r="H15" s="71">
        <v>76</v>
      </c>
      <c r="I15" s="382">
        <f>IF(G15=예상등급!$G$15,LOOKUP(H15,예상등급!$G$19:$G$27,예상등급!$H$19:$H$27),IF(G15=예상등급!$J$15,LOOKUP(H15,예상등급!$J$19:$J$27,예상등급!$K$19:$K$27),IF(G15=예상등급!$M$15,LOOKUP(H15,예상등급!$M$19:$M$27,예상등급!$N$19:$N$27),"")))</f>
        <v>2</v>
      </c>
      <c r="J15" s="110">
        <v>80</v>
      </c>
      <c r="K15" s="382">
        <f>IF(J15="","",(LOOKUP(J15,예상등급!$D$5:$D$13,예상등급!$E$5:$E$13)))</f>
        <v>2</v>
      </c>
      <c r="L15" s="301">
        <f>SUM(E15,H15,J15)</f>
        <v>224</v>
      </c>
      <c r="M15" s="398">
        <f>RANK(L15,$L$4:$L$491)</f>
        <v>14</v>
      </c>
      <c r="N15" s="110" t="s">
        <v>769</v>
      </c>
      <c r="O15" s="71">
        <v>30</v>
      </c>
      <c r="P15" s="385">
        <f>IF(N15=예상등급!$G$1,LOOKUP(O15,예상등급!$G$5:$G$13,예상등급!$H$5:$H$13),IF(N15=예상등급!$J$1,LOOKUP(O15,예상등급!$J$5:$J$13,예상등급!$K$5:$K$13),IF(N15=예상등급!$M$1,LOOKUP(O15,예상등급!$M$5:$M$13,예상등급!$N$5:$N$13),IF(N15=예상등급!$P$1,LOOKUP(O15,예상등급!$P$5:$P$13,예상등급!$Q$5:$Q$13),IF(N15=예상등급!$S$1,LOOKUP(O15,예상등급!$S$5:$S$13,예상등급!$T$5:$T$13),IF(N15=예상등급!$V$1,LOOKUP(O15,예상등급!$V$5:$V$13,예상등급!$W$5:$W$13),IF(N15=예상등급!$Y$1,LOOKUP(O15,예상등급!$Y$5:$Y$13,예상등급!$Z$5:$Z$13),IF(N15=예상등급!$AB$1,LOOKUP(O15,예상등급!$AB$5:$AB$13,예상등급!$AC$5:$AC$13),IF(N15=예상등급!$AE$1,LOOKUP(O15,예상등급!$AE$5:$AE$13,예상등급!$AF$5:$AF$13),IF(N15=예상등급!$AH$1,LOOKUP(O15,예상등급!$AH$5:$AH$13,예상등급!$AI$5:$AI$13),IF(N15=예상등급!$AK$1,LOOKUP(O15,예상등급!$AK$5:$AK$13,예상등급!$AL$5:$AL$13),IF(N15=예상등급!$AN$1,LOOKUP(O15,예상등급!$AN$5:$AN$13,예상등급!$AO$5:$AO$13),IF(N15=예상등급!$AQ$1,LOOKUP(O15,예상등급!$AQ$5:$AQ$13,예상등급!$AR$5:$AR$13),IF(N15=예상등급!$AH$15,LOOKUP(O15,예상등급!$AH$19:$AH$27,예상등급!$AI$19:$AI$27),IF(N15=예상등급!$AK$15,LOOKUP(O15,예상등급!$AK$19:$AK$27,예상등급!$AL$19:$AL$27),IF(N15=예상등급!$AN$15,LOOKUP(O15,예상등급!$AN$19:$AN$27,예상등급!$AO$19:$AO$27),IF(N15=예상등급!$AQ$15,LOOKUP(O15,예상등급!$AQ$19:$AQ$27,예상등급!$AR$19:$AR$27),"")))))))))))))))))</f>
        <v>3</v>
      </c>
      <c r="Q15" s="110" t="s">
        <v>762</v>
      </c>
      <c r="R15" s="71">
        <v>30</v>
      </c>
      <c r="S15" s="385">
        <f>IF(Q15=예상등급!$G$1,LOOKUP(R15,예상등급!$G$5:$G$13,예상등급!$H$5:$H$13),IF(Q15=예상등급!$J$1,LOOKUP(R15,예상등급!$J$5:$J$13,예상등급!$K$5:$K$13),IF(Q15=예상등급!$M$1,LOOKUP(R15,예상등급!$M$5:$M$13,예상등급!$N$5:$N$13),IF(Q15=예상등급!$P$1,LOOKUP(R15,예상등급!$P$5:$P$13,예상등급!$Q$5:$Q$13),IF(Q15=예상등급!$S$1,LOOKUP(R15,예상등급!$S$5:$S$13,예상등급!$T$5:$T$13),IF(Q15=예상등급!$V$1,LOOKUP(R15,예상등급!$V$5:$V$13,예상등급!$W$5:$W$13),IF(Q15=예상등급!$Y$1,LOOKUP(R15,예상등급!$Y$5:$Y$13,예상등급!$Z$5:$Z$13),IF(Q15=예상등급!$AB$1,LOOKUP(R15,예상등급!$AB$5:$AB$13,예상등급!$AC$5:$AC$13),IF(Q15=예상등급!$AE$1,LOOKUP(R15,예상등급!$AE$5:$AE$13,예상등급!$AF$5:$AF$13),IF(Q15=예상등급!$AH$1,LOOKUP(R15,예상등급!$AH$5:$AH$13,예상등급!$AI$5:$AI$13),IF(Q15=예상등급!$AK$1,LOOKUP(R15,예상등급!$AK$5:$AK$13,예상등급!$AL$5:$AL$13),IF(Q15=예상등급!$AN$1,LOOKUP(R15,예상등급!$AN$5:$AN$13,예상등급!$AO$5:$AO$13),IF(Q15=예상등급!$AQ$1,LOOKUP(R15,예상등급!$AQ$5:$AQ$13,예상등급!$AR$5:$AR$13),IF(Q15=예상등급!$AH$15,LOOKUP(R15,예상등급!$AH$19:$AH$27,예상등급!$AI$19:$AI$27),IF(Q15=예상등급!$AK$15,LOOKUP(R15,예상등급!$AK$19:$AK$27,예상등급!$AL$19:$AL$27),IF(Q15=예상등급!$AN$15,LOOKUP(R15,예상등급!$AN$19:$AN$27,예상등급!$AO$19:$AO$27),IF(Q15=예상등급!$AQ$15,LOOKUP(R15,예상등급!$AQ$19:$AQ$27,예상등급!$AR$19:$AR$27),"")))))))))))))))))</f>
        <v>4</v>
      </c>
      <c r="T15" s="110">
        <v>48</v>
      </c>
      <c r="U15" s="382">
        <f>IF(T15="","",LOOKUP(T15,예상등급!$D$19:$D$27,예상등급!$E$19:$E$27))</f>
        <v>1</v>
      </c>
      <c r="V15" s="402">
        <f>SUM(L15,T15,R15,O15)</f>
        <v>332</v>
      </c>
      <c r="W15" s="278">
        <f>RANK(V15,$V$4:$V$491)</f>
        <v>12</v>
      </c>
      <c r="X15" s="4"/>
      <c r="Y15" s="138">
        <v>340</v>
      </c>
      <c r="Z15" s="144">
        <f>FREQUENCY($V$4:$V$236,AA15:AA39)</f>
        <v>5</v>
      </c>
      <c r="AA15" s="7">
        <v>349</v>
      </c>
    </row>
    <row r="16" spans="1:49" s="7" customFormat="1" ht="24.95" customHeight="1" thickBot="1" x14ac:dyDescent="0.2">
      <c r="A16" s="110">
        <v>9</v>
      </c>
      <c r="B16" s="71">
        <v>22</v>
      </c>
      <c r="C16" s="100" t="s">
        <v>980</v>
      </c>
      <c r="D16" s="110" t="s">
        <v>779</v>
      </c>
      <c r="E16" s="71">
        <v>69</v>
      </c>
      <c r="F16" s="382">
        <f>IF(D16=예상등급!$A$1,LOOKUP(E16,예상등급!$A$5:$A$13,예상등급!$B$5:$B$13),IF(D16=예상등급!$A$15,LOOKUP(E16,예상등급!$A$19:$A$27,예상등급!$B$19:$B$27),""))</f>
        <v>3</v>
      </c>
      <c r="G16" s="110" t="s">
        <v>780</v>
      </c>
      <c r="H16" s="71">
        <v>54</v>
      </c>
      <c r="I16" s="382">
        <f>IF(G16=예상등급!$G$15,LOOKUP(H16,예상등급!$G$19:$G$27,예상등급!$H$19:$H$27),IF(G16=예상등급!$J$15,LOOKUP(H16,예상등급!$J$19:$J$27,예상등급!$K$19:$K$27),IF(G16=예상등급!$M$15,LOOKUP(H16,예상등급!$M$19:$M$27,예상등급!$N$19:$N$27),"")))</f>
        <v>5</v>
      </c>
      <c r="J16" s="110">
        <v>90</v>
      </c>
      <c r="K16" s="382">
        <f>IF(J16="","",(LOOKUP(J16,예상등급!$D$5:$D$13,예상등급!$E$5:$E$13)))</f>
        <v>1</v>
      </c>
      <c r="L16" s="301">
        <f>SUM(E16,H16,J16)</f>
        <v>213</v>
      </c>
      <c r="M16" s="398">
        <f>RANK(L16,$L$4:$L$491)</f>
        <v>31</v>
      </c>
      <c r="N16" s="110" t="s">
        <v>772</v>
      </c>
      <c r="O16" s="71">
        <v>44</v>
      </c>
      <c r="P16" s="385">
        <f>IF(N16=예상등급!$G$1,LOOKUP(O16,예상등급!$G$5:$G$13,예상등급!$H$5:$H$13),IF(N16=예상등급!$J$1,LOOKUP(O16,예상등급!$J$5:$J$13,예상등급!$K$5:$K$13),IF(N16=예상등급!$M$1,LOOKUP(O16,예상등급!$M$5:$M$13,예상등급!$N$5:$N$13),IF(N16=예상등급!$P$1,LOOKUP(O16,예상등급!$P$5:$P$13,예상등급!$Q$5:$Q$13),IF(N16=예상등급!$S$1,LOOKUP(O16,예상등급!$S$5:$S$13,예상등급!$T$5:$T$13),IF(N16=예상등급!$V$1,LOOKUP(O16,예상등급!$V$5:$V$13,예상등급!$W$5:$W$13),IF(N16=예상등급!$Y$1,LOOKUP(O16,예상등급!$Y$5:$Y$13,예상등급!$Z$5:$Z$13),IF(N16=예상등급!$AB$1,LOOKUP(O16,예상등급!$AB$5:$AB$13,예상등급!$AC$5:$AC$13),IF(N16=예상등급!$AE$1,LOOKUP(O16,예상등급!$AE$5:$AE$13,예상등급!$AF$5:$AF$13),IF(N16=예상등급!$AH$1,LOOKUP(O16,예상등급!$AH$5:$AH$13,예상등급!$AI$5:$AI$13),IF(N16=예상등급!$AK$1,LOOKUP(O16,예상등급!$AK$5:$AK$13,예상등급!$AL$5:$AL$13),IF(N16=예상등급!$AN$1,LOOKUP(O16,예상등급!$AN$5:$AN$13,예상등급!$AO$5:$AO$13),IF(N16=예상등급!$AQ$1,LOOKUP(O16,예상등급!$AQ$5:$AQ$13,예상등급!$AR$5:$AR$13),IF(N16=예상등급!$AH$15,LOOKUP(O16,예상등급!$AH$19:$AH$27,예상등급!$AI$19:$AI$27),IF(N16=예상등급!$AK$15,LOOKUP(O16,예상등급!$AK$19:$AK$27,예상등급!$AL$19:$AL$27),IF(N16=예상등급!$AN$15,LOOKUP(O16,예상등급!$AN$19:$AN$27,예상등급!$AO$19:$AO$27),IF(N16=예상등급!$AQ$15,LOOKUP(O16,예상등급!$AQ$19:$AQ$27,예상등급!$AR$19:$AR$27),"")))))))))))))))))</f>
        <v>1</v>
      </c>
      <c r="Q16" s="110" t="s">
        <v>761</v>
      </c>
      <c r="R16" s="71">
        <v>44</v>
      </c>
      <c r="S16" s="385">
        <f>IF(Q16=예상등급!$G$1,LOOKUP(R16,예상등급!$G$5:$G$13,예상등급!$H$5:$H$13),IF(Q16=예상등급!$J$1,LOOKUP(R16,예상등급!$J$5:$J$13,예상등급!$K$5:$K$13),IF(Q16=예상등급!$M$1,LOOKUP(R16,예상등급!$M$5:$M$13,예상등급!$N$5:$N$13),IF(Q16=예상등급!$P$1,LOOKUP(R16,예상등급!$P$5:$P$13,예상등급!$Q$5:$Q$13),IF(Q16=예상등급!$S$1,LOOKUP(R16,예상등급!$S$5:$S$13,예상등급!$T$5:$T$13),IF(Q16=예상등급!$V$1,LOOKUP(R16,예상등급!$V$5:$V$13,예상등급!$W$5:$W$13),IF(Q16=예상등급!$Y$1,LOOKUP(R16,예상등급!$Y$5:$Y$13,예상등급!$Z$5:$Z$13),IF(Q16=예상등급!$AB$1,LOOKUP(R16,예상등급!$AB$5:$AB$13,예상등급!$AC$5:$AC$13),IF(Q16=예상등급!$AE$1,LOOKUP(R16,예상등급!$AE$5:$AE$13,예상등급!$AF$5:$AF$13),IF(Q16=예상등급!$AH$1,LOOKUP(R16,예상등급!$AH$5:$AH$13,예상등급!$AI$5:$AI$13),IF(Q16=예상등급!$AK$1,LOOKUP(R16,예상등급!$AK$5:$AK$13,예상등급!$AL$5:$AL$13),IF(Q16=예상등급!$AN$1,LOOKUP(R16,예상등급!$AN$5:$AN$13,예상등급!$AO$5:$AO$13),IF(Q16=예상등급!$AQ$1,LOOKUP(R16,예상등급!$AQ$5:$AQ$13,예상등급!$AR$5:$AR$13),IF(Q16=예상등급!$AH$15,LOOKUP(R16,예상등급!$AH$19:$AH$27,예상등급!$AI$19:$AI$27),IF(Q16=예상등급!$AK$15,LOOKUP(R16,예상등급!$AK$19:$AK$27,예상등급!$AL$19:$AL$27),IF(Q16=예상등급!$AN$15,LOOKUP(R16,예상등급!$AN$19:$AN$27,예상등급!$AO$19:$AO$27),IF(Q16=예상등급!$AQ$15,LOOKUP(R16,예상등급!$AQ$19:$AQ$27,예상등급!$AR$19:$AR$27),"")))))))))))))))))</f>
        <v>1</v>
      </c>
      <c r="T16" s="110">
        <v>28</v>
      </c>
      <c r="U16" s="382">
        <f>IF(T16="","",LOOKUP(T16,예상등급!$D$19:$D$27,예상등급!$E$19:$E$27))</f>
        <v>4</v>
      </c>
      <c r="V16" s="402">
        <f>SUM(L16,T16,R16,O16)</f>
        <v>329</v>
      </c>
      <c r="W16" s="278">
        <f>RANK(V16,$V$4:$V$491)</f>
        <v>13</v>
      </c>
      <c r="X16" s="4"/>
      <c r="Y16" s="140">
        <v>330</v>
      </c>
      <c r="Z16" s="141">
        <f>FREQUENCY($V$4:$V$236,AA16:AA40)</f>
        <v>2</v>
      </c>
      <c r="AA16" s="7">
        <v>339</v>
      </c>
      <c r="AC16" s="335" t="s">
        <v>776</v>
      </c>
      <c r="AD16" s="336"/>
      <c r="AE16" s="272" t="s">
        <v>761</v>
      </c>
      <c r="AF16" s="250" t="s">
        <v>772</v>
      </c>
      <c r="AG16" s="250" t="s">
        <v>765</v>
      </c>
      <c r="AH16" s="250" t="s">
        <v>760</v>
      </c>
      <c r="AI16" s="250" t="s">
        <v>763</v>
      </c>
      <c r="AJ16" s="250" t="s">
        <v>764</v>
      </c>
      <c r="AK16" s="250" t="s">
        <v>767</v>
      </c>
      <c r="AL16" s="250" t="s">
        <v>766</v>
      </c>
      <c r="AM16" s="294" t="s">
        <v>762</v>
      </c>
    </row>
    <row r="17" spans="1:39" s="7" customFormat="1" ht="24.95" customHeight="1" x14ac:dyDescent="0.15">
      <c r="A17" s="110">
        <v>8</v>
      </c>
      <c r="B17" s="71">
        <v>19</v>
      </c>
      <c r="C17" s="100" t="s">
        <v>953</v>
      </c>
      <c r="D17" s="110" t="s">
        <v>779</v>
      </c>
      <c r="E17" s="71">
        <v>61</v>
      </c>
      <c r="F17" s="382">
        <f>IF(D17=예상등급!$A$1,LOOKUP(E17,예상등급!$A$5:$A$13,예상등급!$B$5:$B$13),IF(D17=예상등급!$A$15,LOOKUP(E17,예상등급!$A$19:$A$27,예상등급!$B$19:$B$27),""))</f>
        <v>4</v>
      </c>
      <c r="G17" s="110" t="s">
        <v>780</v>
      </c>
      <c r="H17" s="71">
        <v>72</v>
      </c>
      <c r="I17" s="382">
        <f>IF(G17=예상등급!$G$15,LOOKUP(H17,예상등급!$G$19:$G$27,예상등급!$H$19:$H$27),IF(G17=예상등급!$J$15,LOOKUP(H17,예상등급!$J$19:$J$27,예상등급!$K$19:$K$27),IF(G17=예상등급!$M$15,LOOKUP(H17,예상등급!$M$19:$M$27,예상등급!$N$19:$N$27),"")))</f>
        <v>3</v>
      </c>
      <c r="J17" s="110">
        <v>79</v>
      </c>
      <c r="K17" s="382">
        <f>IF(J17="","",(LOOKUP(J17,예상등급!$D$5:$D$13,예상등급!$E$5:$E$13)))</f>
        <v>3</v>
      </c>
      <c r="L17" s="301">
        <f>SUM(E17,H17,J17)</f>
        <v>212</v>
      </c>
      <c r="M17" s="398">
        <f>RANK(L17,$L$4:$L$491)</f>
        <v>32</v>
      </c>
      <c r="N17" s="110" t="s">
        <v>760</v>
      </c>
      <c r="O17" s="71">
        <v>32</v>
      </c>
      <c r="P17" s="385">
        <f>IF(N17=예상등급!$G$1,LOOKUP(O17,예상등급!$G$5:$G$13,예상등급!$H$5:$H$13),IF(N17=예상등급!$J$1,LOOKUP(O17,예상등급!$J$5:$J$13,예상등급!$K$5:$K$13),IF(N17=예상등급!$M$1,LOOKUP(O17,예상등급!$M$5:$M$13,예상등급!$N$5:$N$13),IF(N17=예상등급!$P$1,LOOKUP(O17,예상등급!$P$5:$P$13,예상등급!$Q$5:$Q$13),IF(N17=예상등급!$S$1,LOOKUP(O17,예상등급!$S$5:$S$13,예상등급!$T$5:$T$13),IF(N17=예상등급!$V$1,LOOKUP(O17,예상등급!$V$5:$V$13,예상등급!$W$5:$W$13),IF(N17=예상등급!$Y$1,LOOKUP(O17,예상등급!$Y$5:$Y$13,예상등급!$Z$5:$Z$13),IF(N17=예상등급!$AB$1,LOOKUP(O17,예상등급!$AB$5:$AB$13,예상등급!$AC$5:$AC$13),IF(N17=예상등급!$AE$1,LOOKUP(O17,예상등급!$AE$5:$AE$13,예상등급!$AF$5:$AF$13),IF(N17=예상등급!$AH$1,LOOKUP(O17,예상등급!$AH$5:$AH$13,예상등급!$AI$5:$AI$13),IF(N17=예상등급!$AK$1,LOOKUP(O17,예상등급!$AK$5:$AK$13,예상등급!$AL$5:$AL$13),IF(N17=예상등급!$AN$1,LOOKUP(O17,예상등급!$AN$5:$AN$13,예상등급!$AO$5:$AO$13),IF(N17=예상등급!$AQ$1,LOOKUP(O17,예상등급!$AQ$5:$AQ$13,예상등급!$AR$5:$AR$13),IF(N17=예상등급!$AH$15,LOOKUP(O17,예상등급!$AH$19:$AH$27,예상등급!$AI$19:$AI$27),IF(N17=예상등급!$AK$15,LOOKUP(O17,예상등급!$AK$19:$AK$27,예상등급!$AL$19:$AL$27),IF(N17=예상등급!$AN$15,LOOKUP(O17,예상등급!$AN$19:$AN$27,예상등급!$AO$19:$AO$27),IF(N17=예상등급!$AQ$15,LOOKUP(O17,예상등급!$AQ$19:$AQ$27,예상등급!$AR$19:$AR$27),"")))))))))))))))))</f>
        <v>2</v>
      </c>
      <c r="Q17" s="110" t="s">
        <v>765</v>
      </c>
      <c r="R17" s="71">
        <v>33</v>
      </c>
      <c r="S17" s="385">
        <f>IF(Q17=예상등급!$G$1,LOOKUP(R17,예상등급!$G$5:$G$13,예상등급!$H$5:$H$13),IF(Q17=예상등급!$J$1,LOOKUP(R17,예상등급!$J$5:$J$13,예상등급!$K$5:$K$13),IF(Q17=예상등급!$M$1,LOOKUP(R17,예상등급!$M$5:$M$13,예상등급!$N$5:$N$13),IF(Q17=예상등급!$P$1,LOOKUP(R17,예상등급!$P$5:$P$13,예상등급!$Q$5:$Q$13),IF(Q17=예상등급!$S$1,LOOKUP(R17,예상등급!$S$5:$S$13,예상등급!$T$5:$T$13),IF(Q17=예상등급!$V$1,LOOKUP(R17,예상등급!$V$5:$V$13,예상등급!$W$5:$W$13),IF(Q17=예상등급!$Y$1,LOOKUP(R17,예상등급!$Y$5:$Y$13,예상등급!$Z$5:$Z$13),IF(Q17=예상등급!$AB$1,LOOKUP(R17,예상등급!$AB$5:$AB$13,예상등급!$AC$5:$AC$13),IF(Q17=예상등급!$AE$1,LOOKUP(R17,예상등급!$AE$5:$AE$13,예상등급!$AF$5:$AF$13),IF(Q17=예상등급!$AH$1,LOOKUP(R17,예상등급!$AH$5:$AH$13,예상등급!$AI$5:$AI$13),IF(Q17=예상등급!$AK$1,LOOKUP(R17,예상등급!$AK$5:$AK$13,예상등급!$AL$5:$AL$13),IF(Q17=예상등급!$AN$1,LOOKUP(R17,예상등급!$AN$5:$AN$13,예상등급!$AO$5:$AO$13),IF(Q17=예상등급!$AQ$1,LOOKUP(R17,예상등급!$AQ$5:$AQ$13,예상등급!$AR$5:$AR$13),IF(Q17=예상등급!$AH$15,LOOKUP(R17,예상등급!$AH$19:$AH$27,예상등급!$AI$19:$AI$27),IF(Q17=예상등급!$AK$15,LOOKUP(R17,예상등급!$AK$19:$AK$27,예상등급!$AL$19:$AL$27),IF(Q17=예상등급!$AN$15,LOOKUP(R17,예상등급!$AN$19:$AN$27,예상등급!$AO$19:$AO$27),IF(Q17=예상등급!$AQ$15,LOOKUP(R17,예상등급!$AQ$19:$AQ$27,예상등급!$AR$19:$AR$27),"")))))))))))))))))</f>
        <v>3</v>
      </c>
      <c r="T17" s="110">
        <v>50</v>
      </c>
      <c r="U17" s="382">
        <f>IF(T17="","",LOOKUP(T17,예상등급!$D$19:$D$27,예상등급!$E$19:$E$27))</f>
        <v>1</v>
      </c>
      <c r="V17" s="402">
        <f>SUM(L17,T17,R17,O17)</f>
        <v>327</v>
      </c>
      <c r="W17" s="278">
        <f>RANK(V17,$V$4:$V$491)</f>
        <v>14</v>
      </c>
      <c r="X17" s="4"/>
      <c r="Y17" s="140">
        <v>320</v>
      </c>
      <c r="Z17" s="141">
        <f>FREQUENCY($V$4:$V$236,AA17:AA41)</f>
        <v>12</v>
      </c>
      <c r="AA17" s="7">
        <v>329</v>
      </c>
      <c r="AC17" s="238">
        <v>1</v>
      </c>
      <c r="AD17" s="248" t="s">
        <v>24</v>
      </c>
      <c r="AE17" s="249">
        <f>COUNTIFS($N$4:$N$491,$AE$16,$P$4:$P$491,$AC4)+COUNTIFS($Q$4:$Q$491,$AE$16,$S$4:$S$491,$AC4)</f>
        <v>10</v>
      </c>
      <c r="AF17" s="236">
        <f>COUNTIFS($N$4:$N$491,$AF$16,$P$4:$P$491,$AC4)+COUNTIFS($Q$4:$Q$491,$AF$16,$S$4:$S$491,$AC4)</f>
        <v>6</v>
      </c>
      <c r="AG17" s="236">
        <f>COUNTIFS($N$4:$N$491,$AG$16,$P$4:$P$491,$AC4)+COUNTIFS($Q$4:$Q$491,$AG$16,$S$4:$S$491,$AC4)</f>
        <v>3</v>
      </c>
      <c r="AH17" s="236">
        <f>COUNTIFS($N$4:$N$491,$AH$16,$P$4:$P$491,$AC4)+COUNTIFS($Q$4:$Q$491,$AH$16,$S$4:$S$491,$AC4)</f>
        <v>1</v>
      </c>
      <c r="AI17" s="236">
        <f>COUNTIFS($N$4:$N$491,$AI$16,$P$4:$P$491,$AC4)+COUNTIFS($Q$4:$Q$491,$AI$16,$S$4:$S$491,$AC4)</f>
        <v>1</v>
      </c>
      <c r="AJ17" s="236">
        <f>COUNTIFS($N$4:$N$491,$AJ$16,$P$4:$P$491,$AC4)+COUNTIFS($Q$4:$Q$491,$AJ$16,$S$4:$S$491,$AC4)</f>
        <v>0</v>
      </c>
      <c r="AK17" s="236">
        <f>COUNTIFS($N$4:$N$491,$AK$16,$P$4:$P$491,$AC4)+COUNTIFS($Q$4:$Q$491,$AK$16,$S$4:$S$491,$AC4)</f>
        <v>1</v>
      </c>
      <c r="AL17" s="236">
        <f>COUNTIFS($N$4:$N$491,$AL$16,$P$4:$P$491,$AC4)+COUNTIFS($Q$4:$Q$491,$AL$16,$S$4:$S$491,$AC4)</f>
        <v>0</v>
      </c>
      <c r="AM17" s="237">
        <f>COUNTIFS($N$4:$N$491,$AM$16,$P$4:$P$491,$AC4)+COUNTIFS($Q$4:$Q$491,$AM$16,$S$4:$S$491,$AC4)</f>
        <v>7</v>
      </c>
    </row>
    <row r="18" spans="1:39" s="7" customFormat="1" ht="24.95" customHeight="1" x14ac:dyDescent="0.15">
      <c r="A18" s="110">
        <v>1</v>
      </c>
      <c r="B18" s="71">
        <v>20</v>
      </c>
      <c r="C18" s="100" t="s">
        <v>816</v>
      </c>
      <c r="D18" s="110" t="s">
        <v>779</v>
      </c>
      <c r="E18" s="71">
        <v>66</v>
      </c>
      <c r="F18" s="382">
        <f>IF(D18=예상등급!$A$1,LOOKUP(E18,예상등급!$A$5:$A$13,예상등급!$B$5:$B$13),IF(D18=예상등급!$A$15,LOOKUP(E18,예상등급!$A$19:$A$27,예상등급!$B$19:$B$27),""))</f>
        <v>3</v>
      </c>
      <c r="G18" s="110" t="s">
        <v>781</v>
      </c>
      <c r="H18" s="71">
        <v>74</v>
      </c>
      <c r="I18" s="382">
        <f>IF(G18=예상등급!$G$15,LOOKUP(H18,예상등급!$G$19:$G$27,예상등급!$H$19:$H$27),IF(G18=예상등급!$J$15,LOOKUP(H18,예상등급!$J$19:$J$27,예상등급!$K$19:$K$27),IF(G18=예상등급!$M$15,LOOKUP(H18,예상등급!$M$19:$M$27,예상등급!$N$19:$N$27),"")))</f>
        <v>2</v>
      </c>
      <c r="J18" s="110">
        <v>80</v>
      </c>
      <c r="K18" s="382">
        <f>IF(J18="","",(LOOKUP(J18,예상등급!$D$5:$D$13,예상등급!$E$5:$E$13)))</f>
        <v>2</v>
      </c>
      <c r="L18" s="301">
        <f>SUM(E18,H18,J18)</f>
        <v>220</v>
      </c>
      <c r="M18" s="398">
        <f>RANK(L18,$L$4:$L$491)</f>
        <v>20</v>
      </c>
      <c r="N18" s="110" t="s">
        <v>761</v>
      </c>
      <c r="O18" s="71">
        <v>32</v>
      </c>
      <c r="P18" s="385">
        <f>IF(N18=예상등급!$G$1,LOOKUP(O18,예상등급!$G$5:$G$13,예상등급!$H$5:$H$13),IF(N18=예상등급!$J$1,LOOKUP(O18,예상등급!$J$5:$J$13,예상등급!$K$5:$K$13),IF(N18=예상등급!$M$1,LOOKUP(O18,예상등급!$M$5:$M$13,예상등급!$N$5:$N$13),IF(N18=예상등급!$P$1,LOOKUP(O18,예상등급!$P$5:$P$13,예상등급!$Q$5:$Q$13),IF(N18=예상등급!$S$1,LOOKUP(O18,예상등급!$S$5:$S$13,예상등급!$T$5:$T$13),IF(N18=예상등급!$V$1,LOOKUP(O18,예상등급!$V$5:$V$13,예상등급!$W$5:$W$13),IF(N18=예상등급!$Y$1,LOOKUP(O18,예상등급!$Y$5:$Y$13,예상등급!$Z$5:$Z$13),IF(N18=예상등급!$AB$1,LOOKUP(O18,예상등급!$AB$5:$AB$13,예상등급!$AC$5:$AC$13),IF(N18=예상등급!$AE$1,LOOKUP(O18,예상등급!$AE$5:$AE$13,예상등급!$AF$5:$AF$13),IF(N18=예상등급!$AH$1,LOOKUP(O18,예상등급!$AH$5:$AH$13,예상등급!$AI$5:$AI$13),IF(N18=예상등급!$AK$1,LOOKUP(O18,예상등급!$AK$5:$AK$13,예상등급!$AL$5:$AL$13),IF(N18=예상등급!$AN$1,LOOKUP(O18,예상등급!$AN$5:$AN$13,예상등급!$AO$5:$AO$13),IF(N18=예상등급!$AQ$1,LOOKUP(O18,예상등급!$AQ$5:$AQ$13,예상등급!$AR$5:$AR$13),IF(N18=예상등급!$AH$15,LOOKUP(O18,예상등급!$AH$19:$AH$27,예상등급!$AI$19:$AI$27),IF(N18=예상등급!$AK$15,LOOKUP(O18,예상등급!$AK$19:$AK$27,예상등급!$AL$19:$AL$27),IF(N18=예상등급!$AN$15,LOOKUP(O18,예상등급!$AN$19:$AN$27,예상등급!$AO$19:$AO$27),IF(N18=예상등급!$AQ$15,LOOKUP(O18,예상등급!$AQ$19:$AQ$27,예상등급!$AR$19:$AR$27),"")))))))))))))))))</f>
        <v>3</v>
      </c>
      <c r="Q18" s="110" t="s">
        <v>762</v>
      </c>
      <c r="R18" s="71">
        <v>42</v>
      </c>
      <c r="S18" s="385">
        <f>IF(Q18=예상등급!$G$1,LOOKUP(R18,예상등급!$G$5:$G$13,예상등급!$H$5:$H$13),IF(Q18=예상등급!$J$1,LOOKUP(R18,예상등급!$J$5:$J$13,예상등급!$K$5:$K$13),IF(Q18=예상등급!$M$1,LOOKUP(R18,예상등급!$M$5:$M$13,예상등급!$N$5:$N$13),IF(Q18=예상등급!$P$1,LOOKUP(R18,예상등급!$P$5:$P$13,예상등급!$Q$5:$Q$13),IF(Q18=예상등급!$S$1,LOOKUP(R18,예상등급!$S$5:$S$13,예상등급!$T$5:$T$13),IF(Q18=예상등급!$V$1,LOOKUP(R18,예상등급!$V$5:$V$13,예상등급!$W$5:$W$13),IF(Q18=예상등급!$Y$1,LOOKUP(R18,예상등급!$Y$5:$Y$13,예상등급!$Z$5:$Z$13),IF(Q18=예상등급!$AB$1,LOOKUP(R18,예상등급!$AB$5:$AB$13,예상등급!$AC$5:$AC$13),IF(Q18=예상등급!$AE$1,LOOKUP(R18,예상등급!$AE$5:$AE$13,예상등급!$AF$5:$AF$13),IF(Q18=예상등급!$AH$1,LOOKUP(R18,예상등급!$AH$5:$AH$13,예상등급!$AI$5:$AI$13),IF(Q18=예상등급!$AK$1,LOOKUP(R18,예상등급!$AK$5:$AK$13,예상등급!$AL$5:$AL$13),IF(Q18=예상등급!$AN$1,LOOKUP(R18,예상등급!$AN$5:$AN$13,예상등급!$AO$5:$AO$13),IF(Q18=예상등급!$AQ$1,LOOKUP(R18,예상등급!$AQ$5:$AQ$13,예상등급!$AR$5:$AR$13),IF(Q18=예상등급!$AH$15,LOOKUP(R18,예상등급!$AH$19:$AH$27,예상등급!$AI$19:$AI$27),IF(Q18=예상등급!$AK$15,LOOKUP(R18,예상등급!$AK$19:$AK$27,예상등급!$AL$19:$AL$27),IF(Q18=예상등급!$AN$15,LOOKUP(R18,예상등급!$AN$19:$AN$27,예상등급!$AO$19:$AO$27),IF(Q18=예상등급!$AQ$15,LOOKUP(R18,예상등급!$AQ$19:$AQ$27,예상등급!$AR$19:$AR$27),"")))))))))))))))))</f>
        <v>2</v>
      </c>
      <c r="T18" s="110">
        <v>32</v>
      </c>
      <c r="U18" s="382">
        <f>IF(T18="","",LOOKUP(T18,예상등급!$D$19:$D$27,예상등급!$E$19:$E$27))</f>
        <v>3</v>
      </c>
      <c r="V18" s="402">
        <f>SUM(L18,T18,R18,O18)</f>
        <v>326</v>
      </c>
      <c r="W18" s="278">
        <f>RANK(V18,$V$4:$V$491)</f>
        <v>15</v>
      </c>
      <c r="X18" s="4"/>
      <c r="Y18" s="140">
        <v>310</v>
      </c>
      <c r="Z18" s="141">
        <f>FREQUENCY($V$4:$V$236,AA18:AA42)</f>
        <v>9</v>
      </c>
      <c r="AA18" s="7">
        <v>319</v>
      </c>
      <c r="AC18" s="235">
        <v>2</v>
      </c>
      <c r="AD18" s="246" t="s">
        <v>24</v>
      </c>
      <c r="AE18" s="249">
        <f>COUNTIFS($N$4:$N$491,$AE$16,$P$4:$P$491,$AC5)+COUNTIFS($Q$4:$Q$491,$AE$16,$S$4:$S$491,$AC5)</f>
        <v>13</v>
      </c>
      <c r="AF18" s="236">
        <f>COUNTIFS($N$4:$N$491,$AF$16,$P$4:$P$491,$AC5)+COUNTIFS($Q$4:$Q$491,$AF$16,$S$4:$S$491,$AC5)</f>
        <v>2</v>
      </c>
      <c r="AG18" s="236">
        <f>COUNTIFS($N$4:$N$491,$AG$16,$P$4:$P$491,$AC5)+COUNTIFS($Q$4:$Q$491,$AG$16,$S$4:$S$491,$AC5)</f>
        <v>5</v>
      </c>
      <c r="AH18" s="236">
        <f>COUNTIFS($N$4:$N$491,$AH$16,$P$4:$P$491,$AC5)+COUNTIFS($Q$4:$Q$491,$AH$16,$S$4:$S$491,$AC5)</f>
        <v>2</v>
      </c>
      <c r="AI18" s="236">
        <f>COUNTIFS($N$4:$N$491,$AI$16,$P$4:$P$491,$AC5)+COUNTIFS($Q$4:$Q$491,$AI$16,$S$4:$S$491,$AC5)</f>
        <v>1</v>
      </c>
      <c r="AJ18" s="236">
        <f>COUNTIFS($N$4:$N$491,$AJ$16,$P$4:$P$491,$AC5)+COUNTIFS($Q$4:$Q$491,$AJ$16,$S$4:$S$491,$AC5)</f>
        <v>1</v>
      </c>
      <c r="AK18" s="236">
        <f>COUNTIFS($N$4:$N$491,$AK$16,$P$4:$P$491,$AC5)+COUNTIFS($Q$4:$Q$491,$AK$16,$S$4:$S$491,$AC5)</f>
        <v>0</v>
      </c>
      <c r="AL18" s="236">
        <f>COUNTIFS($N$4:$N$491,$AL$16,$P$4:$P$491,$AC5)+COUNTIFS($Q$4:$Q$491,$AL$16,$S$4:$S$491,$AC5)</f>
        <v>0</v>
      </c>
      <c r="AM18" s="237">
        <f>COUNTIFS($N$4:$N$491,$AM$16,$P$4:$P$491,$AC5)+COUNTIFS($Q$4:$Q$491,$AM$16,$S$4:$S$491,$AC5)</f>
        <v>7</v>
      </c>
    </row>
    <row r="19" spans="1:39" s="7" customFormat="1" ht="24.95" customHeight="1" thickBot="1" x14ac:dyDescent="0.2">
      <c r="A19" s="110">
        <v>2</v>
      </c>
      <c r="B19" s="71">
        <v>3</v>
      </c>
      <c r="C19" s="100" t="s">
        <v>788</v>
      </c>
      <c r="D19" s="110" t="s">
        <v>779</v>
      </c>
      <c r="E19" s="71">
        <v>59</v>
      </c>
      <c r="F19" s="382">
        <f>IF(D19=예상등급!$A$1,LOOKUP(E19,예상등급!$A$5:$A$13,예상등급!$B$5:$B$13),IF(D19=예상등급!$A$15,LOOKUP(E19,예상등급!$A$19:$A$27,예상등급!$B$19:$B$27),""))</f>
        <v>4</v>
      </c>
      <c r="G19" s="110" t="s">
        <v>780</v>
      </c>
      <c r="H19" s="71">
        <v>73</v>
      </c>
      <c r="I19" s="382">
        <f>IF(G19=예상등급!$G$15,LOOKUP(H19,예상등급!$G$19:$G$27,예상등급!$H$19:$H$27),IF(G19=예상등급!$J$15,LOOKUP(H19,예상등급!$J$19:$J$27,예상등급!$K$19:$K$27),IF(G19=예상등급!$M$15,LOOKUP(H19,예상등급!$M$19:$M$27,예상등급!$N$19:$N$27),"")))</f>
        <v>3</v>
      </c>
      <c r="J19" s="110">
        <v>68</v>
      </c>
      <c r="K19" s="382">
        <f>IF(J19="","",(LOOKUP(J19,예상등급!$D$5:$D$13,예상등급!$E$5:$E$13)))</f>
        <v>4</v>
      </c>
      <c r="L19" s="301">
        <f>SUM(E19,H19,J19)</f>
        <v>200</v>
      </c>
      <c r="M19" s="398">
        <f>RANK(L19,$L$4:$L$491)</f>
        <v>46</v>
      </c>
      <c r="N19" s="110" t="s">
        <v>763</v>
      </c>
      <c r="O19" s="71">
        <v>50</v>
      </c>
      <c r="P19" s="385">
        <f>IF(N19=예상등급!$G$1,LOOKUP(O19,예상등급!$G$5:$G$13,예상등급!$H$5:$H$13),IF(N19=예상등급!$J$1,LOOKUP(O19,예상등급!$J$5:$J$13,예상등급!$K$5:$K$13),IF(N19=예상등급!$M$1,LOOKUP(O19,예상등급!$M$5:$M$13,예상등급!$N$5:$N$13),IF(N19=예상등급!$P$1,LOOKUP(O19,예상등급!$P$5:$P$13,예상등급!$Q$5:$Q$13),IF(N19=예상등급!$S$1,LOOKUP(O19,예상등급!$S$5:$S$13,예상등급!$T$5:$T$13),IF(N19=예상등급!$V$1,LOOKUP(O19,예상등급!$V$5:$V$13,예상등급!$W$5:$W$13),IF(N19=예상등급!$Y$1,LOOKUP(O19,예상등급!$Y$5:$Y$13,예상등급!$Z$5:$Z$13),IF(N19=예상등급!$AB$1,LOOKUP(O19,예상등급!$AB$5:$AB$13,예상등급!$AC$5:$AC$13),IF(N19=예상등급!$AE$1,LOOKUP(O19,예상등급!$AE$5:$AE$13,예상등급!$AF$5:$AF$13),IF(N19=예상등급!$AH$1,LOOKUP(O19,예상등급!$AH$5:$AH$13,예상등급!$AI$5:$AI$13),IF(N19=예상등급!$AK$1,LOOKUP(O19,예상등급!$AK$5:$AK$13,예상등급!$AL$5:$AL$13),IF(N19=예상등급!$AN$1,LOOKUP(O19,예상등급!$AN$5:$AN$13,예상등급!$AO$5:$AO$13),IF(N19=예상등급!$AQ$1,LOOKUP(O19,예상등급!$AQ$5:$AQ$13,예상등급!$AR$5:$AR$13),IF(N19=예상등급!$AH$15,LOOKUP(O19,예상등급!$AH$19:$AH$27,예상등급!$AI$19:$AI$27),IF(N19=예상등급!$AK$15,LOOKUP(O19,예상등급!$AK$19:$AK$27,예상등급!$AL$19:$AL$27),IF(N19=예상등급!$AN$15,LOOKUP(O19,예상등급!$AN$19:$AN$27,예상등급!$AO$19:$AO$27),IF(N19=예상등급!$AQ$15,LOOKUP(O19,예상등급!$AQ$19:$AQ$27,예상등급!$AR$19:$AR$27),"")))))))))))))))))</f>
        <v>1</v>
      </c>
      <c r="Q19" s="110" t="s">
        <v>764</v>
      </c>
      <c r="R19" s="71">
        <v>34</v>
      </c>
      <c r="S19" s="385">
        <f>IF(Q19=예상등급!$G$1,LOOKUP(R19,예상등급!$G$5:$G$13,예상등급!$H$5:$H$13),IF(Q19=예상등급!$J$1,LOOKUP(R19,예상등급!$J$5:$J$13,예상등급!$K$5:$K$13),IF(Q19=예상등급!$M$1,LOOKUP(R19,예상등급!$M$5:$M$13,예상등급!$N$5:$N$13),IF(Q19=예상등급!$P$1,LOOKUP(R19,예상등급!$P$5:$P$13,예상등급!$Q$5:$Q$13),IF(Q19=예상등급!$S$1,LOOKUP(R19,예상등급!$S$5:$S$13,예상등급!$T$5:$T$13),IF(Q19=예상등급!$V$1,LOOKUP(R19,예상등급!$V$5:$V$13,예상등급!$W$5:$W$13),IF(Q19=예상등급!$Y$1,LOOKUP(R19,예상등급!$Y$5:$Y$13,예상등급!$Z$5:$Z$13),IF(Q19=예상등급!$AB$1,LOOKUP(R19,예상등급!$AB$5:$AB$13,예상등급!$AC$5:$AC$13),IF(Q19=예상등급!$AE$1,LOOKUP(R19,예상등급!$AE$5:$AE$13,예상등급!$AF$5:$AF$13),IF(Q19=예상등급!$AH$1,LOOKUP(R19,예상등급!$AH$5:$AH$13,예상등급!$AI$5:$AI$13),IF(Q19=예상등급!$AK$1,LOOKUP(R19,예상등급!$AK$5:$AK$13,예상등급!$AL$5:$AL$13),IF(Q19=예상등급!$AN$1,LOOKUP(R19,예상등급!$AN$5:$AN$13,예상등급!$AO$5:$AO$13),IF(Q19=예상등급!$AQ$1,LOOKUP(R19,예상등급!$AQ$5:$AQ$13,예상등급!$AR$5:$AR$13),IF(Q19=예상등급!$AH$15,LOOKUP(R19,예상등급!$AH$19:$AH$27,예상등급!$AI$19:$AI$27),IF(Q19=예상등급!$AK$15,LOOKUP(R19,예상등급!$AK$19:$AK$27,예상등급!$AL$19:$AL$27),IF(Q19=예상등급!$AN$15,LOOKUP(R19,예상등급!$AN$19:$AN$27,예상등급!$AO$19:$AO$27),IF(Q19=예상등급!$AQ$15,LOOKUP(R19,예상등급!$AQ$19:$AQ$27,예상등급!$AR$19:$AR$27),"")))))))))))))))))</f>
        <v>2</v>
      </c>
      <c r="T19" s="110">
        <v>42</v>
      </c>
      <c r="U19" s="382">
        <f>IF(T19="","",LOOKUP(T19,예상등급!$D$19:$D$27,예상등급!$E$19:$E$27))</f>
        <v>1</v>
      </c>
      <c r="V19" s="402">
        <f>SUM(L19,T19,R19,O19)</f>
        <v>326</v>
      </c>
      <c r="W19" s="278">
        <f>RANK(V19,$V$4:$V$491)</f>
        <v>15</v>
      </c>
      <c r="X19" s="4"/>
      <c r="Y19" s="142">
        <v>300</v>
      </c>
      <c r="Z19" s="143">
        <f>FREQUENCY($V$4:$V$236,AA19:AA43)</f>
        <v>4</v>
      </c>
      <c r="AA19" s="7">
        <v>309</v>
      </c>
      <c r="AC19" s="235">
        <v>3</v>
      </c>
      <c r="AD19" s="246" t="s">
        <v>24</v>
      </c>
      <c r="AE19" s="249">
        <f>COUNTIFS($N$4:$N$491,$AE$16,$P$4:$P$491,$AC6)+COUNTIFS($Q$4:$Q$491,$AE$16,$S$4:$S$491,$AC6)</f>
        <v>18</v>
      </c>
      <c r="AF19" s="236">
        <f>COUNTIFS($N$4:$N$491,$AF$16,$P$4:$P$491,$AC6)+COUNTIFS($Q$4:$Q$491,$AF$16,$S$4:$S$491,$AC6)</f>
        <v>7</v>
      </c>
      <c r="AG19" s="236">
        <f>COUNTIFS($N$4:$N$491,$AG$16,$P$4:$P$491,$AC6)+COUNTIFS($Q$4:$Q$491,$AG$16,$S$4:$S$491,$AC6)</f>
        <v>7</v>
      </c>
      <c r="AH19" s="236">
        <f>COUNTIFS($N$4:$N$491,$AH$16,$P$4:$P$491,$AC6)+COUNTIFS($Q$4:$Q$491,$AH$16,$S$4:$S$491,$AC6)</f>
        <v>1</v>
      </c>
      <c r="AI19" s="236">
        <f>COUNTIFS($N$4:$N$491,$AI$16,$P$4:$P$491,$AC6)+COUNTIFS($Q$4:$Q$491,$AI$16,$S$4:$S$491,$AC6)</f>
        <v>3</v>
      </c>
      <c r="AJ19" s="236">
        <f>COUNTIFS($N$4:$N$491,$AJ$16,$P$4:$P$491,$AC6)+COUNTIFS($Q$4:$Q$491,$AJ$16,$S$4:$S$491,$AC6)</f>
        <v>2</v>
      </c>
      <c r="AK19" s="236">
        <f>COUNTIFS($N$4:$N$491,$AK$16,$P$4:$P$491,$AC6)+COUNTIFS($Q$4:$Q$491,$AK$16,$S$4:$S$491,$AC6)</f>
        <v>5</v>
      </c>
      <c r="AL19" s="236">
        <f>COUNTIFS($N$4:$N$491,$AL$16,$P$4:$P$491,$AC6)+COUNTIFS($Q$4:$Q$491,$AL$16,$S$4:$S$491,$AC6)</f>
        <v>0</v>
      </c>
      <c r="AM19" s="237">
        <f>COUNTIFS($N$4:$N$491,$AM$16,$P$4:$P$491,$AC6)+COUNTIFS($Q$4:$Q$491,$AM$16,$S$4:$S$491,$AC6)</f>
        <v>23</v>
      </c>
    </row>
    <row r="20" spans="1:39" s="7" customFormat="1" ht="24.95" customHeight="1" x14ac:dyDescent="0.15">
      <c r="A20" s="110">
        <v>6</v>
      </c>
      <c r="B20" s="71">
        <v>18</v>
      </c>
      <c r="C20" s="100" t="s">
        <v>909</v>
      </c>
      <c r="D20" s="110" t="s">
        <v>779</v>
      </c>
      <c r="E20" s="71">
        <v>74</v>
      </c>
      <c r="F20" s="382">
        <f>IF(D20=예상등급!$A$1,LOOKUP(E20,예상등급!$A$5:$A$13,예상등급!$B$5:$B$13),IF(D20=예상등급!$A$15,LOOKUP(E20,예상등급!$A$19:$A$27,예상등급!$B$19:$B$27),""))</f>
        <v>2</v>
      </c>
      <c r="G20" s="110" t="s">
        <v>780</v>
      </c>
      <c r="H20" s="71">
        <v>68</v>
      </c>
      <c r="I20" s="382">
        <f>IF(G20=예상등급!$G$15,LOOKUP(H20,예상등급!$G$19:$G$27,예상등급!$H$19:$H$27),IF(G20=예상등급!$J$15,LOOKUP(H20,예상등급!$J$19:$J$27,예상등급!$K$19:$K$27),IF(G20=예상등급!$M$15,LOOKUP(H20,예상등급!$M$19:$M$27,예상등급!$N$19:$N$27),"")))</f>
        <v>3</v>
      </c>
      <c r="J20" s="110">
        <v>93</v>
      </c>
      <c r="K20" s="382">
        <f>IF(J20="","",(LOOKUP(J20,예상등급!$D$5:$D$13,예상등급!$E$5:$E$13)))</f>
        <v>1</v>
      </c>
      <c r="L20" s="301">
        <f>SUM(E20,H20,J20)</f>
        <v>235</v>
      </c>
      <c r="M20" s="398">
        <f>RANK(L20,$L$4:$L$491)</f>
        <v>7</v>
      </c>
      <c r="N20" s="110" t="s">
        <v>762</v>
      </c>
      <c r="O20" s="71">
        <v>28</v>
      </c>
      <c r="P20" s="385">
        <f>IF(N20=예상등급!$G$1,LOOKUP(O20,예상등급!$G$5:$G$13,예상등급!$H$5:$H$13),IF(N20=예상등급!$J$1,LOOKUP(O20,예상등급!$J$5:$J$13,예상등급!$K$5:$K$13),IF(N20=예상등급!$M$1,LOOKUP(O20,예상등급!$M$5:$M$13,예상등급!$N$5:$N$13),IF(N20=예상등급!$P$1,LOOKUP(O20,예상등급!$P$5:$P$13,예상등급!$Q$5:$Q$13),IF(N20=예상등급!$S$1,LOOKUP(O20,예상등급!$S$5:$S$13,예상등급!$T$5:$T$13),IF(N20=예상등급!$V$1,LOOKUP(O20,예상등급!$V$5:$V$13,예상등급!$W$5:$W$13),IF(N20=예상등급!$Y$1,LOOKUP(O20,예상등급!$Y$5:$Y$13,예상등급!$Z$5:$Z$13),IF(N20=예상등급!$AB$1,LOOKUP(O20,예상등급!$AB$5:$AB$13,예상등급!$AC$5:$AC$13),IF(N20=예상등급!$AE$1,LOOKUP(O20,예상등급!$AE$5:$AE$13,예상등급!$AF$5:$AF$13),IF(N20=예상등급!$AH$1,LOOKUP(O20,예상등급!$AH$5:$AH$13,예상등급!$AI$5:$AI$13),IF(N20=예상등급!$AK$1,LOOKUP(O20,예상등급!$AK$5:$AK$13,예상등급!$AL$5:$AL$13),IF(N20=예상등급!$AN$1,LOOKUP(O20,예상등급!$AN$5:$AN$13,예상등급!$AO$5:$AO$13),IF(N20=예상등급!$AQ$1,LOOKUP(O20,예상등급!$AQ$5:$AQ$13,예상등급!$AR$5:$AR$13),IF(N20=예상등급!$AH$15,LOOKUP(O20,예상등급!$AH$19:$AH$27,예상등급!$AI$19:$AI$27),IF(N20=예상등급!$AK$15,LOOKUP(O20,예상등급!$AK$19:$AK$27,예상등급!$AL$19:$AL$27),IF(N20=예상등급!$AN$15,LOOKUP(O20,예상등급!$AN$19:$AN$27,예상등급!$AO$19:$AO$27),IF(N20=예상등급!$AQ$15,LOOKUP(O20,예상등급!$AQ$19:$AQ$27,예상등급!$AR$19:$AR$27),"")))))))))))))))))</f>
        <v>4</v>
      </c>
      <c r="Q20" s="110" t="s">
        <v>761</v>
      </c>
      <c r="R20" s="71">
        <v>31</v>
      </c>
      <c r="S20" s="385">
        <f>IF(Q20=예상등급!$G$1,LOOKUP(R20,예상등급!$G$5:$G$13,예상등급!$H$5:$H$13),IF(Q20=예상등급!$J$1,LOOKUP(R20,예상등급!$J$5:$J$13,예상등급!$K$5:$K$13),IF(Q20=예상등급!$M$1,LOOKUP(R20,예상등급!$M$5:$M$13,예상등급!$N$5:$N$13),IF(Q20=예상등급!$P$1,LOOKUP(R20,예상등급!$P$5:$P$13,예상등급!$Q$5:$Q$13),IF(Q20=예상등급!$S$1,LOOKUP(R20,예상등급!$S$5:$S$13,예상등급!$T$5:$T$13),IF(Q20=예상등급!$V$1,LOOKUP(R20,예상등급!$V$5:$V$13,예상등급!$W$5:$W$13),IF(Q20=예상등급!$Y$1,LOOKUP(R20,예상등급!$Y$5:$Y$13,예상등급!$Z$5:$Z$13),IF(Q20=예상등급!$AB$1,LOOKUP(R20,예상등급!$AB$5:$AB$13,예상등급!$AC$5:$AC$13),IF(Q20=예상등급!$AE$1,LOOKUP(R20,예상등급!$AE$5:$AE$13,예상등급!$AF$5:$AF$13),IF(Q20=예상등급!$AH$1,LOOKUP(R20,예상등급!$AH$5:$AH$13,예상등급!$AI$5:$AI$13),IF(Q20=예상등급!$AK$1,LOOKUP(R20,예상등급!$AK$5:$AK$13,예상등급!$AL$5:$AL$13),IF(Q20=예상등급!$AN$1,LOOKUP(R20,예상등급!$AN$5:$AN$13,예상등급!$AO$5:$AO$13),IF(Q20=예상등급!$AQ$1,LOOKUP(R20,예상등급!$AQ$5:$AQ$13,예상등급!$AR$5:$AR$13),IF(Q20=예상등급!$AH$15,LOOKUP(R20,예상등급!$AH$19:$AH$27,예상등급!$AI$19:$AI$27),IF(Q20=예상등급!$AK$15,LOOKUP(R20,예상등급!$AK$19:$AK$27,예상등급!$AL$19:$AL$27),IF(Q20=예상등급!$AN$15,LOOKUP(R20,예상등급!$AN$19:$AN$27,예상등급!$AO$19:$AO$27),IF(Q20=예상등급!$AQ$15,LOOKUP(R20,예상등급!$AQ$19:$AQ$27,예상등급!$AR$19:$AR$27),"")))))))))))))))))</f>
        <v>3</v>
      </c>
      <c r="T20" s="110">
        <v>32</v>
      </c>
      <c r="U20" s="382">
        <f>IF(T20="","",LOOKUP(T20,예상등급!$D$19:$D$27,예상등급!$E$19:$E$27))</f>
        <v>3</v>
      </c>
      <c r="V20" s="402">
        <f>SUM(L20,T20,R20,O20)</f>
        <v>326</v>
      </c>
      <c r="W20" s="278">
        <f>RANK(V20,$V$4:$V$491)</f>
        <v>15</v>
      </c>
      <c r="X20" s="4"/>
      <c r="Y20" s="138">
        <v>290</v>
      </c>
      <c r="Z20" s="144">
        <f>FREQUENCY($V$4:$V$236,AA20:AA44)</f>
        <v>12</v>
      </c>
      <c r="AA20" s="7">
        <v>299</v>
      </c>
      <c r="AC20" s="235">
        <v>4</v>
      </c>
      <c r="AD20" s="246" t="s">
        <v>24</v>
      </c>
      <c r="AE20" s="249">
        <f>COUNTIFS($N$4:$N$491,$AE$16,$P$4:$P$491,$AC7)+COUNTIFS($Q$4:$Q$491,$AE$16,$S$4:$S$491,$AC7)</f>
        <v>16</v>
      </c>
      <c r="AF20" s="236">
        <f>COUNTIFS($N$4:$N$491,$AF$16,$P$4:$P$491,$AC7)+COUNTIFS($Q$4:$Q$491,$AF$16,$S$4:$S$491,$AC7)</f>
        <v>4</v>
      </c>
      <c r="AG20" s="236">
        <f>COUNTIFS($N$4:$N$491,$AG$16,$P$4:$P$491,$AC7)+COUNTIFS($Q$4:$Q$491,$AG$16,$S$4:$S$491,$AC7)</f>
        <v>2</v>
      </c>
      <c r="AH20" s="236">
        <f>COUNTIFS($N$4:$N$491,$AH$16,$P$4:$P$491,$AC7)+COUNTIFS($Q$4:$Q$491,$AH$16,$S$4:$S$491,$AC7)</f>
        <v>2</v>
      </c>
      <c r="AI20" s="236">
        <f>COUNTIFS($N$4:$N$491,$AI$16,$P$4:$P$491,$AC7)+COUNTIFS($Q$4:$Q$491,$AI$16,$S$4:$S$491,$AC7)</f>
        <v>3</v>
      </c>
      <c r="AJ20" s="236">
        <f>COUNTIFS($N$4:$N$491,$AJ$16,$P$4:$P$491,$AC7)+COUNTIFS($Q$4:$Q$491,$AJ$16,$S$4:$S$491,$AC7)</f>
        <v>1</v>
      </c>
      <c r="AK20" s="236">
        <f>COUNTIFS($N$4:$N$491,$AK$16,$P$4:$P$491,$AC7)+COUNTIFS($Q$4:$Q$491,$AK$16,$S$4:$S$491,$AC7)</f>
        <v>5</v>
      </c>
      <c r="AL20" s="236">
        <f>COUNTIFS($N$4:$N$491,$AL$16,$P$4:$P$491,$AC7)+COUNTIFS($Q$4:$Q$491,$AL$16,$S$4:$S$491,$AC7)</f>
        <v>2</v>
      </c>
      <c r="AM20" s="237">
        <f>COUNTIFS($N$4:$N$491,$AM$16,$P$4:$P$491,$AC7)+COUNTIFS($Q$4:$Q$491,$AM$16,$S$4:$S$491,$AC7)</f>
        <v>19</v>
      </c>
    </row>
    <row r="21" spans="1:39" s="7" customFormat="1" ht="24.95" customHeight="1" x14ac:dyDescent="0.15">
      <c r="A21" s="110">
        <v>7</v>
      </c>
      <c r="B21" s="71">
        <v>15</v>
      </c>
      <c r="C21" s="100" t="s">
        <v>929</v>
      </c>
      <c r="D21" s="110" t="s">
        <v>779</v>
      </c>
      <c r="E21" s="71">
        <v>65</v>
      </c>
      <c r="F21" s="382">
        <f>IF(D21=예상등급!$A$1,LOOKUP(E21,예상등급!$A$5:$A$13,예상등급!$B$5:$B$13),IF(D21=예상등급!$A$15,LOOKUP(E21,예상등급!$A$19:$A$27,예상등급!$B$19:$B$27),""))</f>
        <v>3</v>
      </c>
      <c r="G21" s="110" t="s">
        <v>781</v>
      </c>
      <c r="H21" s="71">
        <v>69</v>
      </c>
      <c r="I21" s="382">
        <f>IF(G21=예상등급!$G$15,LOOKUP(H21,예상등급!$G$19:$G$27,예상등급!$H$19:$H$27),IF(G21=예상등급!$J$15,LOOKUP(H21,예상등급!$J$19:$J$27,예상등급!$K$19:$K$27),IF(G21=예상등급!$M$15,LOOKUP(H21,예상등급!$M$19:$M$27,예상등급!$N$19:$N$27),"")))</f>
        <v>3</v>
      </c>
      <c r="J21" s="110">
        <v>93</v>
      </c>
      <c r="K21" s="382">
        <f>IF(J21="","",(LOOKUP(J21,예상등급!$D$5:$D$13,예상등급!$E$5:$E$13)))</f>
        <v>1</v>
      </c>
      <c r="L21" s="301">
        <f>SUM(E21,H21,J21)</f>
        <v>227</v>
      </c>
      <c r="M21" s="398">
        <f>RANK(L21,$L$4:$L$491)</f>
        <v>12</v>
      </c>
      <c r="N21" s="110" t="s">
        <v>765</v>
      </c>
      <c r="O21" s="71">
        <v>31</v>
      </c>
      <c r="P21" s="385">
        <f>IF(N21=예상등급!$G$1,LOOKUP(O21,예상등급!$G$5:$G$13,예상등급!$H$5:$H$13),IF(N21=예상등급!$J$1,LOOKUP(O21,예상등급!$J$5:$J$13,예상등급!$K$5:$K$13),IF(N21=예상등급!$M$1,LOOKUP(O21,예상등급!$M$5:$M$13,예상등급!$N$5:$N$13),IF(N21=예상등급!$P$1,LOOKUP(O21,예상등급!$P$5:$P$13,예상등급!$Q$5:$Q$13),IF(N21=예상등급!$S$1,LOOKUP(O21,예상등급!$S$5:$S$13,예상등급!$T$5:$T$13),IF(N21=예상등급!$V$1,LOOKUP(O21,예상등급!$V$5:$V$13,예상등급!$W$5:$W$13),IF(N21=예상등급!$Y$1,LOOKUP(O21,예상등급!$Y$5:$Y$13,예상등급!$Z$5:$Z$13),IF(N21=예상등급!$AB$1,LOOKUP(O21,예상등급!$AB$5:$AB$13,예상등급!$AC$5:$AC$13),IF(N21=예상등급!$AE$1,LOOKUP(O21,예상등급!$AE$5:$AE$13,예상등급!$AF$5:$AF$13),IF(N21=예상등급!$AH$1,LOOKUP(O21,예상등급!$AH$5:$AH$13,예상등급!$AI$5:$AI$13),IF(N21=예상등급!$AK$1,LOOKUP(O21,예상등급!$AK$5:$AK$13,예상등급!$AL$5:$AL$13),IF(N21=예상등급!$AN$1,LOOKUP(O21,예상등급!$AN$5:$AN$13,예상등급!$AO$5:$AO$13),IF(N21=예상등급!$AQ$1,LOOKUP(O21,예상등급!$AQ$5:$AQ$13,예상등급!$AR$5:$AR$13),IF(N21=예상등급!$AH$15,LOOKUP(O21,예상등급!$AH$19:$AH$27,예상등급!$AI$19:$AI$27),IF(N21=예상등급!$AK$15,LOOKUP(O21,예상등급!$AK$19:$AK$27,예상등급!$AL$19:$AL$27),IF(N21=예상등급!$AN$15,LOOKUP(O21,예상등급!$AN$19:$AN$27,예상등급!$AO$19:$AO$27),IF(N21=예상등급!$AQ$15,LOOKUP(O21,예상등급!$AQ$19:$AQ$27,예상등급!$AR$19:$AR$27),"")))))))))))))))))</f>
        <v>3</v>
      </c>
      <c r="Q21" s="110" t="s">
        <v>762</v>
      </c>
      <c r="R21" s="71">
        <v>46</v>
      </c>
      <c r="S21" s="385">
        <f>IF(Q21=예상등급!$G$1,LOOKUP(R21,예상등급!$G$5:$G$13,예상등급!$H$5:$H$13),IF(Q21=예상등급!$J$1,LOOKUP(R21,예상등급!$J$5:$J$13,예상등급!$K$5:$K$13),IF(Q21=예상등급!$M$1,LOOKUP(R21,예상등급!$M$5:$M$13,예상등급!$N$5:$N$13),IF(Q21=예상등급!$P$1,LOOKUP(R21,예상등급!$P$5:$P$13,예상등급!$Q$5:$Q$13),IF(Q21=예상등급!$S$1,LOOKUP(R21,예상등급!$S$5:$S$13,예상등급!$T$5:$T$13),IF(Q21=예상등급!$V$1,LOOKUP(R21,예상등급!$V$5:$V$13,예상등급!$W$5:$W$13),IF(Q21=예상등급!$Y$1,LOOKUP(R21,예상등급!$Y$5:$Y$13,예상등급!$Z$5:$Z$13),IF(Q21=예상등급!$AB$1,LOOKUP(R21,예상등급!$AB$5:$AB$13,예상등급!$AC$5:$AC$13),IF(Q21=예상등급!$AE$1,LOOKUP(R21,예상등급!$AE$5:$AE$13,예상등급!$AF$5:$AF$13),IF(Q21=예상등급!$AH$1,LOOKUP(R21,예상등급!$AH$5:$AH$13,예상등급!$AI$5:$AI$13),IF(Q21=예상등급!$AK$1,LOOKUP(R21,예상등급!$AK$5:$AK$13,예상등급!$AL$5:$AL$13),IF(Q21=예상등급!$AN$1,LOOKUP(R21,예상등급!$AN$5:$AN$13,예상등급!$AO$5:$AO$13),IF(Q21=예상등급!$AQ$1,LOOKUP(R21,예상등급!$AQ$5:$AQ$13,예상등급!$AR$5:$AR$13),IF(Q21=예상등급!$AH$15,LOOKUP(R21,예상등급!$AH$19:$AH$27,예상등급!$AI$19:$AI$27),IF(Q21=예상등급!$AK$15,LOOKUP(R21,예상등급!$AK$19:$AK$27,예상등급!$AL$19:$AL$27),IF(Q21=예상등급!$AN$15,LOOKUP(R21,예상등급!$AN$19:$AN$27,예상등급!$AO$19:$AO$27),IF(Q21=예상등급!$AQ$15,LOOKUP(R21,예상등급!$AQ$19:$AQ$27,예상등급!$AR$19:$AR$27),"")))))))))))))))))</f>
        <v>1</v>
      </c>
      <c r="T21" s="110">
        <v>22</v>
      </c>
      <c r="U21" s="382">
        <f>IF(T21="","",LOOKUP(T21,예상등급!$D$19:$D$27,예상등급!$E$19:$E$27))</f>
        <v>5</v>
      </c>
      <c r="V21" s="402">
        <f>SUM(L21,T21,R21,O21)</f>
        <v>326</v>
      </c>
      <c r="W21" s="278">
        <f>RANK(V21,$V$4:$V$491)</f>
        <v>15</v>
      </c>
      <c r="X21" s="4"/>
      <c r="Y21" s="140">
        <v>280</v>
      </c>
      <c r="Z21" s="141">
        <f>FREQUENCY($V$4:$V$236,AA21:AA45)</f>
        <v>7</v>
      </c>
      <c r="AA21" s="7">
        <v>289</v>
      </c>
      <c r="AC21" s="235">
        <v>5</v>
      </c>
      <c r="AD21" s="246" t="s">
        <v>24</v>
      </c>
      <c r="AE21" s="249">
        <f>COUNTIFS($N$4:$N$491,$AE$16,$P$4:$P$491,$AC8)+COUNTIFS($Q$4:$Q$491,$AE$16,$S$4:$S$491,$AC8)</f>
        <v>30</v>
      </c>
      <c r="AF21" s="236">
        <f>COUNTIFS($N$4:$N$491,$AF$16,$P$4:$P$491,$AC8)+COUNTIFS($Q$4:$Q$491,$AF$16,$S$4:$S$491,$AC8)</f>
        <v>8</v>
      </c>
      <c r="AG21" s="236">
        <f>COUNTIFS($N$4:$N$491,$AG$16,$P$4:$P$491,$AC8)+COUNTIFS($Q$4:$Q$491,$AG$16,$S$4:$S$491,$AC8)</f>
        <v>6</v>
      </c>
      <c r="AH21" s="236">
        <f>COUNTIFS($N$4:$N$491,$AH$16,$P$4:$P$491,$AC8)+COUNTIFS($Q$4:$Q$491,$AH$16,$S$4:$S$491,$AC8)</f>
        <v>3</v>
      </c>
      <c r="AI21" s="236">
        <f>COUNTIFS($N$4:$N$491,$AI$16,$P$4:$P$491,$AC8)+COUNTIFS($Q$4:$Q$491,$AI$16,$S$4:$S$491,$AC8)</f>
        <v>2</v>
      </c>
      <c r="AJ21" s="236">
        <f>COUNTIFS($N$4:$N$491,$AJ$16,$P$4:$P$491,$AC8)+COUNTIFS($Q$4:$Q$491,$AJ$16,$S$4:$S$491,$AC8)</f>
        <v>0</v>
      </c>
      <c r="AK21" s="236">
        <f>COUNTIFS($N$4:$N$491,$AK$16,$P$4:$P$491,$AC8)+COUNTIFS($Q$4:$Q$491,$AK$16,$S$4:$S$491,$AC8)</f>
        <v>2</v>
      </c>
      <c r="AL21" s="236">
        <f>COUNTIFS($N$4:$N$491,$AL$16,$P$4:$P$491,$AC8)+COUNTIFS($Q$4:$Q$491,$AL$16,$S$4:$S$491,$AC8)</f>
        <v>0</v>
      </c>
      <c r="AM21" s="237">
        <f>COUNTIFS($N$4:$N$491,$AM$16,$P$4:$P$491,$AC8)+COUNTIFS($Q$4:$Q$491,$AM$16,$S$4:$S$491,$AC8)</f>
        <v>46</v>
      </c>
    </row>
    <row r="22" spans="1:39" s="7" customFormat="1" ht="24.95" customHeight="1" x14ac:dyDescent="0.15">
      <c r="A22" s="110">
        <v>9</v>
      </c>
      <c r="B22" s="71">
        <v>17</v>
      </c>
      <c r="C22" s="100" t="s">
        <v>975</v>
      </c>
      <c r="D22" s="110" t="s">
        <v>779</v>
      </c>
      <c r="E22" s="71">
        <v>67</v>
      </c>
      <c r="F22" s="382">
        <f>IF(D22=예상등급!$A$1,LOOKUP(E22,예상등급!$A$5:$A$13,예상등급!$B$5:$B$13),IF(D22=예상등급!$A$15,LOOKUP(E22,예상등급!$A$19:$A$27,예상등급!$B$19:$B$27),""))</f>
        <v>3</v>
      </c>
      <c r="G22" s="110" t="s">
        <v>780</v>
      </c>
      <c r="H22" s="71">
        <v>61</v>
      </c>
      <c r="I22" s="382">
        <f>IF(G22=예상등급!$G$15,LOOKUP(H22,예상등급!$G$19:$G$27,예상등급!$H$19:$H$27),IF(G22=예상등급!$J$15,LOOKUP(H22,예상등급!$J$19:$J$27,예상등급!$K$19:$K$27),IF(G22=예상등급!$M$15,LOOKUP(H22,예상등급!$M$19:$M$27,예상등급!$N$19:$N$27),"")))</f>
        <v>4</v>
      </c>
      <c r="J22" s="110">
        <v>92</v>
      </c>
      <c r="K22" s="382">
        <f>IF(J22="","",(LOOKUP(J22,예상등급!$D$5:$D$13,예상등급!$E$5:$E$13)))</f>
        <v>1</v>
      </c>
      <c r="L22" s="301">
        <f>SUM(E22,H22,J22)</f>
        <v>220</v>
      </c>
      <c r="M22" s="398">
        <f>RANK(L22,$L$4:$L$491)</f>
        <v>20</v>
      </c>
      <c r="N22" s="110" t="s">
        <v>762</v>
      </c>
      <c r="O22" s="71">
        <v>24</v>
      </c>
      <c r="P22" s="385">
        <f>IF(N22=예상등급!$G$1,LOOKUP(O22,예상등급!$G$5:$G$13,예상등급!$H$5:$H$13),IF(N22=예상등급!$J$1,LOOKUP(O22,예상등급!$J$5:$J$13,예상등급!$K$5:$K$13),IF(N22=예상등급!$M$1,LOOKUP(O22,예상등급!$M$5:$M$13,예상등급!$N$5:$N$13),IF(N22=예상등급!$P$1,LOOKUP(O22,예상등급!$P$5:$P$13,예상등급!$Q$5:$Q$13),IF(N22=예상등급!$S$1,LOOKUP(O22,예상등급!$S$5:$S$13,예상등급!$T$5:$T$13),IF(N22=예상등급!$V$1,LOOKUP(O22,예상등급!$V$5:$V$13,예상등급!$W$5:$W$13),IF(N22=예상등급!$Y$1,LOOKUP(O22,예상등급!$Y$5:$Y$13,예상등급!$Z$5:$Z$13),IF(N22=예상등급!$AB$1,LOOKUP(O22,예상등급!$AB$5:$AB$13,예상등급!$AC$5:$AC$13),IF(N22=예상등급!$AE$1,LOOKUP(O22,예상등급!$AE$5:$AE$13,예상등급!$AF$5:$AF$13),IF(N22=예상등급!$AH$1,LOOKUP(O22,예상등급!$AH$5:$AH$13,예상등급!$AI$5:$AI$13),IF(N22=예상등급!$AK$1,LOOKUP(O22,예상등급!$AK$5:$AK$13,예상등급!$AL$5:$AL$13),IF(N22=예상등급!$AN$1,LOOKUP(O22,예상등급!$AN$5:$AN$13,예상등급!$AO$5:$AO$13),IF(N22=예상등급!$AQ$1,LOOKUP(O22,예상등급!$AQ$5:$AQ$13,예상등급!$AR$5:$AR$13),IF(N22=예상등급!$AH$15,LOOKUP(O22,예상등급!$AH$19:$AH$27,예상등급!$AI$19:$AI$27),IF(N22=예상등급!$AK$15,LOOKUP(O22,예상등급!$AK$19:$AK$27,예상등급!$AL$19:$AL$27),IF(N22=예상등급!$AN$15,LOOKUP(O22,예상등급!$AN$19:$AN$27,예상등급!$AO$19:$AO$27),IF(N22=예상등급!$AQ$15,LOOKUP(O22,예상등급!$AQ$19:$AQ$27,예상등급!$AR$19:$AR$27),"")))))))))))))))))</f>
        <v>5</v>
      </c>
      <c r="Q22" s="110" t="s">
        <v>761</v>
      </c>
      <c r="R22" s="71">
        <v>44</v>
      </c>
      <c r="S22" s="385">
        <f>IF(Q22=예상등급!$G$1,LOOKUP(R22,예상등급!$G$5:$G$13,예상등급!$H$5:$H$13),IF(Q22=예상등급!$J$1,LOOKUP(R22,예상등급!$J$5:$J$13,예상등급!$K$5:$K$13),IF(Q22=예상등급!$M$1,LOOKUP(R22,예상등급!$M$5:$M$13,예상등급!$N$5:$N$13),IF(Q22=예상등급!$P$1,LOOKUP(R22,예상등급!$P$5:$P$13,예상등급!$Q$5:$Q$13),IF(Q22=예상등급!$S$1,LOOKUP(R22,예상등급!$S$5:$S$13,예상등급!$T$5:$T$13),IF(Q22=예상등급!$V$1,LOOKUP(R22,예상등급!$V$5:$V$13,예상등급!$W$5:$W$13),IF(Q22=예상등급!$Y$1,LOOKUP(R22,예상등급!$Y$5:$Y$13,예상등급!$Z$5:$Z$13),IF(Q22=예상등급!$AB$1,LOOKUP(R22,예상등급!$AB$5:$AB$13,예상등급!$AC$5:$AC$13),IF(Q22=예상등급!$AE$1,LOOKUP(R22,예상등급!$AE$5:$AE$13,예상등급!$AF$5:$AF$13),IF(Q22=예상등급!$AH$1,LOOKUP(R22,예상등급!$AH$5:$AH$13,예상등급!$AI$5:$AI$13),IF(Q22=예상등급!$AK$1,LOOKUP(R22,예상등급!$AK$5:$AK$13,예상등급!$AL$5:$AL$13),IF(Q22=예상등급!$AN$1,LOOKUP(R22,예상등급!$AN$5:$AN$13,예상등급!$AO$5:$AO$13),IF(Q22=예상등급!$AQ$1,LOOKUP(R22,예상등급!$AQ$5:$AQ$13,예상등급!$AR$5:$AR$13),IF(Q22=예상등급!$AH$15,LOOKUP(R22,예상등급!$AH$19:$AH$27,예상등급!$AI$19:$AI$27),IF(Q22=예상등급!$AK$15,LOOKUP(R22,예상등급!$AK$19:$AK$27,예상등급!$AL$19:$AL$27),IF(Q22=예상등급!$AN$15,LOOKUP(R22,예상등급!$AN$19:$AN$27,예상등급!$AO$19:$AO$27),IF(Q22=예상등급!$AQ$15,LOOKUP(R22,예상등급!$AQ$19:$AQ$27,예상등급!$AR$19:$AR$27),"")))))))))))))))))</f>
        <v>1</v>
      </c>
      <c r="T22" s="110">
        <v>38</v>
      </c>
      <c r="U22" s="382">
        <f>IF(T22="","",LOOKUP(T22,예상등급!$D$19:$D$27,예상등급!$E$19:$E$27))</f>
        <v>2</v>
      </c>
      <c r="V22" s="402">
        <f>SUM(L22,T22,R22,O22)</f>
        <v>326</v>
      </c>
      <c r="W22" s="278">
        <f>RANK(V22,$V$4:$V$491)</f>
        <v>15</v>
      </c>
      <c r="X22" s="4"/>
      <c r="Y22" s="140">
        <v>270</v>
      </c>
      <c r="Z22" s="141">
        <f>FREQUENCY($V$4:$V$236,AA22:AA46)</f>
        <v>12</v>
      </c>
      <c r="AA22" s="7">
        <v>279</v>
      </c>
      <c r="AC22" s="235">
        <v>6</v>
      </c>
      <c r="AD22" s="246" t="s">
        <v>24</v>
      </c>
      <c r="AE22" s="249">
        <f>COUNTIFS($N$4:$N$491,$AE$16,$P$4:$P$491,$AC9)+COUNTIFS($Q$4:$Q$491,$AE$16,$S$4:$S$491,$AC9)</f>
        <v>31</v>
      </c>
      <c r="AF22" s="236">
        <f>COUNTIFS($N$4:$N$491,$AF$16,$P$4:$P$491,$AC9)+COUNTIFS($Q$4:$Q$491,$AF$16,$S$4:$S$491,$AC9)</f>
        <v>3</v>
      </c>
      <c r="AG22" s="236">
        <f>COUNTIFS($N$4:$N$491,$AG$16,$P$4:$P$491,$AC9)+COUNTIFS($Q$4:$Q$491,$AG$16,$S$4:$S$491,$AC9)</f>
        <v>1</v>
      </c>
      <c r="AH22" s="236">
        <f>COUNTIFS($N$4:$N$491,$AH$16,$P$4:$P$491,$AC9)+COUNTIFS($Q$4:$Q$491,$AH$16,$S$4:$S$491,$AC9)</f>
        <v>0</v>
      </c>
      <c r="AI22" s="236">
        <f>COUNTIFS($N$4:$N$491,$AI$16,$P$4:$P$491,$AC9)+COUNTIFS($Q$4:$Q$491,$AI$16,$S$4:$S$491,$AC9)</f>
        <v>2</v>
      </c>
      <c r="AJ22" s="236">
        <f>COUNTIFS($N$4:$N$491,$AJ$16,$P$4:$P$491,$AC9)+COUNTIFS($Q$4:$Q$491,$AJ$16,$S$4:$S$491,$AC9)</f>
        <v>3</v>
      </c>
      <c r="AK22" s="236">
        <f>COUNTIFS($N$4:$N$491,$AK$16,$P$4:$P$491,$AC9)+COUNTIFS($Q$4:$Q$491,$AK$16,$S$4:$S$491,$AC9)</f>
        <v>1</v>
      </c>
      <c r="AL22" s="236">
        <f>COUNTIFS($N$4:$N$491,$AL$16,$P$4:$P$491,$AC9)+COUNTIFS($Q$4:$Q$491,$AL$16,$S$4:$S$491,$AC9)</f>
        <v>0</v>
      </c>
      <c r="AM22" s="237">
        <f>COUNTIFS($N$4:$N$491,$AM$16,$P$4:$P$491,$AC9)+COUNTIFS($Q$4:$Q$491,$AM$16,$S$4:$S$491,$AC9)</f>
        <v>30</v>
      </c>
    </row>
    <row r="23" spans="1:39" s="7" customFormat="1" ht="24.95" customHeight="1" x14ac:dyDescent="0.15">
      <c r="A23" s="110">
        <v>3</v>
      </c>
      <c r="B23" s="71">
        <v>18</v>
      </c>
      <c r="C23" s="100" t="s">
        <v>851</v>
      </c>
      <c r="D23" s="110" t="s">
        <v>778</v>
      </c>
      <c r="E23" s="71">
        <v>75</v>
      </c>
      <c r="F23" s="382">
        <f>IF(D23=예상등급!$A$1,LOOKUP(E23,예상등급!$A$5:$A$13,예상등급!$B$5:$B$13),IF(D23=예상등급!$A$15,LOOKUP(E23,예상등급!$A$19:$A$27,예상등급!$B$19:$B$27),""))</f>
        <v>2</v>
      </c>
      <c r="G23" s="110" t="s">
        <v>781</v>
      </c>
      <c r="H23" s="71">
        <v>77</v>
      </c>
      <c r="I23" s="382">
        <f>IF(G23=예상등급!$G$15,LOOKUP(H23,예상등급!$G$19:$G$27,예상등급!$H$19:$H$27),IF(G23=예상등급!$J$15,LOOKUP(H23,예상등급!$J$19:$J$27,예상등급!$K$19:$K$27),IF(G23=예상등급!$M$15,LOOKUP(H23,예상등급!$M$19:$M$27,예상등급!$N$19:$N$27),"")))</f>
        <v>2</v>
      </c>
      <c r="J23" s="110">
        <v>78</v>
      </c>
      <c r="K23" s="382">
        <f>IF(J23="","",(LOOKUP(J23,예상등급!$D$5:$D$13,예상등급!$E$5:$E$13)))</f>
        <v>3</v>
      </c>
      <c r="L23" s="301">
        <f>SUM(E23,H23,J23)</f>
        <v>230</v>
      </c>
      <c r="M23" s="398">
        <f>RANK(L23,$L$4:$L$491)</f>
        <v>9</v>
      </c>
      <c r="N23" s="110" t="s">
        <v>769</v>
      </c>
      <c r="O23" s="71">
        <v>34</v>
      </c>
      <c r="P23" s="385">
        <f>IF(N23=예상등급!$G$1,LOOKUP(O23,예상등급!$G$5:$G$13,예상등급!$H$5:$H$13),IF(N23=예상등급!$J$1,LOOKUP(O23,예상등급!$J$5:$J$13,예상등급!$K$5:$K$13),IF(N23=예상등급!$M$1,LOOKUP(O23,예상등급!$M$5:$M$13,예상등급!$N$5:$N$13),IF(N23=예상등급!$P$1,LOOKUP(O23,예상등급!$P$5:$P$13,예상등급!$Q$5:$Q$13),IF(N23=예상등급!$S$1,LOOKUP(O23,예상등급!$S$5:$S$13,예상등급!$T$5:$T$13),IF(N23=예상등급!$V$1,LOOKUP(O23,예상등급!$V$5:$V$13,예상등급!$W$5:$W$13),IF(N23=예상등급!$Y$1,LOOKUP(O23,예상등급!$Y$5:$Y$13,예상등급!$Z$5:$Z$13),IF(N23=예상등급!$AB$1,LOOKUP(O23,예상등급!$AB$5:$AB$13,예상등급!$AC$5:$AC$13),IF(N23=예상등급!$AE$1,LOOKUP(O23,예상등급!$AE$5:$AE$13,예상등급!$AF$5:$AF$13),IF(N23=예상등급!$AH$1,LOOKUP(O23,예상등급!$AH$5:$AH$13,예상등급!$AI$5:$AI$13),IF(N23=예상등급!$AK$1,LOOKUP(O23,예상등급!$AK$5:$AK$13,예상등급!$AL$5:$AL$13),IF(N23=예상등급!$AN$1,LOOKUP(O23,예상등급!$AN$5:$AN$13,예상등급!$AO$5:$AO$13),IF(N23=예상등급!$AQ$1,LOOKUP(O23,예상등급!$AQ$5:$AQ$13,예상등급!$AR$5:$AR$13),IF(N23=예상등급!$AH$15,LOOKUP(O23,예상등급!$AH$19:$AH$27,예상등급!$AI$19:$AI$27),IF(N23=예상등급!$AK$15,LOOKUP(O23,예상등급!$AK$19:$AK$27,예상등급!$AL$19:$AL$27),IF(N23=예상등급!$AN$15,LOOKUP(O23,예상등급!$AN$19:$AN$27,예상등급!$AO$19:$AO$27),IF(N23=예상등급!$AQ$15,LOOKUP(O23,예상등급!$AQ$19:$AQ$27,예상등급!$AR$19:$AR$27),"")))))))))))))))))</f>
        <v>3</v>
      </c>
      <c r="Q23" s="110" t="s">
        <v>771</v>
      </c>
      <c r="R23" s="71">
        <v>34</v>
      </c>
      <c r="S23" s="385">
        <f>IF(Q23=예상등급!$G$1,LOOKUP(R23,예상등급!$G$5:$G$13,예상등급!$H$5:$H$13),IF(Q23=예상등급!$J$1,LOOKUP(R23,예상등급!$J$5:$J$13,예상등급!$K$5:$K$13),IF(Q23=예상등급!$M$1,LOOKUP(R23,예상등급!$M$5:$M$13,예상등급!$N$5:$N$13),IF(Q23=예상등급!$P$1,LOOKUP(R23,예상등급!$P$5:$P$13,예상등급!$Q$5:$Q$13),IF(Q23=예상등급!$S$1,LOOKUP(R23,예상등급!$S$5:$S$13,예상등급!$T$5:$T$13),IF(Q23=예상등급!$V$1,LOOKUP(R23,예상등급!$V$5:$V$13,예상등급!$W$5:$W$13),IF(Q23=예상등급!$Y$1,LOOKUP(R23,예상등급!$Y$5:$Y$13,예상등급!$Z$5:$Z$13),IF(Q23=예상등급!$AB$1,LOOKUP(R23,예상등급!$AB$5:$AB$13,예상등급!$AC$5:$AC$13),IF(Q23=예상등급!$AE$1,LOOKUP(R23,예상등급!$AE$5:$AE$13,예상등급!$AF$5:$AF$13),IF(Q23=예상등급!$AH$1,LOOKUP(R23,예상등급!$AH$5:$AH$13,예상등급!$AI$5:$AI$13),IF(Q23=예상등급!$AK$1,LOOKUP(R23,예상등급!$AK$5:$AK$13,예상등급!$AL$5:$AL$13),IF(Q23=예상등급!$AN$1,LOOKUP(R23,예상등급!$AN$5:$AN$13,예상등급!$AO$5:$AO$13),IF(Q23=예상등급!$AQ$1,LOOKUP(R23,예상등급!$AQ$5:$AQ$13,예상등급!$AR$5:$AR$13),IF(Q23=예상등급!$AH$15,LOOKUP(R23,예상등급!$AH$19:$AH$27,예상등급!$AI$19:$AI$27),IF(Q23=예상등급!$AK$15,LOOKUP(R23,예상등급!$AK$19:$AK$27,예상등급!$AL$19:$AL$27),IF(Q23=예상등급!$AN$15,LOOKUP(R23,예상등급!$AN$19:$AN$27,예상등급!$AO$19:$AO$27),IF(Q23=예상등급!$AQ$15,LOOKUP(R23,예상등급!$AQ$19:$AQ$27,예상등급!$AR$19:$AR$27),"")))))))))))))))))</f>
        <v>3</v>
      </c>
      <c r="T23" s="110">
        <v>25</v>
      </c>
      <c r="U23" s="382">
        <f>IF(T23="","",LOOKUP(T23,예상등급!$D$19:$D$27,예상등급!$E$19:$E$27))</f>
        <v>4</v>
      </c>
      <c r="V23" s="402">
        <f>SUM(L23,T23,R23,O23)</f>
        <v>323</v>
      </c>
      <c r="W23" s="278">
        <f>RANK(V23,$V$4:$V$491)</f>
        <v>20</v>
      </c>
      <c r="X23" s="4"/>
      <c r="Y23" s="140">
        <v>260</v>
      </c>
      <c r="Z23" s="141">
        <f>FREQUENCY($V$4:$V$236,AA23:AA47)</f>
        <v>9</v>
      </c>
      <c r="AA23" s="7">
        <v>269</v>
      </c>
      <c r="AC23" s="235">
        <v>7</v>
      </c>
      <c r="AD23" s="246" t="s">
        <v>24</v>
      </c>
      <c r="AE23" s="249">
        <f>COUNTIFS($N$4:$N$491,$AE$16,$P$4:$P$491,$AC10)+COUNTIFS($Q$4:$Q$491,$AE$16,$S$4:$S$491,$AC10)</f>
        <v>9</v>
      </c>
      <c r="AF23" s="236">
        <f>COUNTIFS($N$4:$N$491,$AF$16,$P$4:$P$491,$AC10)+COUNTIFS($Q$4:$Q$491,$AF$16,$S$4:$S$491,$AC10)</f>
        <v>0</v>
      </c>
      <c r="AG23" s="236">
        <f>COUNTIFS($N$4:$N$491,$AG$16,$P$4:$P$491,$AC10)+COUNTIFS($Q$4:$Q$491,$AG$16,$S$4:$S$491,$AC10)</f>
        <v>2</v>
      </c>
      <c r="AH23" s="236">
        <f>COUNTIFS($N$4:$N$491,$AH$16,$P$4:$P$491,$AC10)+COUNTIFS($Q$4:$Q$491,$AH$16,$S$4:$S$491,$AC10)</f>
        <v>2</v>
      </c>
      <c r="AI23" s="236">
        <f>COUNTIFS($N$4:$N$491,$AI$16,$P$4:$P$491,$AC10)+COUNTIFS($Q$4:$Q$491,$AI$16,$S$4:$S$491,$AC10)</f>
        <v>1</v>
      </c>
      <c r="AJ23" s="236">
        <f>COUNTIFS($N$4:$N$491,$AJ$16,$P$4:$P$491,$AC10)+COUNTIFS($Q$4:$Q$491,$AJ$16,$S$4:$S$491,$AC10)</f>
        <v>2</v>
      </c>
      <c r="AK23" s="236">
        <f>COUNTIFS($N$4:$N$491,$AK$16,$P$4:$P$491,$AC10)+COUNTIFS($Q$4:$Q$491,$AK$16,$S$4:$S$491,$AC10)</f>
        <v>1</v>
      </c>
      <c r="AL23" s="236">
        <f>COUNTIFS($N$4:$N$491,$AL$16,$P$4:$P$491,$AC10)+COUNTIFS($Q$4:$Q$491,$AL$16,$S$4:$S$491,$AC10)</f>
        <v>0</v>
      </c>
      <c r="AM23" s="237">
        <f>COUNTIFS($N$4:$N$491,$AM$16,$P$4:$P$491,$AC10)+COUNTIFS($Q$4:$Q$491,$AM$16,$S$4:$S$491,$AC10)</f>
        <v>9</v>
      </c>
    </row>
    <row r="24" spans="1:39" s="7" customFormat="1" ht="24.95" customHeight="1" thickBot="1" x14ac:dyDescent="0.2">
      <c r="A24" s="110">
        <v>3</v>
      </c>
      <c r="B24" s="71">
        <v>16</v>
      </c>
      <c r="C24" s="100" t="s">
        <v>850</v>
      </c>
      <c r="D24" s="110" t="s">
        <v>779</v>
      </c>
      <c r="E24" s="71">
        <v>74</v>
      </c>
      <c r="F24" s="382">
        <f>IF(D24=예상등급!$A$1,LOOKUP(E24,예상등급!$A$5:$A$13,예상등급!$B$5:$B$13),IF(D24=예상등급!$A$15,LOOKUP(E24,예상등급!$A$19:$A$27,예상등급!$B$19:$B$27),""))</f>
        <v>2</v>
      </c>
      <c r="G24" s="110" t="s">
        <v>781</v>
      </c>
      <c r="H24" s="71">
        <v>73</v>
      </c>
      <c r="I24" s="382">
        <f>IF(G24=예상등급!$G$15,LOOKUP(H24,예상등급!$G$19:$G$27,예상등급!$H$19:$H$27),IF(G24=예상등급!$J$15,LOOKUP(H24,예상등급!$J$19:$J$27,예상등급!$K$19:$K$27),IF(G24=예상등급!$M$15,LOOKUP(H24,예상등급!$M$19:$M$27,예상등급!$N$19:$N$27),"")))</f>
        <v>2</v>
      </c>
      <c r="J24" s="110">
        <v>90</v>
      </c>
      <c r="K24" s="382">
        <f>IF(J24="","",(LOOKUP(J24,예상등급!$D$5:$D$13,예상등급!$E$5:$E$13)))</f>
        <v>1</v>
      </c>
      <c r="L24" s="301">
        <f>SUM(E24,H24,J24)</f>
        <v>237</v>
      </c>
      <c r="M24" s="398">
        <f>RANK(L24,$L$4:$L$491)</f>
        <v>3</v>
      </c>
      <c r="N24" s="110" t="s">
        <v>762</v>
      </c>
      <c r="O24" s="71">
        <v>36</v>
      </c>
      <c r="P24" s="385">
        <f>IF(N24=예상등급!$G$1,LOOKUP(O24,예상등급!$G$5:$G$13,예상등급!$H$5:$H$13),IF(N24=예상등급!$J$1,LOOKUP(O24,예상등급!$J$5:$J$13,예상등급!$K$5:$K$13),IF(N24=예상등급!$M$1,LOOKUP(O24,예상등급!$M$5:$M$13,예상등급!$N$5:$N$13),IF(N24=예상등급!$P$1,LOOKUP(O24,예상등급!$P$5:$P$13,예상등급!$Q$5:$Q$13),IF(N24=예상등급!$S$1,LOOKUP(O24,예상등급!$S$5:$S$13,예상등급!$T$5:$T$13),IF(N24=예상등급!$V$1,LOOKUP(O24,예상등급!$V$5:$V$13,예상등급!$W$5:$W$13),IF(N24=예상등급!$Y$1,LOOKUP(O24,예상등급!$Y$5:$Y$13,예상등급!$Z$5:$Z$13),IF(N24=예상등급!$AB$1,LOOKUP(O24,예상등급!$AB$5:$AB$13,예상등급!$AC$5:$AC$13),IF(N24=예상등급!$AE$1,LOOKUP(O24,예상등급!$AE$5:$AE$13,예상등급!$AF$5:$AF$13),IF(N24=예상등급!$AH$1,LOOKUP(O24,예상등급!$AH$5:$AH$13,예상등급!$AI$5:$AI$13),IF(N24=예상등급!$AK$1,LOOKUP(O24,예상등급!$AK$5:$AK$13,예상등급!$AL$5:$AL$13),IF(N24=예상등급!$AN$1,LOOKUP(O24,예상등급!$AN$5:$AN$13,예상등급!$AO$5:$AO$13),IF(N24=예상등급!$AQ$1,LOOKUP(O24,예상등급!$AQ$5:$AQ$13,예상등급!$AR$5:$AR$13),IF(N24=예상등급!$AH$15,LOOKUP(O24,예상등급!$AH$19:$AH$27,예상등급!$AI$19:$AI$27),IF(N24=예상등급!$AK$15,LOOKUP(O24,예상등급!$AK$19:$AK$27,예상등급!$AL$19:$AL$27),IF(N24=예상등급!$AN$15,LOOKUP(O24,예상등급!$AN$19:$AN$27,예상등급!$AO$19:$AO$27),IF(N24=예상등급!$AQ$15,LOOKUP(O24,예상등급!$AQ$19:$AQ$27,예상등급!$AR$19:$AR$27),"")))))))))))))))))</f>
        <v>3</v>
      </c>
      <c r="Q24" s="110" t="s">
        <v>771</v>
      </c>
      <c r="R24" s="71">
        <v>29</v>
      </c>
      <c r="S24" s="385">
        <f>IF(Q24=예상등급!$G$1,LOOKUP(R24,예상등급!$G$5:$G$13,예상등급!$H$5:$H$13),IF(Q24=예상등급!$J$1,LOOKUP(R24,예상등급!$J$5:$J$13,예상등급!$K$5:$K$13),IF(Q24=예상등급!$M$1,LOOKUP(R24,예상등급!$M$5:$M$13,예상등급!$N$5:$N$13),IF(Q24=예상등급!$P$1,LOOKUP(R24,예상등급!$P$5:$P$13,예상등급!$Q$5:$Q$13),IF(Q24=예상등급!$S$1,LOOKUP(R24,예상등급!$S$5:$S$13,예상등급!$T$5:$T$13),IF(Q24=예상등급!$V$1,LOOKUP(R24,예상등급!$V$5:$V$13,예상등급!$W$5:$W$13),IF(Q24=예상등급!$Y$1,LOOKUP(R24,예상등급!$Y$5:$Y$13,예상등급!$Z$5:$Z$13),IF(Q24=예상등급!$AB$1,LOOKUP(R24,예상등급!$AB$5:$AB$13,예상등급!$AC$5:$AC$13),IF(Q24=예상등급!$AE$1,LOOKUP(R24,예상등급!$AE$5:$AE$13,예상등급!$AF$5:$AF$13),IF(Q24=예상등급!$AH$1,LOOKUP(R24,예상등급!$AH$5:$AH$13,예상등급!$AI$5:$AI$13),IF(Q24=예상등급!$AK$1,LOOKUP(R24,예상등급!$AK$5:$AK$13,예상등급!$AL$5:$AL$13),IF(Q24=예상등급!$AN$1,LOOKUP(R24,예상등급!$AN$5:$AN$13,예상등급!$AO$5:$AO$13),IF(Q24=예상등급!$AQ$1,LOOKUP(R24,예상등급!$AQ$5:$AQ$13,예상등급!$AR$5:$AR$13),IF(Q24=예상등급!$AH$15,LOOKUP(R24,예상등급!$AH$19:$AH$27,예상등급!$AI$19:$AI$27),IF(Q24=예상등급!$AK$15,LOOKUP(R24,예상등급!$AK$19:$AK$27,예상등급!$AL$19:$AL$27),IF(Q24=예상등급!$AN$15,LOOKUP(R24,예상등급!$AN$19:$AN$27,예상등급!$AO$19:$AO$27),IF(Q24=예상등급!$AQ$15,LOOKUP(R24,예상등급!$AQ$19:$AQ$27,예상등급!$AR$19:$AR$27),"")))))))))))))))))</f>
        <v>4</v>
      </c>
      <c r="T24" s="110">
        <v>20</v>
      </c>
      <c r="U24" s="382">
        <f>IF(T24="","",LOOKUP(T24,예상등급!$D$19:$D$27,예상등급!$E$19:$E$27))</f>
        <v>5</v>
      </c>
      <c r="V24" s="402">
        <f>SUM(L24,T24,R24,O24)</f>
        <v>322</v>
      </c>
      <c r="W24" s="278">
        <f>RANK(V24,$V$4:$V$491)</f>
        <v>21</v>
      </c>
      <c r="X24" s="4"/>
      <c r="Y24" s="142">
        <v>250</v>
      </c>
      <c r="Z24" s="143">
        <f>FREQUENCY($V$4:$V$236,AA14:AA48)</f>
        <v>3</v>
      </c>
      <c r="AC24" s="235">
        <v>8</v>
      </c>
      <c r="AD24" s="246" t="s">
        <v>24</v>
      </c>
      <c r="AE24" s="249">
        <f>COUNTIFS($N$4:$N$491,$AE$16,$P$4:$P$491,$AC11)+COUNTIFS($Q$4:$Q$491,$AE$16,$S$4:$S$491,$AC11)</f>
        <v>6</v>
      </c>
      <c r="AF24" s="236">
        <f>COUNTIFS($N$4:$N$491,$AF$16,$P$4:$P$491,$AC11)+COUNTIFS($Q$4:$Q$491,$AF$16,$S$4:$S$491,$AC11)</f>
        <v>0</v>
      </c>
      <c r="AG24" s="236">
        <f>COUNTIFS($N$4:$N$491,$AG$16,$P$4:$P$491,$AC11)+COUNTIFS($Q$4:$Q$491,$AG$16,$S$4:$S$491,$AC11)</f>
        <v>1</v>
      </c>
      <c r="AH24" s="236">
        <f>COUNTIFS($N$4:$N$491,$AH$16,$P$4:$P$491,$AC11)+COUNTIFS($Q$4:$Q$491,$AH$16,$S$4:$S$491,$AC11)</f>
        <v>0</v>
      </c>
      <c r="AI24" s="236">
        <f>COUNTIFS($N$4:$N$491,$AI$16,$P$4:$P$491,$AC11)+COUNTIFS($Q$4:$Q$491,$AI$16,$S$4:$S$491,$AC11)</f>
        <v>1</v>
      </c>
      <c r="AJ24" s="236">
        <f>COUNTIFS($N$4:$N$491,$AJ$16,$P$4:$P$491,$AC11)+COUNTIFS($Q$4:$Q$491,$AJ$16,$S$4:$S$491,$AC11)</f>
        <v>0</v>
      </c>
      <c r="AK24" s="236">
        <f>COUNTIFS($N$4:$N$491,$AK$16,$P$4:$P$491,$AC11)+COUNTIFS($Q$4:$Q$491,$AK$16,$S$4:$S$491,$AC11)</f>
        <v>0</v>
      </c>
      <c r="AL24" s="236">
        <f>COUNTIFS($N$4:$N$491,$AL$16,$P$4:$P$491,$AC11)+COUNTIFS($Q$4:$Q$491,$AL$16,$S$4:$S$491,$AC11)</f>
        <v>0</v>
      </c>
      <c r="AM24" s="237">
        <f>COUNTIFS($N$4:$N$491,$AM$16,$P$4:$P$491,$AC11)+COUNTIFS($Q$4:$Q$491,$AM$16,$S$4:$S$491,$AC11)</f>
        <v>1</v>
      </c>
    </row>
    <row r="25" spans="1:39" s="7" customFormat="1" ht="24.95" customHeight="1" thickBot="1" x14ac:dyDescent="0.2">
      <c r="A25" s="110">
        <v>4</v>
      </c>
      <c r="B25" s="71">
        <v>18</v>
      </c>
      <c r="C25" s="100" t="s">
        <v>870</v>
      </c>
      <c r="D25" s="110" t="s">
        <v>779</v>
      </c>
      <c r="E25" s="71">
        <v>60</v>
      </c>
      <c r="F25" s="382">
        <f>IF(D25=예상등급!$A$1,LOOKUP(E25,예상등급!$A$5:$A$13,예상등급!$B$5:$B$13),IF(D25=예상등급!$A$15,LOOKUP(E25,예상등급!$A$19:$A$27,예상등급!$B$19:$B$27),""))</f>
        <v>4</v>
      </c>
      <c r="G25" s="110" t="s">
        <v>781</v>
      </c>
      <c r="H25" s="71">
        <v>65</v>
      </c>
      <c r="I25" s="382">
        <f>IF(G25=예상등급!$G$15,LOOKUP(H25,예상등급!$G$19:$G$27,예상등급!$H$19:$H$27),IF(G25=예상등급!$J$15,LOOKUP(H25,예상등급!$J$19:$J$27,예상등급!$K$19:$K$27),IF(G25=예상등급!$M$15,LOOKUP(H25,예상등급!$M$19:$M$27,예상등급!$N$19:$N$27),"")))</f>
        <v>3</v>
      </c>
      <c r="J25" s="110">
        <v>75</v>
      </c>
      <c r="K25" s="382">
        <f>IF(J25="","",(LOOKUP(J25,예상등급!$D$5:$D$13,예상등급!$E$5:$E$13)))</f>
        <v>3</v>
      </c>
      <c r="L25" s="301">
        <f>SUM(E25,H25,J25)</f>
        <v>200</v>
      </c>
      <c r="M25" s="398">
        <f>RANK(L25,$L$4:$L$491)</f>
        <v>46</v>
      </c>
      <c r="N25" s="110" t="s">
        <v>761</v>
      </c>
      <c r="O25" s="71">
        <v>50</v>
      </c>
      <c r="P25" s="385">
        <f>IF(N25=예상등급!$G$1,LOOKUP(O25,예상등급!$G$5:$G$13,예상등급!$H$5:$H$13),IF(N25=예상등급!$J$1,LOOKUP(O25,예상등급!$J$5:$J$13,예상등급!$K$5:$K$13),IF(N25=예상등급!$M$1,LOOKUP(O25,예상등급!$M$5:$M$13,예상등급!$N$5:$N$13),IF(N25=예상등급!$P$1,LOOKUP(O25,예상등급!$P$5:$P$13,예상등급!$Q$5:$Q$13),IF(N25=예상등급!$S$1,LOOKUP(O25,예상등급!$S$5:$S$13,예상등급!$T$5:$T$13),IF(N25=예상등급!$V$1,LOOKUP(O25,예상등급!$V$5:$V$13,예상등급!$W$5:$W$13),IF(N25=예상등급!$Y$1,LOOKUP(O25,예상등급!$Y$5:$Y$13,예상등급!$Z$5:$Z$13),IF(N25=예상등급!$AB$1,LOOKUP(O25,예상등급!$AB$5:$AB$13,예상등급!$AC$5:$AC$13),IF(N25=예상등급!$AE$1,LOOKUP(O25,예상등급!$AE$5:$AE$13,예상등급!$AF$5:$AF$13),IF(N25=예상등급!$AH$1,LOOKUP(O25,예상등급!$AH$5:$AH$13,예상등급!$AI$5:$AI$13),IF(N25=예상등급!$AK$1,LOOKUP(O25,예상등급!$AK$5:$AK$13,예상등급!$AL$5:$AL$13),IF(N25=예상등급!$AN$1,LOOKUP(O25,예상등급!$AN$5:$AN$13,예상등급!$AO$5:$AO$13),IF(N25=예상등급!$AQ$1,LOOKUP(O25,예상등급!$AQ$5:$AQ$13,예상등급!$AR$5:$AR$13),IF(N25=예상등급!$AH$15,LOOKUP(O25,예상등급!$AH$19:$AH$27,예상등급!$AI$19:$AI$27),IF(N25=예상등급!$AK$15,LOOKUP(O25,예상등급!$AK$19:$AK$27,예상등급!$AL$19:$AL$27),IF(N25=예상등급!$AN$15,LOOKUP(O25,예상등급!$AN$19:$AN$27,예상등급!$AO$19:$AO$27),IF(N25=예상등급!$AQ$15,LOOKUP(O25,예상등급!$AQ$19:$AQ$27,예상등급!$AR$19:$AR$27),"")))))))))))))))))</f>
        <v>1</v>
      </c>
      <c r="Q25" s="110" t="s">
        <v>771</v>
      </c>
      <c r="R25" s="71">
        <v>43</v>
      </c>
      <c r="S25" s="385">
        <f>IF(Q25=예상등급!$G$1,LOOKUP(R25,예상등급!$G$5:$G$13,예상등급!$H$5:$H$13),IF(Q25=예상등급!$J$1,LOOKUP(R25,예상등급!$J$5:$J$13,예상등급!$K$5:$K$13),IF(Q25=예상등급!$M$1,LOOKUP(R25,예상등급!$M$5:$M$13,예상등급!$N$5:$N$13),IF(Q25=예상등급!$P$1,LOOKUP(R25,예상등급!$P$5:$P$13,예상등급!$Q$5:$Q$13),IF(Q25=예상등급!$S$1,LOOKUP(R25,예상등급!$S$5:$S$13,예상등급!$T$5:$T$13),IF(Q25=예상등급!$V$1,LOOKUP(R25,예상등급!$V$5:$V$13,예상등급!$W$5:$W$13),IF(Q25=예상등급!$Y$1,LOOKUP(R25,예상등급!$Y$5:$Y$13,예상등급!$Z$5:$Z$13),IF(Q25=예상등급!$AB$1,LOOKUP(R25,예상등급!$AB$5:$AB$13,예상등급!$AC$5:$AC$13),IF(Q25=예상등급!$AE$1,LOOKUP(R25,예상등급!$AE$5:$AE$13,예상등급!$AF$5:$AF$13),IF(Q25=예상등급!$AH$1,LOOKUP(R25,예상등급!$AH$5:$AH$13,예상등급!$AI$5:$AI$13),IF(Q25=예상등급!$AK$1,LOOKUP(R25,예상등급!$AK$5:$AK$13,예상등급!$AL$5:$AL$13),IF(Q25=예상등급!$AN$1,LOOKUP(R25,예상등급!$AN$5:$AN$13,예상등급!$AO$5:$AO$13),IF(Q25=예상등급!$AQ$1,LOOKUP(R25,예상등급!$AQ$5:$AQ$13,예상등급!$AR$5:$AR$13),IF(Q25=예상등급!$AH$15,LOOKUP(R25,예상등급!$AH$19:$AH$27,예상등급!$AI$19:$AI$27),IF(Q25=예상등급!$AK$15,LOOKUP(R25,예상등급!$AK$19:$AK$27,예상등급!$AL$19:$AL$27),IF(Q25=예상등급!$AN$15,LOOKUP(R25,예상등급!$AN$19:$AN$27,예상등급!$AO$19:$AO$27),IF(Q25=예상등급!$AQ$15,LOOKUP(R25,예상등급!$AQ$19:$AQ$27,예상등급!$AR$19:$AR$27),"")))))))))))))))))</f>
        <v>2</v>
      </c>
      <c r="T25" s="110">
        <v>29</v>
      </c>
      <c r="U25" s="382">
        <f>IF(T25="","",LOOKUP(T25,예상등급!$D$19:$D$27,예상등급!$E$19:$E$27))</f>
        <v>4</v>
      </c>
      <c r="V25" s="402">
        <f>SUM(L25,T25,R25,O25)</f>
        <v>322</v>
      </c>
      <c r="W25" s="278">
        <f>RANK(V25,$V$4:$V$491)</f>
        <v>21</v>
      </c>
      <c r="X25" s="4"/>
      <c r="Y25" s="138">
        <v>240</v>
      </c>
      <c r="Z25" s="144">
        <f>FREQUENCY($V$4:$V$236,AA28:AA49)</f>
        <v>10</v>
      </c>
      <c r="AC25" s="251">
        <v>9</v>
      </c>
      <c r="AD25" s="252" t="s">
        <v>24</v>
      </c>
      <c r="AE25" s="249">
        <f>COUNTIFS($N$4:$N$491,$AE$16,$P$4:$P$491,$AC12)+COUNTIFS($Q$4:$Q$491,$AE$16,$S$4:$S$491,$AC12)</f>
        <v>2</v>
      </c>
      <c r="AF25" s="236">
        <f>COUNTIFS($N$4:$N$491,$AF$16,$P$4:$P$491,$AC12)+COUNTIFS($Q$4:$Q$491,$AF$16,$S$4:$S$491,$AC12)</f>
        <v>0</v>
      </c>
      <c r="AG25" s="236">
        <f>COUNTIFS($N$4:$N$491,$AG$16,$P$4:$P$491,$AC12)+COUNTIFS($Q$4:$Q$491,$AG$16,$S$4:$S$491,$AC12)</f>
        <v>2</v>
      </c>
      <c r="AH25" s="236">
        <f>COUNTIFS($N$4:$N$491,$AH$16,$P$4:$P$491,$AC12)+COUNTIFS($Q$4:$Q$491,$AH$16,$S$4:$S$491,$AC12)</f>
        <v>0</v>
      </c>
      <c r="AI25" s="236">
        <f>COUNTIFS($N$4:$N$491,$AI$16,$P$4:$P$491,$AC12)+COUNTIFS($Q$4:$Q$491,$AI$16,$S$4:$S$491,$AC12)</f>
        <v>0</v>
      </c>
      <c r="AJ25" s="236">
        <f>COUNTIFS($N$4:$N$491,$AJ$16,$P$4:$P$491,$AC12)+COUNTIFS($Q$4:$Q$491,$AJ$16,$S$4:$S$491,$AC12)</f>
        <v>0</v>
      </c>
      <c r="AK25" s="236">
        <f>COUNTIFS($N$4:$N$491,$AK$16,$P$4:$P$491,$AC12)+COUNTIFS($Q$4:$Q$491,$AK$16,$S$4:$S$491,$AC12)</f>
        <v>0</v>
      </c>
      <c r="AL25" s="236">
        <f>COUNTIFS($N$4:$N$491,$AL$16,$P$4:$P$491,$AC12)+COUNTIFS($Q$4:$Q$491,$AL$16,$S$4:$S$491,$AC12)</f>
        <v>0</v>
      </c>
      <c r="AM25" s="237">
        <f>COUNTIFS($N$4:$N$491,$AM$16,$P$4:$P$491,$AC12)+COUNTIFS($Q$4:$Q$491,$AM$16,$S$4:$S$491,$AC12)</f>
        <v>1</v>
      </c>
    </row>
    <row r="26" spans="1:39" s="7" customFormat="1" ht="24.95" customHeight="1" x14ac:dyDescent="0.15">
      <c r="A26" s="110">
        <v>7</v>
      </c>
      <c r="B26" s="71">
        <v>1</v>
      </c>
      <c r="C26" s="100" t="s">
        <v>916</v>
      </c>
      <c r="D26" s="110" t="s">
        <v>779</v>
      </c>
      <c r="E26" s="71">
        <v>66</v>
      </c>
      <c r="F26" s="382">
        <f>IF(D26=예상등급!$A$1,LOOKUP(E26,예상등급!$A$5:$A$13,예상등급!$B$5:$B$13),IF(D26=예상등급!$A$15,LOOKUP(E26,예상등급!$A$19:$A$27,예상등급!$B$19:$B$27),""))</f>
        <v>3</v>
      </c>
      <c r="G26" s="110" t="s">
        <v>781</v>
      </c>
      <c r="H26" s="71">
        <v>59</v>
      </c>
      <c r="I26" s="382">
        <f>IF(G26=예상등급!$G$15,LOOKUP(H26,예상등급!$G$19:$G$27,예상등급!$H$19:$H$27),IF(G26=예상등급!$J$15,LOOKUP(H26,예상등급!$J$19:$J$27,예상등급!$K$19:$K$27),IF(G26=예상등급!$M$15,LOOKUP(H26,예상등급!$M$19:$M$27,예상등급!$N$19:$N$27),"")))</f>
        <v>4</v>
      </c>
      <c r="J26" s="110">
        <v>90</v>
      </c>
      <c r="K26" s="382">
        <f>IF(J26="","",(LOOKUP(J26,예상등급!$D$5:$D$13,예상등급!$E$5:$E$13)))</f>
        <v>1</v>
      </c>
      <c r="L26" s="301">
        <f>SUM(E26,H26,J26)</f>
        <v>215</v>
      </c>
      <c r="M26" s="398">
        <f>RANK(L26,$L$4:$L$491)</f>
        <v>26</v>
      </c>
      <c r="N26" s="110" t="s">
        <v>761</v>
      </c>
      <c r="O26" s="71">
        <v>38</v>
      </c>
      <c r="P26" s="385">
        <f>IF(N26=예상등급!$G$1,LOOKUP(O26,예상등급!$G$5:$G$13,예상등급!$H$5:$H$13),IF(N26=예상등급!$J$1,LOOKUP(O26,예상등급!$J$5:$J$13,예상등급!$K$5:$K$13),IF(N26=예상등급!$M$1,LOOKUP(O26,예상등급!$M$5:$M$13,예상등급!$N$5:$N$13),IF(N26=예상등급!$P$1,LOOKUP(O26,예상등급!$P$5:$P$13,예상등급!$Q$5:$Q$13),IF(N26=예상등급!$S$1,LOOKUP(O26,예상등급!$S$5:$S$13,예상등급!$T$5:$T$13),IF(N26=예상등급!$V$1,LOOKUP(O26,예상등급!$V$5:$V$13,예상등급!$W$5:$W$13),IF(N26=예상등급!$Y$1,LOOKUP(O26,예상등급!$Y$5:$Y$13,예상등급!$Z$5:$Z$13),IF(N26=예상등급!$AB$1,LOOKUP(O26,예상등급!$AB$5:$AB$13,예상등급!$AC$5:$AC$13),IF(N26=예상등급!$AE$1,LOOKUP(O26,예상등급!$AE$5:$AE$13,예상등급!$AF$5:$AF$13),IF(N26=예상등급!$AH$1,LOOKUP(O26,예상등급!$AH$5:$AH$13,예상등급!$AI$5:$AI$13),IF(N26=예상등급!$AK$1,LOOKUP(O26,예상등급!$AK$5:$AK$13,예상등급!$AL$5:$AL$13),IF(N26=예상등급!$AN$1,LOOKUP(O26,예상등급!$AN$5:$AN$13,예상등급!$AO$5:$AO$13),IF(N26=예상등급!$AQ$1,LOOKUP(O26,예상등급!$AQ$5:$AQ$13,예상등급!$AR$5:$AR$13),IF(N26=예상등급!$AH$15,LOOKUP(O26,예상등급!$AH$19:$AH$27,예상등급!$AI$19:$AI$27),IF(N26=예상등급!$AK$15,LOOKUP(O26,예상등급!$AK$19:$AK$27,예상등급!$AL$19:$AL$27),IF(N26=예상등급!$AN$15,LOOKUP(O26,예상등급!$AN$19:$AN$27,예상등급!$AO$19:$AO$27),IF(N26=예상등급!$AQ$15,LOOKUP(O26,예상등급!$AQ$19:$AQ$27,예상등급!$AR$19:$AR$27),"")))))))))))))))))</f>
        <v>2</v>
      </c>
      <c r="Q26" s="110" t="s">
        <v>772</v>
      </c>
      <c r="R26" s="71">
        <v>44</v>
      </c>
      <c r="S26" s="385">
        <f>IF(Q26=예상등급!$G$1,LOOKUP(R26,예상등급!$G$5:$G$13,예상등급!$H$5:$H$13),IF(Q26=예상등급!$J$1,LOOKUP(R26,예상등급!$J$5:$J$13,예상등급!$K$5:$K$13),IF(Q26=예상등급!$M$1,LOOKUP(R26,예상등급!$M$5:$M$13,예상등급!$N$5:$N$13),IF(Q26=예상등급!$P$1,LOOKUP(R26,예상등급!$P$5:$P$13,예상등급!$Q$5:$Q$13),IF(Q26=예상등급!$S$1,LOOKUP(R26,예상등급!$S$5:$S$13,예상등급!$T$5:$T$13),IF(Q26=예상등급!$V$1,LOOKUP(R26,예상등급!$V$5:$V$13,예상등급!$W$5:$W$13),IF(Q26=예상등급!$Y$1,LOOKUP(R26,예상등급!$Y$5:$Y$13,예상등급!$Z$5:$Z$13),IF(Q26=예상등급!$AB$1,LOOKUP(R26,예상등급!$AB$5:$AB$13,예상등급!$AC$5:$AC$13),IF(Q26=예상등급!$AE$1,LOOKUP(R26,예상등급!$AE$5:$AE$13,예상등급!$AF$5:$AF$13),IF(Q26=예상등급!$AH$1,LOOKUP(R26,예상등급!$AH$5:$AH$13,예상등급!$AI$5:$AI$13),IF(Q26=예상등급!$AK$1,LOOKUP(R26,예상등급!$AK$5:$AK$13,예상등급!$AL$5:$AL$13),IF(Q26=예상등급!$AN$1,LOOKUP(R26,예상등급!$AN$5:$AN$13,예상등급!$AO$5:$AO$13),IF(Q26=예상등급!$AQ$1,LOOKUP(R26,예상등급!$AQ$5:$AQ$13,예상등급!$AR$5:$AR$13),IF(Q26=예상등급!$AH$15,LOOKUP(R26,예상등급!$AH$19:$AH$27,예상등급!$AI$19:$AI$27),IF(Q26=예상등급!$AK$15,LOOKUP(R26,예상등급!$AK$19:$AK$27,예상등급!$AL$19:$AL$27),IF(Q26=예상등급!$AN$15,LOOKUP(R26,예상등급!$AN$19:$AN$27,예상등급!$AO$19:$AO$27),IF(Q26=예상등급!$AQ$15,LOOKUP(R26,예상등급!$AQ$19:$AQ$27,예상등급!$AR$19:$AR$27),"")))))))))))))))))</f>
        <v>1</v>
      </c>
      <c r="T26" s="110">
        <v>24</v>
      </c>
      <c r="U26" s="382">
        <f>IF(T26="","",LOOKUP(T26,예상등급!$D$19:$D$27,예상등급!$E$19:$E$27))</f>
        <v>5</v>
      </c>
      <c r="V26" s="402">
        <f>SUM(L26,T26,R26,O26)</f>
        <v>321</v>
      </c>
      <c r="W26" s="278">
        <f>RANK(V26,$V$4:$V$491)</f>
        <v>23</v>
      </c>
      <c r="X26" s="4"/>
      <c r="Y26" s="140">
        <v>230</v>
      </c>
      <c r="Z26" s="141">
        <f>FREQUENCY($V$4:$V$236,AA29:AA50)</f>
        <v>16</v>
      </c>
      <c r="AC26" s="346" t="s">
        <v>777</v>
      </c>
      <c r="AD26" s="347"/>
      <c r="AE26" s="284">
        <f t="shared" ref="AE26:AM26" si="2">SUM(AE17:AE25)</f>
        <v>135</v>
      </c>
      <c r="AF26" s="261">
        <f t="shared" si="2"/>
        <v>30</v>
      </c>
      <c r="AG26" s="261">
        <f t="shared" si="2"/>
        <v>29</v>
      </c>
      <c r="AH26" s="261">
        <f t="shared" si="2"/>
        <v>11</v>
      </c>
      <c r="AI26" s="261">
        <f t="shared" si="2"/>
        <v>14</v>
      </c>
      <c r="AJ26" s="261">
        <f t="shared" si="2"/>
        <v>9</v>
      </c>
      <c r="AK26" s="261">
        <f t="shared" si="2"/>
        <v>15</v>
      </c>
      <c r="AL26" s="261">
        <f t="shared" si="2"/>
        <v>2</v>
      </c>
      <c r="AM26" s="285">
        <f t="shared" si="2"/>
        <v>143</v>
      </c>
    </row>
    <row r="27" spans="1:39" s="7" customFormat="1" ht="24.95" customHeight="1" thickBot="1" x14ac:dyDescent="0.2">
      <c r="A27" s="110">
        <v>7</v>
      </c>
      <c r="B27" s="71">
        <v>24</v>
      </c>
      <c r="C27" s="100" t="s">
        <v>936</v>
      </c>
      <c r="D27" s="110" t="s">
        <v>779</v>
      </c>
      <c r="E27" s="71">
        <v>63</v>
      </c>
      <c r="F27" s="382">
        <f>IF(D27=예상등급!$A$1,LOOKUP(E27,예상등급!$A$5:$A$13,예상등급!$B$5:$B$13),IF(D27=예상등급!$A$15,LOOKUP(E27,예상등급!$A$19:$A$27,예상등급!$B$19:$B$27),""))</f>
        <v>3</v>
      </c>
      <c r="G27" s="110" t="s">
        <v>780</v>
      </c>
      <c r="H27" s="71">
        <v>64</v>
      </c>
      <c r="I27" s="382">
        <f>IF(G27=예상등급!$G$15,LOOKUP(H27,예상등급!$G$19:$G$27,예상등급!$H$19:$H$27),IF(G27=예상등급!$J$15,LOOKUP(H27,예상등급!$J$19:$J$27,예상등급!$K$19:$K$27),IF(G27=예상등급!$M$15,LOOKUP(H27,예상등급!$M$19:$M$27,예상등급!$N$19:$N$27),"")))</f>
        <v>4</v>
      </c>
      <c r="J27" s="110">
        <v>83</v>
      </c>
      <c r="K27" s="382">
        <f>IF(J27="","",(LOOKUP(J27,예상등급!$D$5:$D$13,예상등급!$E$5:$E$13)))</f>
        <v>2</v>
      </c>
      <c r="L27" s="301">
        <f>SUM(E27,H27,J27)</f>
        <v>210</v>
      </c>
      <c r="M27" s="398">
        <f>RANK(L27,$L$4:$L$491)</f>
        <v>35</v>
      </c>
      <c r="N27" s="110" t="s">
        <v>760</v>
      </c>
      <c r="O27" s="71">
        <v>35</v>
      </c>
      <c r="P27" s="385">
        <f>IF(N27=예상등급!$G$1,LOOKUP(O27,예상등급!$G$5:$G$13,예상등급!$H$5:$H$13),IF(N27=예상등급!$J$1,LOOKUP(O27,예상등급!$J$5:$J$13,예상등급!$K$5:$K$13),IF(N27=예상등급!$M$1,LOOKUP(O27,예상등급!$M$5:$M$13,예상등급!$N$5:$N$13),IF(N27=예상등급!$P$1,LOOKUP(O27,예상등급!$P$5:$P$13,예상등급!$Q$5:$Q$13),IF(N27=예상등급!$S$1,LOOKUP(O27,예상등급!$S$5:$S$13,예상등급!$T$5:$T$13),IF(N27=예상등급!$V$1,LOOKUP(O27,예상등급!$V$5:$V$13,예상등급!$W$5:$W$13),IF(N27=예상등급!$Y$1,LOOKUP(O27,예상등급!$Y$5:$Y$13,예상등급!$Z$5:$Z$13),IF(N27=예상등급!$AB$1,LOOKUP(O27,예상등급!$AB$5:$AB$13,예상등급!$AC$5:$AC$13),IF(N27=예상등급!$AE$1,LOOKUP(O27,예상등급!$AE$5:$AE$13,예상등급!$AF$5:$AF$13),IF(N27=예상등급!$AH$1,LOOKUP(O27,예상등급!$AH$5:$AH$13,예상등급!$AI$5:$AI$13),IF(N27=예상등급!$AK$1,LOOKUP(O27,예상등급!$AK$5:$AK$13,예상등급!$AL$5:$AL$13),IF(N27=예상등급!$AN$1,LOOKUP(O27,예상등급!$AN$5:$AN$13,예상등급!$AO$5:$AO$13),IF(N27=예상등급!$AQ$1,LOOKUP(O27,예상등급!$AQ$5:$AQ$13,예상등급!$AR$5:$AR$13),IF(N27=예상등급!$AH$15,LOOKUP(O27,예상등급!$AH$19:$AH$27,예상등급!$AI$19:$AI$27),IF(N27=예상등급!$AK$15,LOOKUP(O27,예상등급!$AK$19:$AK$27,예상등급!$AL$19:$AL$27),IF(N27=예상등급!$AN$15,LOOKUP(O27,예상등급!$AN$19:$AN$27,예상등급!$AO$19:$AO$27),IF(N27=예상등급!$AQ$15,LOOKUP(O27,예상등급!$AQ$19:$AQ$27,예상등급!$AR$19:$AR$27),"")))))))))))))))))</f>
        <v>2</v>
      </c>
      <c r="Q27" s="110" t="s">
        <v>765</v>
      </c>
      <c r="R27" s="71">
        <v>40</v>
      </c>
      <c r="S27" s="385">
        <f>IF(Q27=예상등급!$G$1,LOOKUP(R27,예상등급!$G$5:$G$13,예상등급!$H$5:$H$13),IF(Q27=예상등급!$J$1,LOOKUP(R27,예상등급!$J$5:$J$13,예상등급!$K$5:$K$13),IF(Q27=예상등급!$M$1,LOOKUP(R27,예상등급!$M$5:$M$13,예상등급!$N$5:$N$13),IF(Q27=예상등급!$P$1,LOOKUP(R27,예상등급!$P$5:$P$13,예상등급!$Q$5:$Q$13),IF(Q27=예상등급!$S$1,LOOKUP(R27,예상등급!$S$5:$S$13,예상등급!$T$5:$T$13),IF(Q27=예상등급!$V$1,LOOKUP(R27,예상등급!$V$5:$V$13,예상등급!$W$5:$W$13),IF(Q27=예상등급!$Y$1,LOOKUP(R27,예상등급!$Y$5:$Y$13,예상등급!$Z$5:$Z$13),IF(Q27=예상등급!$AB$1,LOOKUP(R27,예상등급!$AB$5:$AB$13,예상등급!$AC$5:$AC$13),IF(Q27=예상등급!$AE$1,LOOKUP(R27,예상등급!$AE$5:$AE$13,예상등급!$AF$5:$AF$13),IF(Q27=예상등급!$AH$1,LOOKUP(R27,예상등급!$AH$5:$AH$13,예상등급!$AI$5:$AI$13),IF(Q27=예상등급!$AK$1,LOOKUP(R27,예상등급!$AK$5:$AK$13,예상등급!$AL$5:$AL$13),IF(Q27=예상등급!$AN$1,LOOKUP(R27,예상등급!$AN$5:$AN$13,예상등급!$AO$5:$AO$13),IF(Q27=예상등급!$AQ$1,LOOKUP(R27,예상등급!$AQ$5:$AQ$13,예상등급!$AR$5:$AR$13),IF(Q27=예상등급!$AH$15,LOOKUP(R27,예상등급!$AH$19:$AH$27,예상등급!$AI$19:$AI$27),IF(Q27=예상등급!$AK$15,LOOKUP(R27,예상등급!$AK$19:$AK$27,예상등급!$AL$19:$AL$27),IF(Q27=예상등급!$AN$15,LOOKUP(R27,예상등급!$AN$19:$AN$27,예상등급!$AO$19:$AO$27),IF(Q27=예상등급!$AQ$15,LOOKUP(R27,예상등급!$AQ$19:$AQ$27,예상등급!$AR$19:$AR$27),"")))))))))))))))))</f>
        <v>2</v>
      </c>
      <c r="T27" s="110">
        <v>36</v>
      </c>
      <c r="U27" s="382">
        <f>IF(T27="","",LOOKUP(T27,예상등급!$D$19:$D$27,예상등급!$E$19:$E$27))</f>
        <v>2</v>
      </c>
      <c r="V27" s="402">
        <f>SUM(L27,T27,R27,O27)</f>
        <v>321</v>
      </c>
      <c r="W27" s="278">
        <f>RANK(V27,$V$4:$V$491)</f>
        <v>23</v>
      </c>
      <c r="X27" s="4"/>
      <c r="Y27" s="140">
        <v>220</v>
      </c>
      <c r="Z27" s="141">
        <f>FREQUENCY($V$4:$V$236,AA30:AA51)</f>
        <v>15</v>
      </c>
      <c r="AA27" s="7">
        <v>259</v>
      </c>
      <c r="AC27" s="348"/>
      <c r="AD27" s="349"/>
      <c r="AE27" s="350">
        <f>SUM(AE26:AM26)</f>
        <v>388</v>
      </c>
      <c r="AF27" s="351"/>
      <c r="AG27" s="351"/>
      <c r="AH27" s="351"/>
      <c r="AI27" s="351"/>
      <c r="AJ27" s="351"/>
      <c r="AK27" s="351"/>
      <c r="AL27" s="351"/>
      <c r="AM27" s="352"/>
    </row>
    <row r="28" spans="1:39" s="7" customFormat="1" ht="24.95" customHeight="1" x14ac:dyDescent="0.15">
      <c r="A28" s="110">
        <v>5</v>
      </c>
      <c r="B28" s="71">
        <v>1</v>
      </c>
      <c r="C28" s="100" t="s">
        <v>875</v>
      </c>
      <c r="D28" s="110" t="s">
        <v>779</v>
      </c>
      <c r="E28" s="71">
        <v>64</v>
      </c>
      <c r="F28" s="382">
        <f>IF(D28=예상등급!$A$1,LOOKUP(E28,예상등급!$A$5:$A$13,예상등급!$B$5:$B$13),IF(D28=예상등급!$A$15,LOOKUP(E28,예상등급!$A$19:$A$27,예상등급!$B$19:$B$27),""))</f>
        <v>3</v>
      </c>
      <c r="G28" s="110" t="s">
        <v>780</v>
      </c>
      <c r="H28" s="71">
        <v>59</v>
      </c>
      <c r="I28" s="382">
        <f>IF(G28=예상등급!$G$15,LOOKUP(H28,예상등급!$G$19:$G$27,예상등급!$H$19:$H$27),IF(G28=예상등급!$J$15,LOOKUP(H28,예상등급!$J$19:$J$27,예상등급!$K$19:$K$27),IF(G28=예상등급!$M$15,LOOKUP(H28,예상등급!$M$19:$M$27,예상등급!$N$19:$N$27),"")))</f>
        <v>4</v>
      </c>
      <c r="J28" s="110">
        <v>82</v>
      </c>
      <c r="K28" s="382">
        <f>IF(J28="","",(LOOKUP(J28,예상등급!$D$5:$D$13,예상등급!$E$5:$E$13)))</f>
        <v>2</v>
      </c>
      <c r="L28" s="301">
        <f>SUM(E28,H28,J28)</f>
        <v>205</v>
      </c>
      <c r="M28" s="398">
        <f>RANK(L28,$L$4:$L$491)</f>
        <v>42</v>
      </c>
      <c r="N28" s="110" t="s">
        <v>761</v>
      </c>
      <c r="O28" s="71">
        <v>47</v>
      </c>
      <c r="P28" s="385">
        <f>IF(N28=예상등급!$G$1,LOOKUP(O28,예상등급!$G$5:$G$13,예상등급!$H$5:$H$13),IF(N28=예상등급!$J$1,LOOKUP(O28,예상등급!$J$5:$J$13,예상등급!$K$5:$K$13),IF(N28=예상등급!$M$1,LOOKUP(O28,예상등급!$M$5:$M$13,예상등급!$N$5:$N$13),IF(N28=예상등급!$P$1,LOOKUP(O28,예상등급!$P$5:$P$13,예상등급!$Q$5:$Q$13),IF(N28=예상등급!$S$1,LOOKUP(O28,예상등급!$S$5:$S$13,예상등급!$T$5:$T$13),IF(N28=예상등급!$V$1,LOOKUP(O28,예상등급!$V$5:$V$13,예상등급!$W$5:$W$13),IF(N28=예상등급!$Y$1,LOOKUP(O28,예상등급!$Y$5:$Y$13,예상등급!$Z$5:$Z$13),IF(N28=예상등급!$AB$1,LOOKUP(O28,예상등급!$AB$5:$AB$13,예상등급!$AC$5:$AC$13),IF(N28=예상등급!$AE$1,LOOKUP(O28,예상등급!$AE$5:$AE$13,예상등급!$AF$5:$AF$13),IF(N28=예상등급!$AH$1,LOOKUP(O28,예상등급!$AH$5:$AH$13,예상등급!$AI$5:$AI$13),IF(N28=예상등급!$AK$1,LOOKUP(O28,예상등급!$AK$5:$AK$13,예상등급!$AL$5:$AL$13),IF(N28=예상등급!$AN$1,LOOKUP(O28,예상등급!$AN$5:$AN$13,예상등급!$AO$5:$AO$13),IF(N28=예상등급!$AQ$1,LOOKUP(O28,예상등급!$AQ$5:$AQ$13,예상등급!$AR$5:$AR$13),IF(N28=예상등급!$AH$15,LOOKUP(O28,예상등급!$AH$19:$AH$27,예상등급!$AI$19:$AI$27),IF(N28=예상등급!$AK$15,LOOKUP(O28,예상등급!$AK$19:$AK$27,예상등급!$AL$19:$AL$27),IF(N28=예상등급!$AN$15,LOOKUP(O28,예상등급!$AN$19:$AN$27,예상등급!$AO$19:$AO$27),IF(N28=예상등급!$AQ$15,LOOKUP(O28,예상등급!$AQ$19:$AQ$27,예상등급!$AR$19:$AR$27),"")))))))))))))))))</f>
        <v>1</v>
      </c>
      <c r="Q28" s="110" t="s">
        <v>762</v>
      </c>
      <c r="R28" s="71">
        <v>37</v>
      </c>
      <c r="S28" s="385">
        <f>IF(Q28=예상등급!$G$1,LOOKUP(R28,예상등급!$G$5:$G$13,예상등급!$H$5:$H$13),IF(Q28=예상등급!$J$1,LOOKUP(R28,예상등급!$J$5:$J$13,예상등급!$K$5:$K$13),IF(Q28=예상등급!$M$1,LOOKUP(R28,예상등급!$M$5:$M$13,예상등급!$N$5:$N$13),IF(Q28=예상등급!$P$1,LOOKUP(R28,예상등급!$P$5:$P$13,예상등급!$Q$5:$Q$13),IF(Q28=예상등급!$S$1,LOOKUP(R28,예상등급!$S$5:$S$13,예상등급!$T$5:$T$13),IF(Q28=예상등급!$V$1,LOOKUP(R28,예상등급!$V$5:$V$13,예상등급!$W$5:$W$13),IF(Q28=예상등급!$Y$1,LOOKUP(R28,예상등급!$Y$5:$Y$13,예상등급!$Z$5:$Z$13),IF(Q28=예상등급!$AB$1,LOOKUP(R28,예상등급!$AB$5:$AB$13,예상등급!$AC$5:$AC$13),IF(Q28=예상등급!$AE$1,LOOKUP(R28,예상등급!$AE$5:$AE$13,예상등급!$AF$5:$AF$13),IF(Q28=예상등급!$AH$1,LOOKUP(R28,예상등급!$AH$5:$AH$13,예상등급!$AI$5:$AI$13),IF(Q28=예상등급!$AK$1,LOOKUP(R28,예상등급!$AK$5:$AK$13,예상등급!$AL$5:$AL$13),IF(Q28=예상등급!$AN$1,LOOKUP(R28,예상등급!$AN$5:$AN$13,예상등급!$AO$5:$AO$13),IF(Q28=예상등급!$AQ$1,LOOKUP(R28,예상등급!$AQ$5:$AQ$13,예상등급!$AR$5:$AR$13),IF(Q28=예상등급!$AH$15,LOOKUP(R28,예상등급!$AH$19:$AH$27,예상등급!$AI$19:$AI$27),IF(Q28=예상등급!$AK$15,LOOKUP(R28,예상등급!$AK$19:$AK$27,예상등급!$AL$19:$AL$27),IF(Q28=예상등급!$AN$15,LOOKUP(R28,예상등급!$AN$19:$AN$27,예상등급!$AO$19:$AO$27),IF(Q28=예상등급!$AQ$15,LOOKUP(R28,예상등급!$AQ$19:$AQ$27,예상등급!$AR$19:$AR$27),"")))))))))))))))))</f>
        <v>3</v>
      </c>
      <c r="T28" s="110">
        <v>30</v>
      </c>
      <c r="U28" s="382">
        <f>IF(T28="","",LOOKUP(T28,예상등급!$D$19:$D$27,예상등급!$E$19:$E$27))</f>
        <v>3</v>
      </c>
      <c r="V28" s="402">
        <f>SUM(L28,T28,R28,O28)</f>
        <v>319</v>
      </c>
      <c r="W28" s="278">
        <f>RANK(V28,$V$4:$V$491)</f>
        <v>25</v>
      </c>
      <c r="X28" s="4"/>
      <c r="Y28" s="140">
        <v>210</v>
      </c>
      <c r="Z28" s="141">
        <f>FREQUENCY($V$4:$V$236,AA31:AA52)</f>
        <v>13</v>
      </c>
      <c r="AA28" s="7">
        <v>249</v>
      </c>
    </row>
    <row r="29" spans="1:39" s="7" customFormat="1" ht="24.95" customHeight="1" thickBot="1" x14ac:dyDescent="0.2">
      <c r="A29" s="110">
        <v>10</v>
      </c>
      <c r="B29" s="71">
        <v>21</v>
      </c>
      <c r="C29" s="100" t="s">
        <v>1004</v>
      </c>
      <c r="D29" s="110" t="s">
        <v>779</v>
      </c>
      <c r="E29" s="71">
        <v>61</v>
      </c>
      <c r="F29" s="382">
        <f>IF(D29=예상등급!$A$1,LOOKUP(E29,예상등급!$A$5:$A$13,예상등급!$B$5:$B$13),IF(D29=예상등급!$A$15,LOOKUP(E29,예상등급!$A$19:$A$27,예상등급!$B$19:$B$27),""))</f>
        <v>4</v>
      </c>
      <c r="G29" s="110" t="s">
        <v>780</v>
      </c>
      <c r="H29" s="71">
        <v>69</v>
      </c>
      <c r="I29" s="382">
        <f>IF(G29=예상등급!$G$15,LOOKUP(H29,예상등급!$G$19:$G$27,예상등급!$H$19:$H$27),IF(G29=예상등급!$J$15,LOOKUP(H29,예상등급!$J$19:$J$27,예상등급!$K$19:$K$27),IF(G29=예상등급!$M$15,LOOKUP(H29,예상등급!$M$19:$M$27,예상등급!$N$19:$N$27),"")))</f>
        <v>3</v>
      </c>
      <c r="J29" s="110">
        <v>82</v>
      </c>
      <c r="K29" s="382">
        <f>IF(J29="","",(LOOKUP(J29,예상등급!$D$5:$D$13,예상등급!$E$5:$E$13)))</f>
        <v>2</v>
      </c>
      <c r="L29" s="301">
        <f>SUM(E29,H29,J29)</f>
        <v>212</v>
      </c>
      <c r="M29" s="398">
        <f>RANK(L29,$L$4:$L$491)</f>
        <v>32</v>
      </c>
      <c r="N29" s="110" t="s">
        <v>762</v>
      </c>
      <c r="O29" s="71">
        <v>36</v>
      </c>
      <c r="P29" s="385">
        <f>IF(N29=예상등급!$G$1,LOOKUP(O29,예상등급!$G$5:$G$13,예상등급!$H$5:$H$13),IF(N29=예상등급!$J$1,LOOKUP(O29,예상등급!$J$5:$J$13,예상등급!$K$5:$K$13),IF(N29=예상등급!$M$1,LOOKUP(O29,예상등급!$M$5:$M$13,예상등급!$N$5:$N$13),IF(N29=예상등급!$P$1,LOOKUP(O29,예상등급!$P$5:$P$13,예상등급!$Q$5:$Q$13),IF(N29=예상등급!$S$1,LOOKUP(O29,예상등급!$S$5:$S$13,예상등급!$T$5:$T$13),IF(N29=예상등급!$V$1,LOOKUP(O29,예상등급!$V$5:$V$13,예상등급!$W$5:$W$13),IF(N29=예상등급!$Y$1,LOOKUP(O29,예상등급!$Y$5:$Y$13,예상등급!$Z$5:$Z$13),IF(N29=예상등급!$AB$1,LOOKUP(O29,예상등급!$AB$5:$AB$13,예상등급!$AC$5:$AC$13),IF(N29=예상등급!$AE$1,LOOKUP(O29,예상등급!$AE$5:$AE$13,예상등급!$AF$5:$AF$13),IF(N29=예상등급!$AH$1,LOOKUP(O29,예상등급!$AH$5:$AH$13,예상등급!$AI$5:$AI$13),IF(N29=예상등급!$AK$1,LOOKUP(O29,예상등급!$AK$5:$AK$13,예상등급!$AL$5:$AL$13),IF(N29=예상등급!$AN$1,LOOKUP(O29,예상등급!$AN$5:$AN$13,예상등급!$AO$5:$AO$13),IF(N29=예상등급!$AQ$1,LOOKUP(O29,예상등급!$AQ$5:$AQ$13,예상등급!$AR$5:$AR$13),IF(N29=예상등급!$AH$15,LOOKUP(O29,예상등급!$AH$19:$AH$27,예상등급!$AI$19:$AI$27),IF(N29=예상등급!$AK$15,LOOKUP(O29,예상등급!$AK$19:$AK$27,예상등급!$AL$19:$AL$27),IF(N29=예상등급!$AN$15,LOOKUP(O29,예상등급!$AN$19:$AN$27,예상등급!$AO$19:$AO$27),IF(N29=예상등급!$AQ$15,LOOKUP(O29,예상등급!$AQ$19:$AQ$27,예상등급!$AR$19:$AR$27),"")))))))))))))))))</f>
        <v>3</v>
      </c>
      <c r="Q29" s="110" t="s">
        <v>761</v>
      </c>
      <c r="R29" s="71">
        <v>40</v>
      </c>
      <c r="S29" s="385">
        <f>IF(Q29=예상등급!$G$1,LOOKUP(R29,예상등급!$G$5:$G$13,예상등급!$H$5:$H$13),IF(Q29=예상등급!$J$1,LOOKUP(R29,예상등급!$J$5:$J$13,예상등급!$K$5:$K$13),IF(Q29=예상등급!$M$1,LOOKUP(R29,예상등급!$M$5:$M$13,예상등급!$N$5:$N$13),IF(Q29=예상등급!$P$1,LOOKUP(R29,예상등급!$P$5:$P$13,예상등급!$Q$5:$Q$13),IF(Q29=예상등급!$S$1,LOOKUP(R29,예상등급!$S$5:$S$13,예상등급!$T$5:$T$13),IF(Q29=예상등급!$V$1,LOOKUP(R29,예상등급!$V$5:$V$13,예상등급!$W$5:$W$13),IF(Q29=예상등급!$Y$1,LOOKUP(R29,예상등급!$Y$5:$Y$13,예상등급!$Z$5:$Z$13),IF(Q29=예상등급!$AB$1,LOOKUP(R29,예상등급!$AB$5:$AB$13,예상등급!$AC$5:$AC$13),IF(Q29=예상등급!$AE$1,LOOKUP(R29,예상등급!$AE$5:$AE$13,예상등급!$AF$5:$AF$13),IF(Q29=예상등급!$AH$1,LOOKUP(R29,예상등급!$AH$5:$AH$13,예상등급!$AI$5:$AI$13),IF(Q29=예상등급!$AK$1,LOOKUP(R29,예상등급!$AK$5:$AK$13,예상등급!$AL$5:$AL$13),IF(Q29=예상등급!$AN$1,LOOKUP(R29,예상등급!$AN$5:$AN$13,예상등급!$AO$5:$AO$13),IF(Q29=예상등급!$AQ$1,LOOKUP(R29,예상등급!$AQ$5:$AQ$13,예상등급!$AR$5:$AR$13),IF(Q29=예상등급!$AH$15,LOOKUP(R29,예상등급!$AH$19:$AH$27,예상등급!$AI$19:$AI$27),IF(Q29=예상등급!$AK$15,LOOKUP(R29,예상등급!$AK$19:$AK$27,예상등급!$AL$19:$AL$27),IF(Q29=예상등급!$AN$15,LOOKUP(R29,예상등급!$AN$19:$AN$27,예상등급!$AO$19:$AO$27),IF(Q29=예상등급!$AQ$15,LOOKUP(R29,예상등급!$AQ$19:$AQ$27,예상등급!$AR$19:$AR$27),"")))))))))))))))))</f>
        <v>2</v>
      </c>
      <c r="T29" s="110">
        <v>31</v>
      </c>
      <c r="U29" s="382">
        <f>IF(T29="","",LOOKUP(T29,예상등급!$D$19:$D$27,예상등급!$E$19:$E$27))</f>
        <v>3</v>
      </c>
      <c r="V29" s="402">
        <f>SUM(L29,T29,R29,O29)</f>
        <v>319</v>
      </c>
      <c r="W29" s="278">
        <f>RANK(V29,$V$4:$V$491)</f>
        <v>25</v>
      </c>
      <c r="X29" s="4"/>
      <c r="Y29" s="142">
        <v>200</v>
      </c>
      <c r="Z29" s="143">
        <f>FREQUENCY($V$4:$V$236,AA32:AA53)</f>
        <v>8</v>
      </c>
      <c r="AA29" s="7">
        <v>239</v>
      </c>
    </row>
    <row r="30" spans="1:39" s="7" customFormat="1" ht="24.95" customHeight="1" x14ac:dyDescent="0.15">
      <c r="A30" s="110">
        <v>4</v>
      </c>
      <c r="B30" s="71">
        <v>3</v>
      </c>
      <c r="C30" s="100" t="s">
        <v>858</v>
      </c>
      <c r="D30" s="110" t="s">
        <v>779</v>
      </c>
      <c r="E30" s="71">
        <v>72</v>
      </c>
      <c r="F30" s="382">
        <f>IF(D30=예상등급!$A$1,LOOKUP(E30,예상등급!$A$5:$A$13,예상등급!$B$5:$B$13),IF(D30=예상등급!$A$15,LOOKUP(E30,예상등급!$A$19:$A$27,예상등급!$B$19:$B$27),""))</f>
        <v>2</v>
      </c>
      <c r="G30" s="110" t="s">
        <v>780</v>
      </c>
      <c r="H30" s="71">
        <v>88</v>
      </c>
      <c r="I30" s="382">
        <f>IF(G30=예상등급!$G$15,LOOKUP(H30,예상등급!$G$19:$G$27,예상등급!$H$19:$H$27),IF(G30=예상등급!$J$15,LOOKUP(H30,예상등급!$J$19:$J$27,예상등급!$K$19:$K$27),IF(G30=예상등급!$M$15,LOOKUP(H30,예상등급!$M$19:$M$27,예상등급!$N$19:$N$27),"")))</f>
        <v>1</v>
      </c>
      <c r="J30" s="110">
        <v>76</v>
      </c>
      <c r="K30" s="382">
        <f>IF(J30="","",(LOOKUP(J30,예상등급!$D$5:$D$13,예상등급!$E$5:$E$13)))</f>
        <v>3</v>
      </c>
      <c r="L30" s="301">
        <f>SUM(E30,H30,J30)</f>
        <v>236</v>
      </c>
      <c r="M30" s="398">
        <f>RANK(L30,$L$4:$L$491)</f>
        <v>5</v>
      </c>
      <c r="N30" s="110" t="s">
        <v>769</v>
      </c>
      <c r="O30" s="71">
        <v>38</v>
      </c>
      <c r="P30" s="385">
        <f>IF(N30=예상등급!$G$1,LOOKUP(O30,예상등급!$G$5:$G$13,예상등급!$H$5:$H$13),IF(N30=예상등급!$J$1,LOOKUP(O30,예상등급!$J$5:$J$13,예상등급!$K$5:$K$13),IF(N30=예상등급!$M$1,LOOKUP(O30,예상등급!$M$5:$M$13,예상등급!$N$5:$N$13),IF(N30=예상등급!$P$1,LOOKUP(O30,예상등급!$P$5:$P$13,예상등급!$Q$5:$Q$13),IF(N30=예상등급!$S$1,LOOKUP(O30,예상등급!$S$5:$S$13,예상등급!$T$5:$T$13),IF(N30=예상등급!$V$1,LOOKUP(O30,예상등급!$V$5:$V$13,예상등급!$W$5:$W$13),IF(N30=예상등급!$Y$1,LOOKUP(O30,예상등급!$Y$5:$Y$13,예상등급!$Z$5:$Z$13),IF(N30=예상등급!$AB$1,LOOKUP(O30,예상등급!$AB$5:$AB$13,예상등급!$AC$5:$AC$13),IF(N30=예상등급!$AE$1,LOOKUP(O30,예상등급!$AE$5:$AE$13,예상등급!$AF$5:$AF$13),IF(N30=예상등급!$AH$1,LOOKUP(O30,예상등급!$AH$5:$AH$13,예상등급!$AI$5:$AI$13),IF(N30=예상등급!$AK$1,LOOKUP(O30,예상등급!$AK$5:$AK$13,예상등급!$AL$5:$AL$13),IF(N30=예상등급!$AN$1,LOOKUP(O30,예상등급!$AN$5:$AN$13,예상등급!$AO$5:$AO$13),IF(N30=예상등급!$AQ$1,LOOKUP(O30,예상등급!$AQ$5:$AQ$13,예상등급!$AR$5:$AR$13),IF(N30=예상등급!$AH$15,LOOKUP(O30,예상등급!$AH$19:$AH$27,예상등급!$AI$19:$AI$27),IF(N30=예상등급!$AK$15,LOOKUP(O30,예상등급!$AK$19:$AK$27,예상등급!$AL$19:$AL$27),IF(N30=예상등급!$AN$15,LOOKUP(O30,예상등급!$AN$19:$AN$27,예상등급!$AO$19:$AO$27),IF(N30=예상등급!$AQ$15,LOOKUP(O30,예상등급!$AQ$19:$AQ$27,예상등급!$AR$19:$AR$27),"")))))))))))))))))</f>
        <v>2</v>
      </c>
      <c r="Q30" s="110" t="s">
        <v>771</v>
      </c>
      <c r="R30" s="71">
        <v>31</v>
      </c>
      <c r="S30" s="385">
        <f>IF(Q30=예상등급!$G$1,LOOKUP(R30,예상등급!$G$5:$G$13,예상등급!$H$5:$H$13),IF(Q30=예상등급!$J$1,LOOKUP(R30,예상등급!$J$5:$J$13,예상등급!$K$5:$K$13),IF(Q30=예상등급!$M$1,LOOKUP(R30,예상등급!$M$5:$M$13,예상등급!$N$5:$N$13),IF(Q30=예상등급!$P$1,LOOKUP(R30,예상등급!$P$5:$P$13,예상등급!$Q$5:$Q$13),IF(Q30=예상등급!$S$1,LOOKUP(R30,예상등급!$S$5:$S$13,예상등급!$T$5:$T$13),IF(Q30=예상등급!$V$1,LOOKUP(R30,예상등급!$V$5:$V$13,예상등급!$W$5:$W$13),IF(Q30=예상등급!$Y$1,LOOKUP(R30,예상등급!$Y$5:$Y$13,예상등급!$Z$5:$Z$13),IF(Q30=예상등급!$AB$1,LOOKUP(R30,예상등급!$AB$5:$AB$13,예상등급!$AC$5:$AC$13),IF(Q30=예상등급!$AE$1,LOOKUP(R30,예상등급!$AE$5:$AE$13,예상등급!$AF$5:$AF$13),IF(Q30=예상등급!$AH$1,LOOKUP(R30,예상등급!$AH$5:$AH$13,예상등급!$AI$5:$AI$13),IF(Q30=예상등급!$AK$1,LOOKUP(R30,예상등급!$AK$5:$AK$13,예상등급!$AL$5:$AL$13),IF(Q30=예상등급!$AN$1,LOOKUP(R30,예상등급!$AN$5:$AN$13,예상등급!$AO$5:$AO$13),IF(Q30=예상등급!$AQ$1,LOOKUP(R30,예상등급!$AQ$5:$AQ$13,예상등급!$AR$5:$AR$13),IF(Q30=예상등급!$AH$15,LOOKUP(R30,예상등급!$AH$19:$AH$27,예상등급!$AI$19:$AI$27),IF(Q30=예상등급!$AK$15,LOOKUP(R30,예상등급!$AK$19:$AK$27,예상등급!$AL$19:$AL$27),IF(Q30=예상등급!$AN$15,LOOKUP(R30,예상등급!$AN$19:$AN$27,예상등급!$AO$19:$AO$27),IF(Q30=예상등급!$AQ$15,LOOKUP(R30,예상등급!$AQ$19:$AQ$27,예상등급!$AR$19:$AR$27),"")))))))))))))))))</f>
        <v>3</v>
      </c>
      <c r="T30" s="110">
        <v>12</v>
      </c>
      <c r="U30" s="382">
        <f>IF(T30="","",LOOKUP(T30,예상등급!$D$19:$D$27,예상등급!$E$19:$E$27))</f>
        <v>7</v>
      </c>
      <c r="V30" s="402">
        <f>SUM(L30,T30,R30,O30)</f>
        <v>317</v>
      </c>
      <c r="W30" s="278">
        <f>RANK(V30,$V$4:$V$491)</f>
        <v>27</v>
      </c>
      <c r="X30" s="4"/>
      <c r="Y30" s="138">
        <v>190</v>
      </c>
      <c r="Z30" s="144">
        <f>FREQUENCY($V$4:$V$236,AA33:AA55)</f>
        <v>7</v>
      </c>
      <c r="AA30" s="7">
        <v>229</v>
      </c>
    </row>
    <row r="31" spans="1:39" s="7" customFormat="1" ht="24.95" customHeight="1" x14ac:dyDescent="0.15">
      <c r="A31" s="110">
        <v>7</v>
      </c>
      <c r="B31" s="71">
        <v>14</v>
      </c>
      <c r="C31" s="100" t="s">
        <v>928</v>
      </c>
      <c r="D31" s="110" t="s">
        <v>779</v>
      </c>
      <c r="E31" s="71">
        <v>72</v>
      </c>
      <c r="F31" s="382">
        <f>IF(D31=예상등급!$A$1,LOOKUP(E31,예상등급!$A$5:$A$13,예상등급!$B$5:$B$13),IF(D31=예상등급!$A$15,LOOKUP(E31,예상등급!$A$19:$A$27,예상등급!$B$19:$B$27),""))</f>
        <v>2</v>
      </c>
      <c r="G31" s="110" t="s">
        <v>780</v>
      </c>
      <c r="H31" s="71">
        <v>80</v>
      </c>
      <c r="I31" s="382">
        <f>IF(G31=예상등급!$G$15,LOOKUP(H31,예상등급!$G$19:$G$27,예상등급!$H$19:$H$27),IF(G31=예상등급!$J$15,LOOKUP(H31,예상등급!$J$19:$J$27,예상등급!$K$19:$K$27),IF(G31=예상등급!$M$15,LOOKUP(H31,예상등급!$M$19:$M$27,예상등급!$N$19:$N$27),"")))</f>
        <v>2</v>
      </c>
      <c r="J31" s="110">
        <v>77</v>
      </c>
      <c r="K31" s="382">
        <f>IF(J31="","",(LOOKUP(J31,예상등급!$D$5:$D$13,예상등급!$E$5:$E$13)))</f>
        <v>3</v>
      </c>
      <c r="L31" s="301">
        <f>SUM(E31,H31,J31)</f>
        <v>229</v>
      </c>
      <c r="M31" s="398">
        <f>RANK(L31,$L$4:$L$491)</f>
        <v>11</v>
      </c>
      <c r="N31" s="110" t="s">
        <v>761</v>
      </c>
      <c r="O31" s="71">
        <v>37</v>
      </c>
      <c r="P31" s="385">
        <f>IF(N31=예상등급!$G$1,LOOKUP(O31,예상등급!$G$5:$G$13,예상등급!$H$5:$H$13),IF(N31=예상등급!$J$1,LOOKUP(O31,예상등급!$J$5:$J$13,예상등급!$K$5:$K$13),IF(N31=예상등급!$M$1,LOOKUP(O31,예상등급!$M$5:$M$13,예상등급!$N$5:$N$13),IF(N31=예상등급!$P$1,LOOKUP(O31,예상등급!$P$5:$P$13,예상등급!$Q$5:$Q$13),IF(N31=예상등급!$S$1,LOOKUP(O31,예상등급!$S$5:$S$13,예상등급!$T$5:$T$13),IF(N31=예상등급!$V$1,LOOKUP(O31,예상등급!$V$5:$V$13,예상등급!$W$5:$W$13),IF(N31=예상등급!$Y$1,LOOKUP(O31,예상등급!$Y$5:$Y$13,예상등급!$Z$5:$Z$13),IF(N31=예상등급!$AB$1,LOOKUP(O31,예상등급!$AB$5:$AB$13,예상등급!$AC$5:$AC$13),IF(N31=예상등급!$AE$1,LOOKUP(O31,예상등급!$AE$5:$AE$13,예상등급!$AF$5:$AF$13),IF(N31=예상등급!$AH$1,LOOKUP(O31,예상등급!$AH$5:$AH$13,예상등급!$AI$5:$AI$13),IF(N31=예상등급!$AK$1,LOOKUP(O31,예상등급!$AK$5:$AK$13,예상등급!$AL$5:$AL$13),IF(N31=예상등급!$AN$1,LOOKUP(O31,예상등급!$AN$5:$AN$13,예상등급!$AO$5:$AO$13),IF(N31=예상등급!$AQ$1,LOOKUP(O31,예상등급!$AQ$5:$AQ$13,예상등급!$AR$5:$AR$13),IF(N31=예상등급!$AH$15,LOOKUP(O31,예상등급!$AH$19:$AH$27,예상등급!$AI$19:$AI$27),IF(N31=예상등급!$AK$15,LOOKUP(O31,예상등급!$AK$19:$AK$27,예상등급!$AL$19:$AL$27),IF(N31=예상등급!$AN$15,LOOKUP(O31,예상등급!$AN$19:$AN$27,예상등급!$AO$19:$AO$27),IF(N31=예상등급!$AQ$15,LOOKUP(O31,예상등급!$AQ$19:$AQ$27,예상등급!$AR$19:$AR$27),"")))))))))))))))))</f>
        <v>2</v>
      </c>
      <c r="Q31" s="110" t="s">
        <v>762</v>
      </c>
      <c r="R31" s="71">
        <v>30</v>
      </c>
      <c r="S31" s="385">
        <f>IF(Q31=예상등급!$G$1,LOOKUP(R31,예상등급!$G$5:$G$13,예상등급!$H$5:$H$13),IF(Q31=예상등급!$J$1,LOOKUP(R31,예상등급!$J$5:$J$13,예상등급!$K$5:$K$13),IF(Q31=예상등급!$M$1,LOOKUP(R31,예상등급!$M$5:$M$13,예상등급!$N$5:$N$13),IF(Q31=예상등급!$P$1,LOOKUP(R31,예상등급!$P$5:$P$13,예상등급!$Q$5:$Q$13),IF(Q31=예상등급!$S$1,LOOKUP(R31,예상등급!$S$5:$S$13,예상등급!$T$5:$T$13),IF(Q31=예상등급!$V$1,LOOKUP(R31,예상등급!$V$5:$V$13,예상등급!$W$5:$W$13),IF(Q31=예상등급!$Y$1,LOOKUP(R31,예상등급!$Y$5:$Y$13,예상등급!$Z$5:$Z$13),IF(Q31=예상등급!$AB$1,LOOKUP(R31,예상등급!$AB$5:$AB$13,예상등급!$AC$5:$AC$13),IF(Q31=예상등급!$AE$1,LOOKUP(R31,예상등급!$AE$5:$AE$13,예상등급!$AF$5:$AF$13),IF(Q31=예상등급!$AH$1,LOOKUP(R31,예상등급!$AH$5:$AH$13,예상등급!$AI$5:$AI$13),IF(Q31=예상등급!$AK$1,LOOKUP(R31,예상등급!$AK$5:$AK$13,예상등급!$AL$5:$AL$13),IF(Q31=예상등급!$AN$1,LOOKUP(R31,예상등급!$AN$5:$AN$13,예상등급!$AO$5:$AO$13),IF(Q31=예상등급!$AQ$1,LOOKUP(R31,예상등급!$AQ$5:$AQ$13,예상등급!$AR$5:$AR$13),IF(Q31=예상등급!$AH$15,LOOKUP(R31,예상등급!$AH$19:$AH$27,예상등급!$AI$19:$AI$27),IF(Q31=예상등급!$AK$15,LOOKUP(R31,예상등급!$AK$19:$AK$27,예상등급!$AL$19:$AL$27),IF(Q31=예상등급!$AN$15,LOOKUP(R31,예상등급!$AN$19:$AN$27,예상등급!$AO$19:$AO$27),IF(Q31=예상등급!$AQ$15,LOOKUP(R31,예상등급!$AQ$19:$AQ$27,예상등급!$AR$19:$AR$27),"")))))))))))))))))</f>
        <v>4</v>
      </c>
      <c r="T31" s="110">
        <v>21</v>
      </c>
      <c r="U31" s="382">
        <f>IF(T31="","",LOOKUP(T31,예상등급!$D$19:$D$27,예상등급!$E$19:$E$27))</f>
        <v>5</v>
      </c>
      <c r="V31" s="402">
        <f>SUM(L31,T31,R31,O31)</f>
        <v>317</v>
      </c>
      <c r="W31" s="278">
        <f>RANK(V31,$V$4:$V$491)</f>
        <v>27</v>
      </c>
      <c r="X31" s="4"/>
      <c r="Y31" s="140">
        <v>180</v>
      </c>
      <c r="Z31" s="141">
        <f>FREQUENCY($V$4:$V$236,AA34:AA56)</f>
        <v>10</v>
      </c>
      <c r="AA31" s="7">
        <v>219</v>
      </c>
    </row>
    <row r="32" spans="1:39" s="7" customFormat="1" ht="24.95" customHeight="1" x14ac:dyDescent="0.15">
      <c r="A32" s="110">
        <v>2</v>
      </c>
      <c r="B32" s="71">
        <v>14</v>
      </c>
      <c r="C32" s="100" t="s">
        <v>831</v>
      </c>
      <c r="D32" s="110" t="s">
        <v>779</v>
      </c>
      <c r="E32" s="71">
        <v>56</v>
      </c>
      <c r="F32" s="382">
        <f>IF(D32=예상등급!$A$1,LOOKUP(E32,예상등급!$A$5:$A$13,예상등급!$B$5:$B$13),IF(D32=예상등급!$A$15,LOOKUP(E32,예상등급!$A$19:$A$27,예상등급!$B$19:$B$27),""))</f>
        <v>4</v>
      </c>
      <c r="G32" s="110" t="s">
        <v>780</v>
      </c>
      <c r="H32" s="71">
        <v>62</v>
      </c>
      <c r="I32" s="382">
        <f>IF(G32=예상등급!$G$15,LOOKUP(H32,예상등급!$G$19:$G$27,예상등급!$H$19:$H$27),IF(G32=예상등급!$J$15,LOOKUP(H32,예상등급!$J$19:$J$27,예상등급!$K$19:$K$27),IF(G32=예상등급!$M$15,LOOKUP(H32,예상등급!$M$19:$M$27,예상등급!$N$19:$N$27),"")))</f>
        <v>4</v>
      </c>
      <c r="J32" s="110">
        <v>80</v>
      </c>
      <c r="K32" s="382">
        <f>IF(J32="","",(LOOKUP(J32,예상등급!$D$5:$D$13,예상등급!$E$5:$E$13)))</f>
        <v>2</v>
      </c>
      <c r="L32" s="301">
        <f>SUM(E32,H32,J32)</f>
        <v>198</v>
      </c>
      <c r="M32" s="398">
        <f>RANK(L32,$L$4:$L$491)</f>
        <v>49</v>
      </c>
      <c r="N32" s="110" t="s">
        <v>761</v>
      </c>
      <c r="O32" s="71">
        <v>37</v>
      </c>
      <c r="P32" s="385">
        <f>IF(N32=예상등급!$G$1,LOOKUP(O32,예상등급!$G$5:$G$13,예상등급!$H$5:$H$13),IF(N32=예상등급!$J$1,LOOKUP(O32,예상등급!$J$5:$J$13,예상등급!$K$5:$K$13),IF(N32=예상등급!$M$1,LOOKUP(O32,예상등급!$M$5:$M$13,예상등급!$N$5:$N$13),IF(N32=예상등급!$P$1,LOOKUP(O32,예상등급!$P$5:$P$13,예상등급!$Q$5:$Q$13),IF(N32=예상등급!$S$1,LOOKUP(O32,예상등급!$S$5:$S$13,예상등급!$T$5:$T$13),IF(N32=예상등급!$V$1,LOOKUP(O32,예상등급!$V$5:$V$13,예상등급!$W$5:$W$13),IF(N32=예상등급!$Y$1,LOOKUP(O32,예상등급!$Y$5:$Y$13,예상등급!$Z$5:$Z$13),IF(N32=예상등급!$AB$1,LOOKUP(O32,예상등급!$AB$5:$AB$13,예상등급!$AC$5:$AC$13),IF(N32=예상등급!$AE$1,LOOKUP(O32,예상등급!$AE$5:$AE$13,예상등급!$AF$5:$AF$13),IF(N32=예상등급!$AH$1,LOOKUP(O32,예상등급!$AH$5:$AH$13,예상등급!$AI$5:$AI$13),IF(N32=예상등급!$AK$1,LOOKUP(O32,예상등급!$AK$5:$AK$13,예상등급!$AL$5:$AL$13),IF(N32=예상등급!$AN$1,LOOKUP(O32,예상등급!$AN$5:$AN$13,예상등급!$AO$5:$AO$13),IF(N32=예상등급!$AQ$1,LOOKUP(O32,예상등급!$AQ$5:$AQ$13,예상등급!$AR$5:$AR$13),IF(N32=예상등급!$AH$15,LOOKUP(O32,예상등급!$AH$19:$AH$27,예상등급!$AI$19:$AI$27),IF(N32=예상등급!$AK$15,LOOKUP(O32,예상등급!$AK$19:$AK$27,예상등급!$AL$19:$AL$27),IF(N32=예상등급!$AN$15,LOOKUP(O32,예상등급!$AN$19:$AN$27,예상등급!$AO$19:$AO$27),IF(N32=예상등급!$AQ$15,LOOKUP(O32,예상등급!$AQ$19:$AQ$27,예상등급!$AR$19:$AR$27),"")))))))))))))))))</f>
        <v>2</v>
      </c>
      <c r="Q32" s="110" t="s">
        <v>762</v>
      </c>
      <c r="R32" s="71">
        <v>42</v>
      </c>
      <c r="S32" s="385">
        <f>IF(Q32=예상등급!$G$1,LOOKUP(R32,예상등급!$G$5:$G$13,예상등급!$H$5:$H$13),IF(Q32=예상등급!$J$1,LOOKUP(R32,예상등급!$J$5:$J$13,예상등급!$K$5:$K$13),IF(Q32=예상등급!$M$1,LOOKUP(R32,예상등급!$M$5:$M$13,예상등급!$N$5:$N$13),IF(Q32=예상등급!$P$1,LOOKUP(R32,예상등급!$P$5:$P$13,예상등급!$Q$5:$Q$13),IF(Q32=예상등급!$S$1,LOOKUP(R32,예상등급!$S$5:$S$13,예상등급!$T$5:$T$13),IF(Q32=예상등급!$V$1,LOOKUP(R32,예상등급!$V$5:$V$13,예상등급!$W$5:$W$13),IF(Q32=예상등급!$Y$1,LOOKUP(R32,예상등급!$Y$5:$Y$13,예상등급!$Z$5:$Z$13),IF(Q32=예상등급!$AB$1,LOOKUP(R32,예상등급!$AB$5:$AB$13,예상등급!$AC$5:$AC$13),IF(Q32=예상등급!$AE$1,LOOKUP(R32,예상등급!$AE$5:$AE$13,예상등급!$AF$5:$AF$13),IF(Q32=예상등급!$AH$1,LOOKUP(R32,예상등급!$AH$5:$AH$13,예상등급!$AI$5:$AI$13),IF(Q32=예상등급!$AK$1,LOOKUP(R32,예상등급!$AK$5:$AK$13,예상등급!$AL$5:$AL$13),IF(Q32=예상등급!$AN$1,LOOKUP(R32,예상등급!$AN$5:$AN$13,예상등급!$AO$5:$AO$13),IF(Q32=예상등급!$AQ$1,LOOKUP(R32,예상등급!$AQ$5:$AQ$13,예상등급!$AR$5:$AR$13),IF(Q32=예상등급!$AH$15,LOOKUP(R32,예상등급!$AH$19:$AH$27,예상등급!$AI$19:$AI$27),IF(Q32=예상등급!$AK$15,LOOKUP(R32,예상등급!$AK$19:$AK$27,예상등급!$AL$19:$AL$27),IF(Q32=예상등급!$AN$15,LOOKUP(R32,예상등급!$AN$19:$AN$27,예상등급!$AO$19:$AO$27),IF(Q32=예상등급!$AQ$15,LOOKUP(R32,예상등급!$AQ$19:$AQ$27,예상등급!$AR$19:$AR$27),"")))))))))))))))))</f>
        <v>2</v>
      </c>
      <c r="T32" s="110">
        <v>37</v>
      </c>
      <c r="U32" s="382">
        <f>IF(T32="","",LOOKUP(T32,예상등급!$D$19:$D$27,예상등급!$E$19:$E$27))</f>
        <v>2</v>
      </c>
      <c r="V32" s="402">
        <f>SUM(L32,T32,R32,O32)</f>
        <v>314</v>
      </c>
      <c r="W32" s="278">
        <f>RANK(V32,$V$4:$V$491)</f>
        <v>29</v>
      </c>
      <c r="X32" s="4"/>
      <c r="Y32" s="140">
        <v>170</v>
      </c>
      <c r="Z32" s="141">
        <f>FREQUENCY($V$4:$V$236,AA35:AA57)</f>
        <v>5</v>
      </c>
      <c r="AA32" s="7">
        <v>209</v>
      </c>
    </row>
    <row r="33" spans="1:27" s="7" customFormat="1" ht="24.95" customHeight="1" x14ac:dyDescent="0.15">
      <c r="A33" s="110">
        <v>5</v>
      </c>
      <c r="B33" s="71">
        <v>4</v>
      </c>
      <c r="C33" s="100" t="s">
        <v>877</v>
      </c>
      <c r="D33" s="110" t="s">
        <v>779</v>
      </c>
      <c r="E33" s="71">
        <v>62</v>
      </c>
      <c r="F33" s="382">
        <f>IF(D33=예상등급!$A$1,LOOKUP(E33,예상등급!$A$5:$A$13,예상등급!$B$5:$B$13),IF(D33=예상등급!$A$15,LOOKUP(E33,예상등급!$A$19:$A$27,예상등급!$B$19:$B$27),""))</f>
        <v>4</v>
      </c>
      <c r="G33" s="110" t="s">
        <v>782</v>
      </c>
      <c r="H33" s="71">
        <v>81</v>
      </c>
      <c r="I33" s="382">
        <f>IF(G33=예상등급!$G$15,LOOKUP(H33,예상등급!$G$19:$G$27,예상등급!$H$19:$H$27),IF(G33=예상등급!$J$15,LOOKUP(H33,예상등급!$J$19:$J$27,예상등급!$K$19:$K$27),IF(G33=예상등급!$M$15,LOOKUP(H33,예상등급!$M$19:$M$27,예상등급!$N$19:$N$27),"")))</f>
        <v>2</v>
      </c>
      <c r="J33" s="110">
        <v>72</v>
      </c>
      <c r="K33" s="382">
        <f>IF(J33="","",(LOOKUP(J33,예상등급!$D$5:$D$13,예상등급!$E$5:$E$13)))</f>
        <v>3</v>
      </c>
      <c r="L33" s="301">
        <f>SUM(E33,H33,J33)</f>
        <v>215</v>
      </c>
      <c r="M33" s="398">
        <f>RANK(L33,$L$4:$L$491)</f>
        <v>26</v>
      </c>
      <c r="N33" s="110" t="s">
        <v>762</v>
      </c>
      <c r="O33" s="71">
        <v>44</v>
      </c>
      <c r="P33" s="385">
        <f>IF(N33=예상등급!$G$1,LOOKUP(O33,예상등급!$G$5:$G$13,예상등급!$H$5:$H$13),IF(N33=예상등급!$J$1,LOOKUP(O33,예상등급!$J$5:$J$13,예상등급!$K$5:$K$13),IF(N33=예상등급!$M$1,LOOKUP(O33,예상등급!$M$5:$M$13,예상등급!$N$5:$N$13),IF(N33=예상등급!$P$1,LOOKUP(O33,예상등급!$P$5:$P$13,예상등급!$Q$5:$Q$13),IF(N33=예상등급!$S$1,LOOKUP(O33,예상등급!$S$5:$S$13,예상등급!$T$5:$T$13),IF(N33=예상등급!$V$1,LOOKUP(O33,예상등급!$V$5:$V$13,예상등급!$W$5:$W$13),IF(N33=예상등급!$Y$1,LOOKUP(O33,예상등급!$Y$5:$Y$13,예상등급!$Z$5:$Z$13),IF(N33=예상등급!$AB$1,LOOKUP(O33,예상등급!$AB$5:$AB$13,예상등급!$AC$5:$AC$13),IF(N33=예상등급!$AE$1,LOOKUP(O33,예상등급!$AE$5:$AE$13,예상등급!$AF$5:$AF$13),IF(N33=예상등급!$AH$1,LOOKUP(O33,예상등급!$AH$5:$AH$13,예상등급!$AI$5:$AI$13),IF(N33=예상등급!$AK$1,LOOKUP(O33,예상등급!$AK$5:$AK$13,예상등급!$AL$5:$AL$13),IF(N33=예상등급!$AN$1,LOOKUP(O33,예상등급!$AN$5:$AN$13,예상등급!$AO$5:$AO$13),IF(N33=예상등급!$AQ$1,LOOKUP(O33,예상등급!$AQ$5:$AQ$13,예상등급!$AR$5:$AR$13),IF(N33=예상등급!$AH$15,LOOKUP(O33,예상등급!$AH$19:$AH$27,예상등급!$AI$19:$AI$27),IF(N33=예상등급!$AK$15,LOOKUP(O33,예상등급!$AK$19:$AK$27,예상등급!$AL$19:$AL$27),IF(N33=예상등급!$AN$15,LOOKUP(O33,예상등급!$AN$19:$AN$27,예상등급!$AO$19:$AO$27),IF(N33=예상등급!$AQ$15,LOOKUP(O33,예상등급!$AQ$19:$AQ$27,예상등급!$AR$19:$AR$27),"")))))))))))))))))</f>
        <v>1</v>
      </c>
      <c r="Q33" s="110" t="s">
        <v>771</v>
      </c>
      <c r="R33" s="71">
        <v>18</v>
      </c>
      <c r="S33" s="385">
        <f>IF(Q33=예상등급!$G$1,LOOKUP(R33,예상등급!$G$5:$G$13,예상등급!$H$5:$H$13),IF(Q33=예상등급!$J$1,LOOKUP(R33,예상등급!$J$5:$J$13,예상등급!$K$5:$K$13),IF(Q33=예상등급!$M$1,LOOKUP(R33,예상등급!$M$5:$M$13,예상등급!$N$5:$N$13),IF(Q33=예상등급!$P$1,LOOKUP(R33,예상등급!$P$5:$P$13,예상등급!$Q$5:$Q$13),IF(Q33=예상등급!$S$1,LOOKUP(R33,예상등급!$S$5:$S$13,예상등급!$T$5:$T$13),IF(Q33=예상등급!$V$1,LOOKUP(R33,예상등급!$V$5:$V$13,예상등급!$W$5:$W$13),IF(Q33=예상등급!$Y$1,LOOKUP(R33,예상등급!$Y$5:$Y$13,예상등급!$Z$5:$Z$13),IF(Q33=예상등급!$AB$1,LOOKUP(R33,예상등급!$AB$5:$AB$13,예상등급!$AC$5:$AC$13),IF(Q33=예상등급!$AE$1,LOOKUP(R33,예상등급!$AE$5:$AE$13,예상등급!$AF$5:$AF$13),IF(Q33=예상등급!$AH$1,LOOKUP(R33,예상등급!$AH$5:$AH$13,예상등급!$AI$5:$AI$13),IF(Q33=예상등급!$AK$1,LOOKUP(R33,예상등급!$AK$5:$AK$13,예상등급!$AL$5:$AL$13),IF(Q33=예상등급!$AN$1,LOOKUP(R33,예상등급!$AN$5:$AN$13,예상등급!$AO$5:$AO$13),IF(Q33=예상등급!$AQ$1,LOOKUP(R33,예상등급!$AQ$5:$AQ$13,예상등급!$AR$5:$AR$13),IF(Q33=예상등급!$AH$15,LOOKUP(R33,예상등급!$AH$19:$AH$27,예상등급!$AI$19:$AI$27),IF(Q33=예상등급!$AK$15,LOOKUP(R33,예상등급!$AK$19:$AK$27,예상등급!$AL$19:$AL$27),IF(Q33=예상등급!$AN$15,LOOKUP(R33,예상등급!$AN$19:$AN$27,예상등급!$AO$19:$AO$27),IF(Q33=예상등급!$AQ$15,LOOKUP(R33,예상등급!$AQ$19:$AQ$27,예상등급!$AR$19:$AR$27),"")))))))))))))))))</f>
        <v>5</v>
      </c>
      <c r="T33" s="110">
        <v>37</v>
      </c>
      <c r="U33" s="382">
        <f>IF(T33="","",LOOKUP(T33,예상등급!$D$19:$D$27,예상등급!$E$19:$E$27))</f>
        <v>2</v>
      </c>
      <c r="V33" s="402">
        <f>SUM(L33,T33,R33,O33)</f>
        <v>314</v>
      </c>
      <c r="W33" s="278">
        <f>RANK(V33,$V$4:$V$491)</f>
        <v>29</v>
      </c>
      <c r="X33" s="4"/>
      <c r="Y33" s="140">
        <v>160</v>
      </c>
      <c r="Z33" s="141">
        <f>FREQUENCY($V$4:$V$236,AA36:AA58)</f>
        <v>13</v>
      </c>
      <c r="AA33" s="7">
        <v>199</v>
      </c>
    </row>
    <row r="34" spans="1:27" s="7" customFormat="1" ht="24.95" customHeight="1" thickBot="1" x14ac:dyDescent="0.2">
      <c r="A34" s="110">
        <v>7</v>
      </c>
      <c r="B34" s="71">
        <v>12</v>
      </c>
      <c r="C34" s="100" t="s">
        <v>926</v>
      </c>
      <c r="D34" s="110" t="s">
        <v>779</v>
      </c>
      <c r="E34" s="71">
        <v>68</v>
      </c>
      <c r="F34" s="382">
        <f>IF(D34=예상등급!$A$1,LOOKUP(E34,예상등급!$A$5:$A$13,예상등급!$B$5:$B$13),IF(D34=예상등급!$A$15,LOOKUP(E34,예상등급!$A$19:$A$27,예상등급!$B$19:$B$27),""))</f>
        <v>3</v>
      </c>
      <c r="G34" s="110" t="s">
        <v>781</v>
      </c>
      <c r="H34" s="71">
        <v>70</v>
      </c>
      <c r="I34" s="382">
        <f>IF(G34=예상등급!$G$15,LOOKUP(H34,예상등급!$G$19:$G$27,예상등급!$H$19:$H$27),IF(G34=예상등급!$J$15,LOOKUP(H34,예상등급!$J$19:$J$27,예상등급!$K$19:$K$27),IF(G34=예상등급!$M$15,LOOKUP(H34,예상등급!$M$19:$M$27,예상등급!$N$19:$N$27),"")))</f>
        <v>3</v>
      </c>
      <c r="J34" s="110">
        <v>77</v>
      </c>
      <c r="K34" s="382">
        <f>IF(J34="","",(LOOKUP(J34,예상등급!$D$5:$D$13,예상등급!$E$5:$E$13)))</f>
        <v>3</v>
      </c>
      <c r="L34" s="301">
        <f>SUM(E34,H34,J34)</f>
        <v>215</v>
      </c>
      <c r="M34" s="398">
        <f>RANK(L34,$L$4:$L$491)</f>
        <v>26</v>
      </c>
      <c r="N34" s="110" t="s">
        <v>765</v>
      </c>
      <c r="O34" s="71">
        <v>35</v>
      </c>
      <c r="P34" s="385">
        <f>IF(N34=예상등급!$G$1,LOOKUP(O34,예상등급!$G$5:$G$13,예상등급!$H$5:$H$13),IF(N34=예상등급!$J$1,LOOKUP(O34,예상등급!$J$5:$J$13,예상등급!$K$5:$K$13),IF(N34=예상등급!$M$1,LOOKUP(O34,예상등급!$M$5:$M$13,예상등급!$N$5:$N$13),IF(N34=예상등급!$P$1,LOOKUP(O34,예상등급!$P$5:$P$13,예상등급!$Q$5:$Q$13),IF(N34=예상등급!$S$1,LOOKUP(O34,예상등급!$S$5:$S$13,예상등급!$T$5:$T$13),IF(N34=예상등급!$V$1,LOOKUP(O34,예상등급!$V$5:$V$13,예상등급!$W$5:$W$13),IF(N34=예상등급!$Y$1,LOOKUP(O34,예상등급!$Y$5:$Y$13,예상등급!$Z$5:$Z$13),IF(N34=예상등급!$AB$1,LOOKUP(O34,예상등급!$AB$5:$AB$13,예상등급!$AC$5:$AC$13),IF(N34=예상등급!$AE$1,LOOKUP(O34,예상등급!$AE$5:$AE$13,예상등급!$AF$5:$AF$13),IF(N34=예상등급!$AH$1,LOOKUP(O34,예상등급!$AH$5:$AH$13,예상등급!$AI$5:$AI$13),IF(N34=예상등급!$AK$1,LOOKUP(O34,예상등급!$AK$5:$AK$13,예상등급!$AL$5:$AL$13),IF(N34=예상등급!$AN$1,LOOKUP(O34,예상등급!$AN$5:$AN$13,예상등급!$AO$5:$AO$13),IF(N34=예상등급!$AQ$1,LOOKUP(O34,예상등급!$AQ$5:$AQ$13,예상등급!$AR$5:$AR$13),IF(N34=예상등급!$AH$15,LOOKUP(O34,예상등급!$AH$19:$AH$27,예상등급!$AI$19:$AI$27),IF(N34=예상등급!$AK$15,LOOKUP(O34,예상등급!$AK$19:$AK$27,예상등급!$AL$19:$AL$27),IF(N34=예상등급!$AN$15,LOOKUP(O34,예상등급!$AN$19:$AN$27,예상등급!$AO$19:$AO$27),IF(N34=예상등급!$AQ$15,LOOKUP(O34,예상등급!$AQ$19:$AQ$27,예상등급!$AR$19:$AR$27),"")))))))))))))))))</f>
        <v>3</v>
      </c>
      <c r="Q34" s="110" t="s">
        <v>762</v>
      </c>
      <c r="R34" s="71">
        <v>32</v>
      </c>
      <c r="S34" s="385">
        <f>IF(Q34=예상등급!$G$1,LOOKUP(R34,예상등급!$G$5:$G$13,예상등급!$H$5:$H$13),IF(Q34=예상등급!$J$1,LOOKUP(R34,예상등급!$J$5:$J$13,예상등급!$K$5:$K$13),IF(Q34=예상등급!$M$1,LOOKUP(R34,예상등급!$M$5:$M$13,예상등급!$N$5:$N$13),IF(Q34=예상등급!$P$1,LOOKUP(R34,예상등급!$P$5:$P$13,예상등급!$Q$5:$Q$13),IF(Q34=예상등급!$S$1,LOOKUP(R34,예상등급!$S$5:$S$13,예상등급!$T$5:$T$13),IF(Q34=예상등급!$V$1,LOOKUP(R34,예상등급!$V$5:$V$13,예상등급!$W$5:$W$13),IF(Q34=예상등급!$Y$1,LOOKUP(R34,예상등급!$Y$5:$Y$13,예상등급!$Z$5:$Z$13),IF(Q34=예상등급!$AB$1,LOOKUP(R34,예상등급!$AB$5:$AB$13,예상등급!$AC$5:$AC$13),IF(Q34=예상등급!$AE$1,LOOKUP(R34,예상등급!$AE$5:$AE$13,예상등급!$AF$5:$AF$13),IF(Q34=예상등급!$AH$1,LOOKUP(R34,예상등급!$AH$5:$AH$13,예상등급!$AI$5:$AI$13),IF(Q34=예상등급!$AK$1,LOOKUP(R34,예상등급!$AK$5:$AK$13,예상등급!$AL$5:$AL$13),IF(Q34=예상등급!$AN$1,LOOKUP(R34,예상등급!$AN$5:$AN$13,예상등급!$AO$5:$AO$13),IF(Q34=예상등급!$AQ$1,LOOKUP(R34,예상등급!$AQ$5:$AQ$13,예상등급!$AR$5:$AR$13),IF(Q34=예상등급!$AH$15,LOOKUP(R34,예상등급!$AH$19:$AH$27,예상등급!$AI$19:$AI$27),IF(Q34=예상등급!$AK$15,LOOKUP(R34,예상등급!$AK$19:$AK$27,예상등급!$AL$19:$AL$27),IF(Q34=예상등급!$AN$15,LOOKUP(R34,예상등급!$AN$19:$AN$27,예상등급!$AO$19:$AO$27),IF(Q34=예상등급!$AQ$15,LOOKUP(R34,예상등급!$AQ$19:$AQ$27,예상등급!$AR$19:$AR$27),"")))))))))))))))))</f>
        <v>3</v>
      </c>
      <c r="T34" s="110">
        <v>32</v>
      </c>
      <c r="U34" s="382">
        <f>IF(T34="","",LOOKUP(T34,예상등급!$D$19:$D$27,예상등급!$E$19:$E$27))</f>
        <v>3</v>
      </c>
      <c r="V34" s="402">
        <f>SUM(L34,T34,R34,O34)</f>
        <v>314</v>
      </c>
      <c r="W34" s="278">
        <f>RANK(V34,$V$4:$V$491)</f>
        <v>29</v>
      </c>
      <c r="X34" s="4"/>
      <c r="Y34" s="142">
        <v>150</v>
      </c>
      <c r="Z34" s="143">
        <f>FREQUENCY($V$4:$V$236,AA38:AA59)</f>
        <v>13</v>
      </c>
      <c r="AA34" s="7">
        <v>189</v>
      </c>
    </row>
    <row r="35" spans="1:27" s="7" customFormat="1" ht="24.95" customHeight="1" x14ac:dyDescent="0.15">
      <c r="A35" s="110">
        <v>7</v>
      </c>
      <c r="B35" s="71">
        <v>2</v>
      </c>
      <c r="C35" s="100" t="s">
        <v>917</v>
      </c>
      <c r="D35" s="110" t="s">
        <v>779</v>
      </c>
      <c r="E35" s="71">
        <v>57</v>
      </c>
      <c r="F35" s="382">
        <f>IF(D35=예상등급!$A$1,LOOKUP(E35,예상등급!$A$5:$A$13,예상등급!$B$5:$B$13),IF(D35=예상등급!$A$15,LOOKUP(E35,예상등급!$A$19:$A$27,예상등급!$B$19:$B$27),""))</f>
        <v>4</v>
      </c>
      <c r="G35" s="110" t="s">
        <v>781</v>
      </c>
      <c r="H35" s="71">
        <v>58</v>
      </c>
      <c r="I35" s="382">
        <f>IF(G35=예상등급!$G$15,LOOKUP(H35,예상등급!$G$19:$G$27,예상등급!$H$19:$H$27),IF(G35=예상등급!$J$15,LOOKUP(H35,예상등급!$J$19:$J$27,예상등급!$K$19:$K$27),IF(G35=예상등급!$M$15,LOOKUP(H35,예상등급!$M$19:$M$27,예상등급!$N$19:$N$27),"")))</f>
        <v>4</v>
      </c>
      <c r="J35" s="110">
        <v>72</v>
      </c>
      <c r="K35" s="382">
        <f>IF(J35="","",(LOOKUP(J35,예상등급!$D$5:$D$13,예상등급!$E$5:$E$13)))</f>
        <v>3</v>
      </c>
      <c r="L35" s="301">
        <f>SUM(E35,H35,J35)</f>
        <v>187</v>
      </c>
      <c r="M35" s="398">
        <f>RANK(L35,$L$4:$L$491)</f>
        <v>65</v>
      </c>
      <c r="N35" s="110" t="s">
        <v>761</v>
      </c>
      <c r="O35" s="71">
        <v>48</v>
      </c>
      <c r="P35" s="385">
        <f>IF(N35=예상등급!$G$1,LOOKUP(O35,예상등급!$G$5:$G$13,예상등급!$H$5:$H$13),IF(N35=예상등급!$J$1,LOOKUP(O35,예상등급!$J$5:$J$13,예상등급!$K$5:$K$13),IF(N35=예상등급!$M$1,LOOKUP(O35,예상등급!$M$5:$M$13,예상등급!$N$5:$N$13),IF(N35=예상등급!$P$1,LOOKUP(O35,예상등급!$P$5:$P$13,예상등급!$Q$5:$Q$13),IF(N35=예상등급!$S$1,LOOKUP(O35,예상등급!$S$5:$S$13,예상등급!$T$5:$T$13),IF(N35=예상등급!$V$1,LOOKUP(O35,예상등급!$V$5:$V$13,예상등급!$W$5:$W$13),IF(N35=예상등급!$Y$1,LOOKUP(O35,예상등급!$Y$5:$Y$13,예상등급!$Z$5:$Z$13),IF(N35=예상등급!$AB$1,LOOKUP(O35,예상등급!$AB$5:$AB$13,예상등급!$AC$5:$AC$13),IF(N35=예상등급!$AE$1,LOOKUP(O35,예상등급!$AE$5:$AE$13,예상등급!$AF$5:$AF$13),IF(N35=예상등급!$AH$1,LOOKUP(O35,예상등급!$AH$5:$AH$13,예상등급!$AI$5:$AI$13),IF(N35=예상등급!$AK$1,LOOKUP(O35,예상등급!$AK$5:$AK$13,예상등급!$AL$5:$AL$13),IF(N35=예상등급!$AN$1,LOOKUP(O35,예상등급!$AN$5:$AN$13,예상등급!$AO$5:$AO$13),IF(N35=예상등급!$AQ$1,LOOKUP(O35,예상등급!$AQ$5:$AQ$13,예상등급!$AR$5:$AR$13),IF(N35=예상등급!$AH$15,LOOKUP(O35,예상등급!$AH$19:$AH$27,예상등급!$AI$19:$AI$27),IF(N35=예상등급!$AK$15,LOOKUP(O35,예상등급!$AK$19:$AK$27,예상등급!$AL$19:$AL$27),IF(N35=예상등급!$AN$15,LOOKUP(O35,예상등급!$AN$19:$AN$27,예상등급!$AO$19:$AO$27),IF(N35=예상등급!$AQ$15,LOOKUP(O35,예상등급!$AQ$19:$AQ$27,예상등급!$AR$19:$AR$27),"")))))))))))))))))</f>
        <v>1</v>
      </c>
      <c r="Q35" s="110" t="s">
        <v>772</v>
      </c>
      <c r="R35" s="71">
        <v>47</v>
      </c>
      <c r="S35" s="385">
        <f>IF(Q35=예상등급!$G$1,LOOKUP(R35,예상등급!$G$5:$G$13,예상등급!$H$5:$H$13),IF(Q35=예상등급!$J$1,LOOKUP(R35,예상등급!$J$5:$J$13,예상등급!$K$5:$K$13),IF(Q35=예상등급!$M$1,LOOKUP(R35,예상등급!$M$5:$M$13,예상등급!$N$5:$N$13),IF(Q35=예상등급!$P$1,LOOKUP(R35,예상등급!$P$5:$P$13,예상등급!$Q$5:$Q$13),IF(Q35=예상등급!$S$1,LOOKUP(R35,예상등급!$S$5:$S$13,예상등급!$T$5:$T$13),IF(Q35=예상등급!$V$1,LOOKUP(R35,예상등급!$V$5:$V$13,예상등급!$W$5:$W$13),IF(Q35=예상등급!$Y$1,LOOKUP(R35,예상등급!$Y$5:$Y$13,예상등급!$Z$5:$Z$13),IF(Q35=예상등급!$AB$1,LOOKUP(R35,예상등급!$AB$5:$AB$13,예상등급!$AC$5:$AC$13),IF(Q35=예상등급!$AE$1,LOOKUP(R35,예상등급!$AE$5:$AE$13,예상등급!$AF$5:$AF$13),IF(Q35=예상등급!$AH$1,LOOKUP(R35,예상등급!$AH$5:$AH$13,예상등급!$AI$5:$AI$13),IF(Q35=예상등급!$AK$1,LOOKUP(R35,예상등급!$AK$5:$AK$13,예상등급!$AL$5:$AL$13),IF(Q35=예상등급!$AN$1,LOOKUP(R35,예상등급!$AN$5:$AN$13,예상등급!$AO$5:$AO$13),IF(Q35=예상등급!$AQ$1,LOOKUP(R35,예상등급!$AQ$5:$AQ$13,예상등급!$AR$5:$AR$13),IF(Q35=예상등급!$AH$15,LOOKUP(R35,예상등급!$AH$19:$AH$27,예상등급!$AI$19:$AI$27),IF(Q35=예상등급!$AK$15,LOOKUP(R35,예상등급!$AK$19:$AK$27,예상등급!$AL$19:$AL$27),IF(Q35=예상등급!$AN$15,LOOKUP(R35,예상등급!$AN$19:$AN$27,예상등급!$AO$19:$AO$27),IF(Q35=예상등급!$AQ$15,LOOKUP(R35,예상등급!$AQ$19:$AQ$27,예상등급!$AR$19:$AR$27),"")))))))))))))))))</f>
        <v>1</v>
      </c>
      <c r="T35" s="110">
        <v>31</v>
      </c>
      <c r="U35" s="382">
        <f>IF(T35="","",LOOKUP(T35,예상등급!$D$19:$D$27,예상등급!$E$19:$E$27))</f>
        <v>3</v>
      </c>
      <c r="V35" s="402">
        <f>SUM(L35,T35,R35,O35)</f>
        <v>313</v>
      </c>
      <c r="W35" s="278">
        <f>RANK(V35,$V$4:$V$491)</f>
        <v>32</v>
      </c>
      <c r="X35" s="4"/>
      <c r="Y35" s="148">
        <v>140</v>
      </c>
      <c r="Z35" s="144">
        <f>FREQUENCY($V$4:$V$236,AA39:AA60)</f>
        <v>8</v>
      </c>
      <c r="AA35" s="7">
        <v>179</v>
      </c>
    </row>
    <row r="36" spans="1:27" s="7" customFormat="1" ht="24.95" customHeight="1" x14ac:dyDescent="0.15">
      <c r="A36" s="110">
        <v>9</v>
      </c>
      <c r="B36" s="71">
        <v>1</v>
      </c>
      <c r="C36" s="100" t="s">
        <v>962</v>
      </c>
      <c r="D36" s="110" t="s">
        <v>779</v>
      </c>
      <c r="E36" s="71">
        <v>77</v>
      </c>
      <c r="F36" s="382">
        <f>IF(D36=예상등급!$A$1,LOOKUP(E36,예상등급!$A$5:$A$13,예상등급!$B$5:$B$13),IF(D36=예상등급!$A$15,LOOKUP(E36,예상등급!$A$19:$A$27,예상등급!$B$19:$B$27),""))</f>
        <v>2</v>
      </c>
      <c r="G36" s="110" t="s">
        <v>780</v>
      </c>
      <c r="H36" s="71">
        <v>69</v>
      </c>
      <c r="I36" s="382">
        <f>IF(G36=예상등급!$G$15,LOOKUP(H36,예상등급!$G$19:$G$27,예상등급!$H$19:$H$27),IF(G36=예상등급!$J$15,LOOKUP(H36,예상등급!$J$19:$J$27,예상등급!$K$19:$K$27),IF(G36=예상등급!$M$15,LOOKUP(H36,예상등급!$M$19:$M$27,예상등급!$N$19:$N$27),"")))</f>
        <v>3</v>
      </c>
      <c r="J36" s="110">
        <v>64</v>
      </c>
      <c r="K36" s="382">
        <f>IF(J36="","",(LOOKUP(J36,예상등급!$D$5:$D$13,예상등급!$E$5:$E$13)))</f>
        <v>4</v>
      </c>
      <c r="L36" s="301">
        <f>SUM(E36,H36,J36)</f>
        <v>210</v>
      </c>
      <c r="M36" s="398">
        <f>RANK(L36,$L$4:$L$491)</f>
        <v>35</v>
      </c>
      <c r="N36" s="110" t="s">
        <v>767</v>
      </c>
      <c r="O36" s="71">
        <v>23</v>
      </c>
      <c r="P36" s="385">
        <f>IF(N36=예상등급!$G$1,LOOKUP(O36,예상등급!$G$5:$G$13,예상등급!$H$5:$H$13),IF(N36=예상등급!$J$1,LOOKUP(O36,예상등급!$J$5:$J$13,예상등급!$K$5:$K$13),IF(N36=예상등급!$M$1,LOOKUP(O36,예상등급!$M$5:$M$13,예상등급!$N$5:$N$13),IF(N36=예상등급!$P$1,LOOKUP(O36,예상등급!$P$5:$P$13,예상등급!$Q$5:$Q$13),IF(N36=예상등급!$S$1,LOOKUP(O36,예상등급!$S$5:$S$13,예상등급!$T$5:$T$13),IF(N36=예상등급!$V$1,LOOKUP(O36,예상등급!$V$5:$V$13,예상등급!$W$5:$W$13),IF(N36=예상등급!$Y$1,LOOKUP(O36,예상등급!$Y$5:$Y$13,예상등급!$Z$5:$Z$13),IF(N36=예상등급!$AB$1,LOOKUP(O36,예상등급!$AB$5:$AB$13,예상등급!$AC$5:$AC$13),IF(N36=예상등급!$AE$1,LOOKUP(O36,예상등급!$AE$5:$AE$13,예상등급!$AF$5:$AF$13),IF(N36=예상등급!$AH$1,LOOKUP(O36,예상등급!$AH$5:$AH$13,예상등급!$AI$5:$AI$13),IF(N36=예상등급!$AK$1,LOOKUP(O36,예상등급!$AK$5:$AK$13,예상등급!$AL$5:$AL$13),IF(N36=예상등급!$AN$1,LOOKUP(O36,예상등급!$AN$5:$AN$13,예상등급!$AO$5:$AO$13),IF(N36=예상등급!$AQ$1,LOOKUP(O36,예상등급!$AQ$5:$AQ$13,예상등급!$AR$5:$AR$13),IF(N36=예상등급!$AH$15,LOOKUP(O36,예상등급!$AH$19:$AH$27,예상등급!$AI$19:$AI$27),IF(N36=예상등급!$AK$15,LOOKUP(O36,예상등급!$AK$19:$AK$27,예상등급!$AL$19:$AL$27),IF(N36=예상등급!$AN$15,LOOKUP(O36,예상등급!$AN$19:$AN$27,예상등급!$AO$19:$AO$27),IF(N36=예상등급!$AQ$15,LOOKUP(O36,예상등급!$AQ$19:$AQ$27,예상등급!$AR$19:$AR$27),"")))))))))))))))))</f>
        <v>4</v>
      </c>
      <c r="Q36" s="110" t="s">
        <v>765</v>
      </c>
      <c r="R36" s="71">
        <v>29</v>
      </c>
      <c r="S36" s="385">
        <f>IF(Q36=예상등급!$G$1,LOOKUP(R36,예상등급!$G$5:$G$13,예상등급!$H$5:$H$13),IF(Q36=예상등급!$J$1,LOOKUP(R36,예상등급!$J$5:$J$13,예상등급!$K$5:$K$13),IF(Q36=예상등급!$M$1,LOOKUP(R36,예상등급!$M$5:$M$13,예상등급!$N$5:$N$13),IF(Q36=예상등급!$P$1,LOOKUP(R36,예상등급!$P$5:$P$13,예상등급!$Q$5:$Q$13),IF(Q36=예상등급!$S$1,LOOKUP(R36,예상등급!$S$5:$S$13,예상등급!$T$5:$T$13),IF(Q36=예상등급!$V$1,LOOKUP(R36,예상등급!$V$5:$V$13,예상등급!$W$5:$W$13),IF(Q36=예상등급!$Y$1,LOOKUP(R36,예상등급!$Y$5:$Y$13,예상등급!$Z$5:$Z$13),IF(Q36=예상등급!$AB$1,LOOKUP(R36,예상등급!$AB$5:$AB$13,예상등급!$AC$5:$AC$13),IF(Q36=예상등급!$AE$1,LOOKUP(R36,예상등급!$AE$5:$AE$13,예상등급!$AF$5:$AF$13),IF(Q36=예상등급!$AH$1,LOOKUP(R36,예상등급!$AH$5:$AH$13,예상등급!$AI$5:$AI$13),IF(Q36=예상등급!$AK$1,LOOKUP(R36,예상등급!$AK$5:$AK$13,예상등급!$AL$5:$AL$13),IF(Q36=예상등급!$AN$1,LOOKUP(R36,예상등급!$AN$5:$AN$13,예상등급!$AO$5:$AO$13),IF(Q36=예상등급!$AQ$1,LOOKUP(R36,예상등급!$AQ$5:$AQ$13,예상등급!$AR$5:$AR$13),IF(Q36=예상등급!$AH$15,LOOKUP(R36,예상등급!$AH$19:$AH$27,예상등급!$AI$19:$AI$27),IF(Q36=예상등급!$AK$15,LOOKUP(R36,예상등급!$AK$19:$AK$27,예상등급!$AL$19:$AL$27),IF(Q36=예상등급!$AN$15,LOOKUP(R36,예상등급!$AN$19:$AN$27,예상등급!$AO$19:$AO$27),IF(Q36=예상등급!$AQ$15,LOOKUP(R36,예상등급!$AQ$19:$AQ$27,예상등급!$AR$19:$AR$27),"")))))))))))))))))</f>
        <v>3</v>
      </c>
      <c r="T36" s="110">
        <v>48</v>
      </c>
      <c r="U36" s="382">
        <f>IF(T36="","",LOOKUP(T36,예상등급!$D$19:$D$27,예상등급!$E$19:$E$27))</f>
        <v>1</v>
      </c>
      <c r="V36" s="402">
        <f>SUM(L36,T36,R36,O36)</f>
        <v>310</v>
      </c>
      <c r="W36" s="278">
        <f>RANK(V36,$V$4:$V$491)</f>
        <v>33</v>
      </c>
      <c r="X36" s="4"/>
      <c r="Y36" s="145" t="s">
        <v>665</v>
      </c>
      <c r="Z36" s="141">
        <f>FREQUENCY($V$4:$V$236,AA40:AA61)</f>
        <v>28</v>
      </c>
      <c r="AA36" s="7">
        <v>169</v>
      </c>
    </row>
    <row r="37" spans="1:27" s="7" customFormat="1" ht="24.95" customHeight="1" thickBot="1" x14ac:dyDescent="0.2">
      <c r="A37" s="110">
        <v>3</v>
      </c>
      <c r="B37" s="71">
        <v>21</v>
      </c>
      <c r="C37" s="100" t="s">
        <v>853</v>
      </c>
      <c r="D37" s="110" t="s">
        <v>779</v>
      </c>
      <c r="E37" s="71">
        <v>64</v>
      </c>
      <c r="F37" s="382">
        <f>IF(D37=예상등급!$A$1,LOOKUP(E37,예상등급!$A$5:$A$13,예상등급!$B$5:$B$13),IF(D37=예상등급!$A$15,LOOKUP(E37,예상등급!$A$19:$A$27,예상등급!$B$19:$B$27),""))</f>
        <v>3</v>
      </c>
      <c r="G37" s="110" t="s">
        <v>781</v>
      </c>
      <c r="H37" s="71">
        <v>84</v>
      </c>
      <c r="I37" s="382">
        <f>IF(G37=예상등급!$G$15,LOOKUP(H37,예상등급!$G$19:$G$27,예상등급!$H$19:$H$27),IF(G37=예상등급!$J$15,LOOKUP(H37,예상등급!$J$19:$J$27,예상등급!$K$19:$K$27),IF(G37=예상등급!$M$15,LOOKUP(H37,예상등급!$M$19:$M$27,예상등급!$N$19:$N$27),"")))</f>
        <v>1</v>
      </c>
      <c r="J37" s="110">
        <v>73</v>
      </c>
      <c r="K37" s="382">
        <f>IF(J37="","",(LOOKUP(J37,예상등급!$D$5:$D$13,예상등급!$E$5:$E$13)))</f>
        <v>3</v>
      </c>
      <c r="L37" s="301">
        <f>SUM(E37,H37,J37)</f>
        <v>221</v>
      </c>
      <c r="M37" s="398">
        <f>RANK(L37,$L$4:$L$491)</f>
        <v>18</v>
      </c>
      <c r="N37" s="110" t="s">
        <v>769</v>
      </c>
      <c r="O37" s="71">
        <v>38</v>
      </c>
      <c r="P37" s="385">
        <f>IF(N37=예상등급!$G$1,LOOKUP(O37,예상등급!$G$5:$G$13,예상등급!$H$5:$H$13),IF(N37=예상등급!$J$1,LOOKUP(O37,예상등급!$J$5:$J$13,예상등급!$K$5:$K$13),IF(N37=예상등급!$M$1,LOOKUP(O37,예상등급!$M$5:$M$13,예상등급!$N$5:$N$13),IF(N37=예상등급!$P$1,LOOKUP(O37,예상등급!$P$5:$P$13,예상등급!$Q$5:$Q$13),IF(N37=예상등급!$S$1,LOOKUP(O37,예상등급!$S$5:$S$13,예상등급!$T$5:$T$13),IF(N37=예상등급!$V$1,LOOKUP(O37,예상등급!$V$5:$V$13,예상등급!$W$5:$W$13),IF(N37=예상등급!$Y$1,LOOKUP(O37,예상등급!$Y$5:$Y$13,예상등급!$Z$5:$Z$13),IF(N37=예상등급!$AB$1,LOOKUP(O37,예상등급!$AB$5:$AB$13,예상등급!$AC$5:$AC$13),IF(N37=예상등급!$AE$1,LOOKUP(O37,예상등급!$AE$5:$AE$13,예상등급!$AF$5:$AF$13),IF(N37=예상등급!$AH$1,LOOKUP(O37,예상등급!$AH$5:$AH$13,예상등급!$AI$5:$AI$13),IF(N37=예상등급!$AK$1,LOOKUP(O37,예상등급!$AK$5:$AK$13,예상등급!$AL$5:$AL$13),IF(N37=예상등급!$AN$1,LOOKUP(O37,예상등급!$AN$5:$AN$13,예상등급!$AO$5:$AO$13),IF(N37=예상등급!$AQ$1,LOOKUP(O37,예상등급!$AQ$5:$AQ$13,예상등급!$AR$5:$AR$13),IF(N37=예상등급!$AH$15,LOOKUP(O37,예상등급!$AH$19:$AH$27,예상등급!$AI$19:$AI$27),IF(N37=예상등급!$AK$15,LOOKUP(O37,예상등급!$AK$19:$AK$27,예상등급!$AL$19:$AL$27),IF(N37=예상등급!$AN$15,LOOKUP(O37,예상등급!$AN$19:$AN$27,예상등급!$AO$19:$AO$27),IF(N37=예상등급!$AQ$15,LOOKUP(O37,예상등급!$AQ$19:$AQ$27,예상등급!$AR$19:$AR$27),"")))))))))))))))))</f>
        <v>2</v>
      </c>
      <c r="Q37" s="110" t="s">
        <v>770</v>
      </c>
      <c r="R37" s="71">
        <v>33</v>
      </c>
      <c r="S37" s="385">
        <f>IF(Q37=예상등급!$G$1,LOOKUP(R37,예상등급!$G$5:$G$13,예상등급!$H$5:$H$13),IF(Q37=예상등급!$J$1,LOOKUP(R37,예상등급!$J$5:$J$13,예상등급!$K$5:$K$13),IF(Q37=예상등급!$M$1,LOOKUP(R37,예상등급!$M$5:$M$13,예상등급!$N$5:$N$13),IF(Q37=예상등급!$P$1,LOOKUP(R37,예상등급!$P$5:$P$13,예상등급!$Q$5:$Q$13),IF(Q37=예상등급!$S$1,LOOKUP(R37,예상등급!$S$5:$S$13,예상등급!$T$5:$T$13),IF(Q37=예상등급!$V$1,LOOKUP(R37,예상등급!$V$5:$V$13,예상등급!$W$5:$W$13),IF(Q37=예상등급!$Y$1,LOOKUP(R37,예상등급!$Y$5:$Y$13,예상등급!$Z$5:$Z$13),IF(Q37=예상등급!$AB$1,LOOKUP(R37,예상등급!$AB$5:$AB$13,예상등급!$AC$5:$AC$13),IF(Q37=예상등급!$AE$1,LOOKUP(R37,예상등급!$AE$5:$AE$13,예상등급!$AF$5:$AF$13),IF(Q37=예상등급!$AH$1,LOOKUP(R37,예상등급!$AH$5:$AH$13,예상등급!$AI$5:$AI$13),IF(Q37=예상등급!$AK$1,LOOKUP(R37,예상등급!$AK$5:$AK$13,예상등급!$AL$5:$AL$13),IF(Q37=예상등급!$AN$1,LOOKUP(R37,예상등급!$AN$5:$AN$13,예상등급!$AO$5:$AO$13),IF(Q37=예상등급!$AQ$1,LOOKUP(R37,예상등급!$AQ$5:$AQ$13,예상등급!$AR$5:$AR$13),IF(Q37=예상등급!$AH$15,LOOKUP(R37,예상등급!$AH$19:$AH$27,예상등급!$AI$19:$AI$27),IF(Q37=예상등급!$AK$15,LOOKUP(R37,예상등급!$AK$19:$AK$27,예상등급!$AL$19:$AL$27),IF(Q37=예상등급!$AN$15,LOOKUP(R37,예상등급!$AN$19:$AN$27,예상등급!$AO$19:$AO$27),IF(Q37=예상등급!$AQ$15,LOOKUP(R37,예상등급!$AQ$19:$AQ$27,예상등급!$AR$19:$AR$27),"")))))))))))))))))</f>
        <v>4</v>
      </c>
      <c r="T37" s="110">
        <v>13</v>
      </c>
      <c r="U37" s="382">
        <f>IF(T37="","",LOOKUP(T37,예상등급!$D$19:$D$27,예상등급!$E$19:$E$27))</f>
        <v>7</v>
      </c>
      <c r="V37" s="402">
        <f>SUM(L37,T37,R37,O37)</f>
        <v>305</v>
      </c>
      <c r="W37" s="278">
        <f>RANK(V37,$V$4:$V$491)</f>
        <v>34</v>
      </c>
      <c r="X37" s="4"/>
      <c r="Y37" s="146" t="s">
        <v>9</v>
      </c>
      <c r="Z37" s="147">
        <f>SUM(Z4:Z36)</f>
        <v>226</v>
      </c>
    </row>
    <row r="38" spans="1:27" s="7" customFormat="1" ht="24.95" customHeight="1" thickBot="1" x14ac:dyDescent="0.2">
      <c r="A38" s="110">
        <v>3</v>
      </c>
      <c r="B38" s="71">
        <v>14</v>
      </c>
      <c r="C38" s="100" t="s">
        <v>848</v>
      </c>
      <c r="D38" s="110" t="s">
        <v>778</v>
      </c>
      <c r="E38" s="71">
        <v>63</v>
      </c>
      <c r="F38" s="382">
        <f>IF(D38=예상등급!$A$1,LOOKUP(E38,예상등급!$A$5:$A$13,예상등급!$B$5:$B$13),IF(D38=예상등급!$A$15,LOOKUP(E38,예상등급!$A$19:$A$27,예상등급!$B$19:$B$27),""))</f>
        <v>3</v>
      </c>
      <c r="G38" s="110" t="s">
        <v>781</v>
      </c>
      <c r="H38" s="71">
        <v>68</v>
      </c>
      <c r="I38" s="382">
        <f>IF(G38=예상등급!$G$15,LOOKUP(H38,예상등급!$G$19:$G$27,예상등급!$H$19:$H$27),IF(G38=예상등급!$J$15,LOOKUP(H38,예상등급!$J$19:$J$27,예상등급!$K$19:$K$27),IF(G38=예상등급!$M$15,LOOKUP(H38,예상등급!$M$19:$M$27,예상등급!$N$19:$N$27),"")))</f>
        <v>3</v>
      </c>
      <c r="J38" s="110">
        <v>79</v>
      </c>
      <c r="K38" s="382">
        <f>IF(J38="","",(LOOKUP(J38,예상등급!$D$5:$D$13,예상등급!$E$5:$E$13)))</f>
        <v>3</v>
      </c>
      <c r="L38" s="301">
        <f>SUM(E38,H38,J38)</f>
        <v>210</v>
      </c>
      <c r="M38" s="398">
        <f>RANK(L38,$L$4:$L$491)</f>
        <v>35</v>
      </c>
      <c r="N38" s="110" t="s">
        <v>762</v>
      </c>
      <c r="O38" s="71">
        <v>35</v>
      </c>
      <c r="P38" s="385">
        <f>IF(N38=예상등급!$G$1,LOOKUP(O38,예상등급!$G$5:$G$13,예상등급!$H$5:$H$13),IF(N38=예상등급!$J$1,LOOKUP(O38,예상등급!$J$5:$J$13,예상등급!$K$5:$K$13),IF(N38=예상등급!$M$1,LOOKUP(O38,예상등급!$M$5:$M$13,예상등급!$N$5:$N$13),IF(N38=예상등급!$P$1,LOOKUP(O38,예상등급!$P$5:$P$13,예상등급!$Q$5:$Q$13),IF(N38=예상등급!$S$1,LOOKUP(O38,예상등급!$S$5:$S$13,예상등급!$T$5:$T$13),IF(N38=예상등급!$V$1,LOOKUP(O38,예상등급!$V$5:$V$13,예상등급!$W$5:$W$13),IF(N38=예상등급!$Y$1,LOOKUP(O38,예상등급!$Y$5:$Y$13,예상등급!$Z$5:$Z$13),IF(N38=예상등급!$AB$1,LOOKUP(O38,예상등급!$AB$5:$AB$13,예상등급!$AC$5:$AC$13),IF(N38=예상등급!$AE$1,LOOKUP(O38,예상등급!$AE$5:$AE$13,예상등급!$AF$5:$AF$13),IF(N38=예상등급!$AH$1,LOOKUP(O38,예상등급!$AH$5:$AH$13,예상등급!$AI$5:$AI$13),IF(N38=예상등급!$AK$1,LOOKUP(O38,예상등급!$AK$5:$AK$13,예상등급!$AL$5:$AL$13),IF(N38=예상등급!$AN$1,LOOKUP(O38,예상등급!$AN$5:$AN$13,예상등급!$AO$5:$AO$13),IF(N38=예상등급!$AQ$1,LOOKUP(O38,예상등급!$AQ$5:$AQ$13,예상등급!$AR$5:$AR$13),IF(N38=예상등급!$AH$15,LOOKUP(O38,예상등급!$AH$19:$AH$27,예상등급!$AI$19:$AI$27),IF(N38=예상등급!$AK$15,LOOKUP(O38,예상등급!$AK$19:$AK$27,예상등급!$AL$19:$AL$27),IF(N38=예상등급!$AN$15,LOOKUP(O38,예상등급!$AN$19:$AN$27,예상등급!$AO$19:$AO$27),IF(N38=예상등급!$AQ$15,LOOKUP(O38,예상등급!$AQ$19:$AQ$27,예상등급!$AR$19:$AR$27),"")))))))))))))))))</f>
        <v>3</v>
      </c>
      <c r="Q38" s="110" t="s">
        <v>769</v>
      </c>
      <c r="R38" s="71">
        <v>26</v>
      </c>
      <c r="S38" s="385">
        <f>IF(Q38=예상등급!$G$1,LOOKUP(R38,예상등급!$G$5:$G$13,예상등급!$H$5:$H$13),IF(Q38=예상등급!$J$1,LOOKUP(R38,예상등급!$J$5:$J$13,예상등급!$K$5:$K$13),IF(Q38=예상등급!$M$1,LOOKUP(R38,예상등급!$M$5:$M$13,예상등급!$N$5:$N$13),IF(Q38=예상등급!$P$1,LOOKUP(R38,예상등급!$P$5:$P$13,예상등급!$Q$5:$Q$13),IF(Q38=예상등급!$S$1,LOOKUP(R38,예상등급!$S$5:$S$13,예상등급!$T$5:$T$13),IF(Q38=예상등급!$V$1,LOOKUP(R38,예상등급!$V$5:$V$13,예상등급!$W$5:$W$13),IF(Q38=예상등급!$Y$1,LOOKUP(R38,예상등급!$Y$5:$Y$13,예상등급!$Z$5:$Z$13),IF(Q38=예상등급!$AB$1,LOOKUP(R38,예상등급!$AB$5:$AB$13,예상등급!$AC$5:$AC$13),IF(Q38=예상등급!$AE$1,LOOKUP(R38,예상등급!$AE$5:$AE$13,예상등급!$AF$5:$AF$13),IF(Q38=예상등급!$AH$1,LOOKUP(R38,예상등급!$AH$5:$AH$13,예상등급!$AI$5:$AI$13),IF(Q38=예상등급!$AK$1,LOOKUP(R38,예상등급!$AK$5:$AK$13,예상등급!$AL$5:$AL$13),IF(Q38=예상등급!$AN$1,LOOKUP(R38,예상등급!$AN$5:$AN$13,예상등급!$AO$5:$AO$13),IF(Q38=예상등급!$AQ$1,LOOKUP(R38,예상등급!$AQ$5:$AQ$13,예상등급!$AR$5:$AR$13),IF(Q38=예상등급!$AH$15,LOOKUP(R38,예상등급!$AH$19:$AH$27,예상등급!$AI$19:$AI$27),IF(Q38=예상등급!$AK$15,LOOKUP(R38,예상등급!$AK$19:$AK$27,예상등급!$AL$19:$AL$27),IF(Q38=예상등급!$AN$15,LOOKUP(R38,예상등급!$AN$19:$AN$27,예상등급!$AO$19:$AO$27),IF(Q38=예상등급!$AQ$15,LOOKUP(R38,예상등급!$AQ$19:$AQ$27,예상등급!$AR$19:$AR$27),"")))))))))))))))))</f>
        <v>4</v>
      </c>
      <c r="T38" s="110">
        <v>31</v>
      </c>
      <c r="U38" s="382">
        <f>IF(T38="","",LOOKUP(T38,예상등급!$D$19:$D$27,예상등급!$E$19:$E$27))</f>
        <v>3</v>
      </c>
      <c r="V38" s="402">
        <f>SUM(L38,T38,R38,O38)</f>
        <v>302</v>
      </c>
      <c r="W38" s="278">
        <f>RANK(V38,$V$4:$V$491)</f>
        <v>35</v>
      </c>
      <c r="X38" s="4"/>
      <c r="Y38" s="4"/>
      <c r="Z38" s="22"/>
      <c r="AA38" s="7">
        <v>159</v>
      </c>
    </row>
    <row r="39" spans="1:27" s="7" customFormat="1" ht="24.95" customHeight="1" x14ac:dyDescent="0.15">
      <c r="A39" s="110">
        <v>6</v>
      </c>
      <c r="B39" s="71">
        <v>12</v>
      </c>
      <c r="C39" s="100" t="s">
        <v>399</v>
      </c>
      <c r="D39" s="110" t="s">
        <v>779</v>
      </c>
      <c r="E39" s="71">
        <v>61</v>
      </c>
      <c r="F39" s="382">
        <f>IF(D39=예상등급!$A$1,LOOKUP(E39,예상등급!$A$5:$A$13,예상등급!$B$5:$B$13),IF(D39=예상등급!$A$15,LOOKUP(E39,예상등급!$A$19:$A$27,예상등급!$B$19:$B$27),""))</f>
        <v>4</v>
      </c>
      <c r="G39" s="110" t="s">
        <v>781</v>
      </c>
      <c r="H39" s="71">
        <v>61</v>
      </c>
      <c r="I39" s="382">
        <f>IF(G39=예상등급!$G$15,LOOKUP(H39,예상등급!$G$19:$G$27,예상등급!$H$19:$H$27),IF(G39=예상등급!$J$15,LOOKUP(H39,예상등급!$J$19:$J$27,예상등급!$K$19:$K$27),IF(G39=예상등급!$M$15,LOOKUP(H39,예상등급!$M$19:$M$27,예상등급!$N$19:$N$27),"")))</f>
        <v>4</v>
      </c>
      <c r="J39" s="110">
        <v>92</v>
      </c>
      <c r="K39" s="382">
        <f>IF(J39="","",(LOOKUP(J39,예상등급!$D$5:$D$13,예상등급!$E$5:$E$13)))</f>
        <v>1</v>
      </c>
      <c r="L39" s="301">
        <f>SUM(E39,H39,J39)</f>
        <v>214</v>
      </c>
      <c r="M39" s="398">
        <f>RANK(L39,$L$4:$L$491)</f>
        <v>30</v>
      </c>
      <c r="N39" s="110" t="s">
        <v>771</v>
      </c>
      <c r="O39" s="71">
        <v>33</v>
      </c>
      <c r="P39" s="385">
        <f>IF(N39=예상등급!$G$1,LOOKUP(O39,예상등급!$G$5:$G$13,예상등급!$H$5:$H$13),IF(N39=예상등급!$J$1,LOOKUP(O39,예상등급!$J$5:$J$13,예상등급!$K$5:$K$13),IF(N39=예상등급!$M$1,LOOKUP(O39,예상등급!$M$5:$M$13,예상등급!$N$5:$N$13),IF(N39=예상등급!$P$1,LOOKUP(O39,예상등급!$P$5:$P$13,예상등급!$Q$5:$Q$13),IF(N39=예상등급!$S$1,LOOKUP(O39,예상등급!$S$5:$S$13,예상등급!$T$5:$T$13),IF(N39=예상등급!$V$1,LOOKUP(O39,예상등급!$V$5:$V$13,예상등급!$W$5:$W$13),IF(N39=예상등급!$Y$1,LOOKUP(O39,예상등급!$Y$5:$Y$13,예상등급!$Z$5:$Z$13),IF(N39=예상등급!$AB$1,LOOKUP(O39,예상등급!$AB$5:$AB$13,예상등급!$AC$5:$AC$13),IF(N39=예상등급!$AE$1,LOOKUP(O39,예상등급!$AE$5:$AE$13,예상등급!$AF$5:$AF$13),IF(N39=예상등급!$AH$1,LOOKUP(O39,예상등급!$AH$5:$AH$13,예상등급!$AI$5:$AI$13),IF(N39=예상등급!$AK$1,LOOKUP(O39,예상등급!$AK$5:$AK$13,예상등급!$AL$5:$AL$13),IF(N39=예상등급!$AN$1,LOOKUP(O39,예상등급!$AN$5:$AN$13,예상등급!$AO$5:$AO$13),IF(N39=예상등급!$AQ$1,LOOKUP(O39,예상등급!$AQ$5:$AQ$13,예상등급!$AR$5:$AR$13),IF(N39=예상등급!$AH$15,LOOKUP(O39,예상등급!$AH$19:$AH$27,예상등급!$AI$19:$AI$27),IF(N39=예상등급!$AK$15,LOOKUP(O39,예상등급!$AK$19:$AK$27,예상등급!$AL$19:$AL$27),IF(N39=예상등급!$AN$15,LOOKUP(O39,예상등급!$AN$19:$AN$27,예상등급!$AO$19:$AO$27),IF(N39=예상등급!$AQ$15,LOOKUP(O39,예상등급!$AQ$19:$AQ$27,예상등급!$AR$19:$AR$27),"")))))))))))))))))</f>
        <v>3</v>
      </c>
      <c r="Q39" s="110" t="s">
        <v>770</v>
      </c>
      <c r="R39" s="71">
        <v>25</v>
      </c>
      <c r="S39" s="385">
        <f>IF(Q39=예상등급!$G$1,LOOKUP(R39,예상등급!$G$5:$G$13,예상등급!$H$5:$H$13),IF(Q39=예상등급!$J$1,LOOKUP(R39,예상등급!$J$5:$J$13,예상등급!$K$5:$K$13),IF(Q39=예상등급!$M$1,LOOKUP(R39,예상등급!$M$5:$M$13,예상등급!$N$5:$N$13),IF(Q39=예상등급!$P$1,LOOKUP(R39,예상등급!$P$5:$P$13,예상등급!$Q$5:$Q$13),IF(Q39=예상등급!$S$1,LOOKUP(R39,예상등급!$S$5:$S$13,예상등급!$T$5:$T$13),IF(Q39=예상등급!$V$1,LOOKUP(R39,예상등급!$V$5:$V$13,예상등급!$W$5:$W$13),IF(Q39=예상등급!$Y$1,LOOKUP(R39,예상등급!$Y$5:$Y$13,예상등급!$Z$5:$Z$13),IF(Q39=예상등급!$AB$1,LOOKUP(R39,예상등급!$AB$5:$AB$13,예상등급!$AC$5:$AC$13),IF(Q39=예상등급!$AE$1,LOOKUP(R39,예상등급!$AE$5:$AE$13,예상등급!$AF$5:$AF$13),IF(Q39=예상등급!$AH$1,LOOKUP(R39,예상등급!$AH$5:$AH$13,예상등급!$AI$5:$AI$13),IF(Q39=예상등급!$AK$1,LOOKUP(R39,예상등급!$AK$5:$AK$13,예상등급!$AL$5:$AL$13),IF(Q39=예상등급!$AN$1,LOOKUP(R39,예상등급!$AN$5:$AN$13,예상등급!$AO$5:$AO$13),IF(Q39=예상등급!$AQ$1,LOOKUP(R39,예상등급!$AQ$5:$AQ$13,예상등급!$AR$5:$AR$13),IF(Q39=예상등급!$AH$15,LOOKUP(R39,예상등급!$AH$19:$AH$27,예상등급!$AI$19:$AI$27),IF(Q39=예상등급!$AK$15,LOOKUP(R39,예상등급!$AK$19:$AK$27,예상등급!$AL$19:$AL$27),IF(Q39=예상등급!$AN$15,LOOKUP(R39,예상등급!$AN$19:$AN$27,예상등급!$AO$19:$AO$27),IF(Q39=예상등급!$AQ$15,LOOKUP(R39,예상등급!$AQ$19:$AQ$27,예상등급!$AR$19:$AR$27),"")))))))))))))))))</f>
        <v>5</v>
      </c>
      <c r="T39" s="110">
        <v>29</v>
      </c>
      <c r="U39" s="382">
        <f>IF(T39="","",LOOKUP(T39,예상등급!$D$19:$D$27,예상등급!$E$19:$E$27))</f>
        <v>4</v>
      </c>
      <c r="V39" s="402">
        <f>SUM(L39,T39,R39,O39)</f>
        <v>301</v>
      </c>
      <c r="W39" s="278">
        <f>RANK(V39,$V$4:$V$491)</f>
        <v>36</v>
      </c>
      <c r="X39" s="4"/>
      <c r="Y39" s="339" t="s">
        <v>10</v>
      </c>
      <c r="Z39" s="340"/>
      <c r="AA39" s="7">
        <v>149</v>
      </c>
    </row>
    <row r="40" spans="1:27" s="7" customFormat="1" ht="24.95" customHeight="1" thickBot="1" x14ac:dyDescent="0.2">
      <c r="A40" s="110">
        <v>7</v>
      </c>
      <c r="B40" s="71">
        <v>22</v>
      </c>
      <c r="C40" s="100" t="s">
        <v>935</v>
      </c>
      <c r="D40" s="110" t="s">
        <v>779</v>
      </c>
      <c r="E40" s="71">
        <v>64</v>
      </c>
      <c r="F40" s="382">
        <f>IF(D40=예상등급!$A$1,LOOKUP(E40,예상등급!$A$5:$A$13,예상등급!$B$5:$B$13),IF(D40=예상등급!$A$15,LOOKUP(E40,예상등급!$A$19:$A$27,예상등급!$B$19:$B$27),""))</f>
        <v>3</v>
      </c>
      <c r="G40" s="110" t="s">
        <v>781</v>
      </c>
      <c r="H40" s="71">
        <v>76</v>
      </c>
      <c r="I40" s="382">
        <f>IF(G40=예상등급!$G$15,LOOKUP(H40,예상등급!$G$19:$G$27,예상등급!$H$19:$H$27),IF(G40=예상등급!$J$15,LOOKUP(H40,예상등급!$J$19:$J$27,예상등급!$K$19:$K$27),IF(G40=예상등급!$M$15,LOOKUP(H40,예상등급!$M$19:$M$27,예상등급!$N$19:$N$27),"")))</f>
        <v>2</v>
      </c>
      <c r="J40" s="110">
        <v>82</v>
      </c>
      <c r="K40" s="382">
        <f>IF(J40="","",(LOOKUP(J40,예상등급!$D$5:$D$13,예상등급!$E$5:$E$13)))</f>
        <v>2</v>
      </c>
      <c r="L40" s="301">
        <f>SUM(E40,H40,J40)</f>
        <v>222</v>
      </c>
      <c r="M40" s="398">
        <f>RANK(L40,$L$4:$L$491)</f>
        <v>15</v>
      </c>
      <c r="N40" s="110" t="s">
        <v>761</v>
      </c>
      <c r="O40" s="71">
        <v>24</v>
      </c>
      <c r="P40" s="385">
        <f>IF(N40=예상등급!$G$1,LOOKUP(O40,예상등급!$G$5:$G$13,예상등급!$H$5:$H$13),IF(N40=예상등급!$J$1,LOOKUP(O40,예상등급!$J$5:$J$13,예상등급!$K$5:$K$13),IF(N40=예상등급!$M$1,LOOKUP(O40,예상등급!$M$5:$M$13,예상등급!$N$5:$N$13),IF(N40=예상등급!$P$1,LOOKUP(O40,예상등급!$P$5:$P$13,예상등급!$Q$5:$Q$13),IF(N40=예상등급!$S$1,LOOKUP(O40,예상등급!$S$5:$S$13,예상등급!$T$5:$T$13),IF(N40=예상등급!$V$1,LOOKUP(O40,예상등급!$V$5:$V$13,예상등급!$W$5:$W$13),IF(N40=예상등급!$Y$1,LOOKUP(O40,예상등급!$Y$5:$Y$13,예상등급!$Z$5:$Z$13),IF(N40=예상등급!$AB$1,LOOKUP(O40,예상등급!$AB$5:$AB$13,예상등급!$AC$5:$AC$13),IF(N40=예상등급!$AE$1,LOOKUP(O40,예상등급!$AE$5:$AE$13,예상등급!$AF$5:$AF$13),IF(N40=예상등급!$AH$1,LOOKUP(O40,예상등급!$AH$5:$AH$13,예상등급!$AI$5:$AI$13),IF(N40=예상등급!$AK$1,LOOKUP(O40,예상등급!$AK$5:$AK$13,예상등급!$AL$5:$AL$13),IF(N40=예상등급!$AN$1,LOOKUP(O40,예상등급!$AN$5:$AN$13,예상등급!$AO$5:$AO$13),IF(N40=예상등급!$AQ$1,LOOKUP(O40,예상등급!$AQ$5:$AQ$13,예상등급!$AR$5:$AR$13),IF(N40=예상등급!$AH$15,LOOKUP(O40,예상등급!$AH$19:$AH$27,예상등급!$AI$19:$AI$27),IF(N40=예상등급!$AK$15,LOOKUP(O40,예상등급!$AK$19:$AK$27,예상등급!$AL$19:$AL$27),IF(N40=예상등급!$AN$15,LOOKUP(O40,예상등급!$AN$19:$AN$27,예상등급!$AO$19:$AO$27),IF(N40=예상등급!$AQ$15,LOOKUP(O40,예상등급!$AQ$19:$AQ$27,예상등급!$AR$19:$AR$27),"")))))))))))))))))</f>
        <v>5</v>
      </c>
      <c r="Q40" s="110" t="s">
        <v>762</v>
      </c>
      <c r="R40" s="71">
        <v>30</v>
      </c>
      <c r="S40" s="385">
        <f>IF(Q40=예상등급!$G$1,LOOKUP(R40,예상등급!$G$5:$G$13,예상등급!$H$5:$H$13),IF(Q40=예상등급!$J$1,LOOKUP(R40,예상등급!$J$5:$J$13,예상등급!$K$5:$K$13),IF(Q40=예상등급!$M$1,LOOKUP(R40,예상등급!$M$5:$M$13,예상등급!$N$5:$N$13),IF(Q40=예상등급!$P$1,LOOKUP(R40,예상등급!$P$5:$P$13,예상등급!$Q$5:$Q$13),IF(Q40=예상등급!$S$1,LOOKUP(R40,예상등급!$S$5:$S$13,예상등급!$T$5:$T$13),IF(Q40=예상등급!$V$1,LOOKUP(R40,예상등급!$V$5:$V$13,예상등급!$W$5:$W$13),IF(Q40=예상등급!$Y$1,LOOKUP(R40,예상등급!$Y$5:$Y$13,예상등급!$Z$5:$Z$13),IF(Q40=예상등급!$AB$1,LOOKUP(R40,예상등급!$AB$5:$AB$13,예상등급!$AC$5:$AC$13),IF(Q40=예상등급!$AE$1,LOOKUP(R40,예상등급!$AE$5:$AE$13,예상등급!$AF$5:$AF$13),IF(Q40=예상등급!$AH$1,LOOKUP(R40,예상등급!$AH$5:$AH$13,예상등급!$AI$5:$AI$13),IF(Q40=예상등급!$AK$1,LOOKUP(R40,예상등급!$AK$5:$AK$13,예상등급!$AL$5:$AL$13),IF(Q40=예상등급!$AN$1,LOOKUP(R40,예상등급!$AN$5:$AN$13,예상등급!$AO$5:$AO$13),IF(Q40=예상등급!$AQ$1,LOOKUP(R40,예상등급!$AQ$5:$AQ$13,예상등급!$AR$5:$AR$13),IF(Q40=예상등급!$AH$15,LOOKUP(R40,예상등급!$AH$19:$AH$27,예상등급!$AI$19:$AI$27),IF(Q40=예상등급!$AK$15,LOOKUP(R40,예상등급!$AK$19:$AK$27,예상등급!$AL$19:$AL$27),IF(Q40=예상등급!$AN$15,LOOKUP(R40,예상등급!$AN$19:$AN$27,예상등급!$AO$19:$AO$27),IF(Q40=예상등급!$AQ$15,LOOKUP(R40,예상등급!$AQ$19:$AQ$27,예상등급!$AR$19:$AR$27),"")))))))))))))))))</f>
        <v>4</v>
      </c>
      <c r="T40" s="110">
        <v>25</v>
      </c>
      <c r="U40" s="382">
        <f>IF(T40="","",LOOKUP(T40,예상등급!$D$19:$D$27,예상등급!$E$19:$E$27))</f>
        <v>4</v>
      </c>
      <c r="V40" s="402">
        <f>SUM(L40,T40,R40,O40)</f>
        <v>301</v>
      </c>
      <c r="W40" s="278">
        <f>RANK(V40,$V$4:$V$491)</f>
        <v>36</v>
      </c>
      <c r="X40" s="4"/>
      <c r="Y40" s="344">
        <f>MAX(V4:V236)</f>
        <v>369</v>
      </c>
      <c r="Z40" s="345"/>
      <c r="AA40" s="7">
        <v>139</v>
      </c>
    </row>
    <row r="41" spans="1:27" s="7" customFormat="1" ht="24.95" customHeight="1" x14ac:dyDescent="0.15">
      <c r="A41" s="110">
        <v>1</v>
      </c>
      <c r="B41" s="71">
        <v>23</v>
      </c>
      <c r="C41" s="100" t="s">
        <v>818</v>
      </c>
      <c r="D41" s="110" t="s">
        <v>779</v>
      </c>
      <c r="E41" s="71">
        <v>59</v>
      </c>
      <c r="F41" s="382">
        <f>IF(D41=예상등급!$A$1,LOOKUP(E41,예상등급!$A$5:$A$13,예상등급!$B$5:$B$13),IF(D41=예상등급!$A$15,LOOKUP(E41,예상등급!$A$19:$A$27,예상등급!$B$19:$B$27),""))</f>
        <v>4</v>
      </c>
      <c r="G41" s="110" t="s">
        <v>781</v>
      </c>
      <c r="H41" s="71">
        <v>75</v>
      </c>
      <c r="I41" s="382">
        <f>IF(G41=예상등급!$G$15,LOOKUP(H41,예상등급!$G$19:$G$27,예상등급!$H$19:$H$27),IF(G41=예상등급!$J$15,LOOKUP(H41,예상등급!$J$19:$J$27,예상등급!$K$19:$K$27),IF(G41=예상등급!$M$15,LOOKUP(H41,예상등급!$M$19:$M$27,예상등급!$N$19:$N$27),"")))</f>
        <v>2</v>
      </c>
      <c r="J41" s="110">
        <v>86</v>
      </c>
      <c r="K41" s="382">
        <f>IF(J41="","",(LOOKUP(J41,예상등급!$D$5:$D$13,예상등급!$E$5:$E$13)))</f>
        <v>2</v>
      </c>
      <c r="L41" s="301">
        <f>SUM(E41,H41,J41)</f>
        <v>220</v>
      </c>
      <c r="M41" s="398">
        <f>RANK(L41,$L$4:$L$491)</f>
        <v>20</v>
      </c>
      <c r="N41" s="110" t="s">
        <v>762</v>
      </c>
      <c r="O41" s="71">
        <v>24</v>
      </c>
      <c r="P41" s="385">
        <f>IF(N41=예상등급!$G$1,LOOKUP(O41,예상등급!$G$5:$G$13,예상등급!$H$5:$H$13),IF(N41=예상등급!$J$1,LOOKUP(O41,예상등급!$J$5:$J$13,예상등급!$K$5:$K$13),IF(N41=예상등급!$M$1,LOOKUP(O41,예상등급!$M$5:$M$13,예상등급!$N$5:$N$13),IF(N41=예상등급!$P$1,LOOKUP(O41,예상등급!$P$5:$P$13,예상등급!$Q$5:$Q$13),IF(N41=예상등급!$S$1,LOOKUP(O41,예상등급!$S$5:$S$13,예상등급!$T$5:$T$13),IF(N41=예상등급!$V$1,LOOKUP(O41,예상등급!$V$5:$V$13,예상등급!$W$5:$W$13),IF(N41=예상등급!$Y$1,LOOKUP(O41,예상등급!$Y$5:$Y$13,예상등급!$Z$5:$Z$13),IF(N41=예상등급!$AB$1,LOOKUP(O41,예상등급!$AB$5:$AB$13,예상등급!$AC$5:$AC$13),IF(N41=예상등급!$AE$1,LOOKUP(O41,예상등급!$AE$5:$AE$13,예상등급!$AF$5:$AF$13),IF(N41=예상등급!$AH$1,LOOKUP(O41,예상등급!$AH$5:$AH$13,예상등급!$AI$5:$AI$13),IF(N41=예상등급!$AK$1,LOOKUP(O41,예상등급!$AK$5:$AK$13,예상등급!$AL$5:$AL$13),IF(N41=예상등급!$AN$1,LOOKUP(O41,예상등급!$AN$5:$AN$13,예상등급!$AO$5:$AO$13),IF(N41=예상등급!$AQ$1,LOOKUP(O41,예상등급!$AQ$5:$AQ$13,예상등급!$AR$5:$AR$13),IF(N41=예상등급!$AH$15,LOOKUP(O41,예상등급!$AH$19:$AH$27,예상등급!$AI$19:$AI$27),IF(N41=예상등급!$AK$15,LOOKUP(O41,예상등급!$AK$19:$AK$27,예상등급!$AL$19:$AL$27),IF(N41=예상등급!$AN$15,LOOKUP(O41,예상등급!$AN$19:$AN$27,예상등급!$AO$19:$AO$27),IF(N41=예상등급!$AQ$15,LOOKUP(O41,예상등급!$AQ$19:$AQ$27,예상등급!$AR$19:$AR$27),"")))))))))))))))))</f>
        <v>5</v>
      </c>
      <c r="Q41" s="110" t="s">
        <v>768</v>
      </c>
      <c r="R41" s="71">
        <v>21</v>
      </c>
      <c r="S41" s="385">
        <f>IF(Q41=예상등급!$G$1,LOOKUP(R41,예상등급!$G$5:$G$13,예상등급!$H$5:$H$13),IF(Q41=예상등급!$J$1,LOOKUP(R41,예상등급!$J$5:$J$13,예상등급!$K$5:$K$13),IF(Q41=예상등급!$M$1,LOOKUP(R41,예상등급!$M$5:$M$13,예상등급!$N$5:$N$13),IF(Q41=예상등급!$P$1,LOOKUP(R41,예상등급!$P$5:$P$13,예상등급!$Q$5:$Q$13),IF(Q41=예상등급!$S$1,LOOKUP(R41,예상등급!$S$5:$S$13,예상등급!$T$5:$T$13),IF(Q41=예상등급!$V$1,LOOKUP(R41,예상등급!$V$5:$V$13,예상등급!$W$5:$W$13),IF(Q41=예상등급!$Y$1,LOOKUP(R41,예상등급!$Y$5:$Y$13,예상등급!$Z$5:$Z$13),IF(Q41=예상등급!$AB$1,LOOKUP(R41,예상등급!$AB$5:$AB$13,예상등급!$AC$5:$AC$13),IF(Q41=예상등급!$AE$1,LOOKUP(R41,예상등급!$AE$5:$AE$13,예상등급!$AF$5:$AF$13),IF(Q41=예상등급!$AH$1,LOOKUP(R41,예상등급!$AH$5:$AH$13,예상등급!$AI$5:$AI$13),IF(Q41=예상등급!$AK$1,LOOKUP(R41,예상등급!$AK$5:$AK$13,예상등급!$AL$5:$AL$13),IF(Q41=예상등급!$AN$1,LOOKUP(R41,예상등급!$AN$5:$AN$13,예상등급!$AO$5:$AO$13),IF(Q41=예상등급!$AQ$1,LOOKUP(R41,예상등급!$AQ$5:$AQ$13,예상등급!$AR$5:$AR$13),IF(Q41=예상등급!$AH$15,LOOKUP(R41,예상등급!$AH$19:$AH$27,예상등급!$AI$19:$AI$27),IF(Q41=예상등급!$AK$15,LOOKUP(R41,예상등급!$AK$19:$AK$27,예상등급!$AL$19:$AL$27),IF(Q41=예상등급!$AN$15,LOOKUP(R41,예상등급!$AN$19:$AN$27,예상등급!$AO$19:$AO$27),IF(Q41=예상등급!$AQ$15,LOOKUP(R41,예상등급!$AQ$19:$AQ$27,예상등급!$AR$19:$AR$27),"")))))))))))))))))</f>
        <v>4</v>
      </c>
      <c r="T41" s="110">
        <v>34</v>
      </c>
      <c r="U41" s="382">
        <f>IF(T41="","",LOOKUP(T41,예상등급!$D$19:$D$27,예상등급!$E$19:$E$27))</f>
        <v>3</v>
      </c>
      <c r="V41" s="402">
        <f>SUM(L41,T41,R41,O41)</f>
        <v>299</v>
      </c>
      <c r="W41" s="278">
        <f>RANK(V41,$V$4:$V$491)</f>
        <v>38</v>
      </c>
      <c r="X41" s="4"/>
      <c r="Y41" s="339" t="s">
        <v>11</v>
      </c>
      <c r="Z41" s="340"/>
    </row>
    <row r="42" spans="1:27" s="7" customFormat="1" ht="24.95" customHeight="1" thickBot="1" x14ac:dyDescent="0.2">
      <c r="A42" s="110">
        <v>6</v>
      </c>
      <c r="B42" s="71">
        <v>19</v>
      </c>
      <c r="C42" s="100" t="s">
        <v>910</v>
      </c>
      <c r="D42" s="110" t="s">
        <v>779</v>
      </c>
      <c r="E42" s="71">
        <v>60</v>
      </c>
      <c r="F42" s="382">
        <f>IF(D42=예상등급!$A$1,LOOKUP(E42,예상등급!$A$5:$A$13,예상등급!$B$5:$B$13),IF(D42=예상등급!$A$15,LOOKUP(E42,예상등급!$A$19:$A$27,예상등급!$B$19:$B$27),""))</f>
        <v>4</v>
      </c>
      <c r="G42" s="110" t="s">
        <v>781</v>
      </c>
      <c r="H42" s="71">
        <v>73</v>
      </c>
      <c r="I42" s="382">
        <f>IF(G42=예상등급!$G$15,LOOKUP(H42,예상등급!$G$19:$G$27,예상등급!$H$19:$H$27),IF(G42=예상등급!$J$15,LOOKUP(H42,예상등급!$J$19:$J$27,예상등급!$K$19:$K$27),IF(G42=예상등급!$M$15,LOOKUP(H42,예상등급!$M$19:$M$27,예상등급!$N$19:$N$27),"")))</f>
        <v>2</v>
      </c>
      <c r="J42" s="110">
        <v>82</v>
      </c>
      <c r="K42" s="382">
        <f>IF(J42="","",(LOOKUP(J42,예상등급!$D$5:$D$13,예상등급!$E$5:$E$13)))</f>
        <v>2</v>
      </c>
      <c r="L42" s="301">
        <f>SUM(E42,H42,J42)</f>
        <v>215</v>
      </c>
      <c r="M42" s="398">
        <f>RANK(L42,$L$4:$L$491)</f>
        <v>26</v>
      </c>
      <c r="N42" s="110" t="s">
        <v>769</v>
      </c>
      <c r="O42" s="71">
        <v>31</v>
      </c>
      <c r="P42" s="385">
        <f>IF(N42=예상등급!$G$1,LOOKUP(O42,예상등급!$G$5:$G$13,예상등급!$H$5:$H$13),IF(N42=예상등급!$J$1,LOOKUP(O42,예상등급!$J$5:$J$13,예상등급!$K$5:$K$13),IF(N42=예상등급!$M$1,LOOKUP(O42,예상등급!$M$5:$M$13,예상등급!$N$5:$N$13),IF(N42=예상등급!$P$1,LOOKUP(O42,예상등급!$P$5:$P$13,예상등급!$Q$5:$Q$13),IF(N42=예상등급!$S$1,LOOKUP(O42,예상등급!$S$5:$S$13,예상등급!$T$5:$T$13),IF(N42=예상등급!$V$1,LOOKUP(O42,예상등급!$V$5:$V$13,예상등급!$W$5:$W$13),IF(N42=예상등급!$Y$1,LOOKUP(O42,예상등급!$Y$5:$Y$13,예상등급!$Z$5:$Z$13),IF(N42=예상등급!$AB$1,LOOKUP(O42,예상등급!$AB$5:$AB$13,예상등급!$AC$5:$AC$13),IF(N42=예상등급!$AE$1,LOOKUP(O42,예상등급!$AE$5:$AE$13,예상등급!$AF$5:$AF$13),IF(N42=예상등급!$AH$1,LOOKUP(O42,예상등급!$AH$5:$AH$13,예상등급!$AI$5:$AI$13),IF(N42=예상등급!$AK$1,LOOKUP(O42,예상등급!$AK$5:$AK$13,예상등급!$AL$5:$AL$13),IF(N42=예상등급!$AN$1,LOOKUP(O42,예상등급!$AN$5:$AN$13,예상등급!$AO$5:$AO$13),IF(N42=예상등급!$AQ$1,LOOKUP(O42,예상등급!$AQ$5:$AQ$13,예상등급!$AR$5:$AR$13),IF(N42=예상등급!$AH$15,LOOKUP(O42,예상등급!$AH$19:$AH$27,예상등급!$AI$19:$AI$27),IF(N42=예상등급!$AK$15,LOOKUP(O42,예상등급!$AK$19:$AK$27,예상등급!$AL$19:$AL$27),IF(N42=예상등급!$AN$15,LOOKUP(O42,예상등급!$AN$19:$AN$27,예상등급!$AO$19:$AO$27),IF(N42=예상등급!$AQ$15,LOOKUP(O42,예상등급!$AQ$19:$AQ$27,예상등급!$AR$19:$AR$27),"")))))))))))))))))</f>
        <v>3</v>
      </c>
      <c r="Q42" s="110" t="s">
        <v>770</v>
      </c>
      <c r="R42" s="71">
        <v>19</v>
      </c>
      <c r="S42" s="385">
        <f>IF(Q42=예상등급!$G$1,LOOKUP(R42,예상등급!$G$5:$G$13,예상등급!$H$5:$H$13),IF(Q42=예상등급!$J$1,LOOKUP(R42,예상등급!$J$5:$J$13,예상등급!$K$5:$K$13),IF(Q42=예상등급!$M$1,LOOKUP(R42,예상등급!$M$5:$M$13,예상등급!$N$5:$N$13),IF(Q42=예상등급!$P$1,LOOKUP(R42,예상등급!$P$5:$P$13,예상등급!$Q$5:$Q$13),IF(Q42=예상등급!$S$1,LOOKUP(R42,예상등급!$S$5:$S$13,예상등급!$T$5:$T$13),IF(Q42=예상등급!$V$1,LOOKUP(R42,예상등급!$V$5:$V$13,예상등급!$W$5:$W$13),IF(Q42=예상등급!$Y$1,LOOKUP(R42,예상등급!$Y$5:$Y$13,예상등급!$Z$5:$Z$13),IF(Q42=예상등급!$AB$1,LOOKUP(R42,예상등급!$AB$5:$AB$13,예상등급!$AC$5:$AC$13),IF(Q42=예상등급!$AE$1,LOOKUP(R42,예상등급!$AE$5:$AE$13,예상등급!$AF$5:$AF$13),IF(Q42=예상등급!$AH$1,LOOKUP(R42,예상등급!$AH$5:$AH$13,예상등급!$AI$5:$AI$13),IF(Q42=예상등급!$AK$1,LOOKUP(R42,예상등급!$AK$5:$AK$13,예상등급!$AL$5:$AL$13),IF(Q42=예상등급!$AN$1,LOOKUP(R42,예상등급!$AN$5:$AN$13,예상등급!$AO$5:$AO$13),IF(Q42=예상등급!$AQ$1,LOOKUP(R42,예상등급!$AQ$5:$AQ$13,예상등급!$AR$5:$AR$13),IF(Q42=예상등급!$AH$15,LOOKUP(R42,예상등급!$AH$19:$AH$27,예상등급!$AI$19:$AI$27),IF(Q42=예상등급!$AK$15,LOOKUP(R42,예상등급!$AK$19:$AK$27,예상등급!$AL$19:$AL$27),IF(Q42=예상등급!$AN$15,LOOKUP(R42,예상등급!$AN$19:$AN$27,예상등급!$AO$19:$AO$27),IF(Q42=예상등급!$AQ$15,LOOKUP(R42,예상등급!$AQ$19:$AQ$27,예상등급!$AR$19:$AR$27),"")))))))))))))))))</f>
        <v>5</v>
      </c>
      <c r="T42" s="110">
        <v>33</v>
      </c>
      <c r="U42" s="382">
        <f>IF(T42="","",LOOKUP(T42,예상등급!$D$19:$D$27,예상등급!$E$19:$E$27))</f>
        <v>3</v>
      </c>
      <c r="V42" s="402">
        <f>SUM(L42,T42,R42,O42)</f>
        <v>298</v>
      </c>
      <c r="W42" s="278">
        <f>RANK(V42,$V$4:$V$491)</f>
        <v>39</v>
      </c>
      <c r="X42" s="4"/>
      <c r="Y42" s="337">
        <f>MIN(V4:V236)</f>
        <v>0</v>
      </c>
      <c r="Z42" s="338"/>
    </row>
    <row r="43" spans="1:27" s="7" customFormat="1" ht="24.95" customHeight="1" x14ac:dyDescent="0.15">
      <c r="A43" s="110">
        <v>1</v>
      </c>
      <c r="B43" s="71">
        <v>22</v>
      </c>
      <c r="C43" s="100" t="s">
        <v>817</v>
      </c>
      <c r="D43" s="110" t="s">
        <v>779</v>
      </c>
      <c r="E43" s="71">
        <v>57</v>
      </c>
      <c r="F43" s="382">
        <f>IF(D43=예상등급!$A$1,LOOKUP(E43,예상등급!$A$5:$A$13,예상등급!$B$5:$B$13),IF(D43=예상등급!$A$15,LOOKUP(E43,예상등급!$A$19:$A$27,예상등급!$B$19:$B$27),""))</f>
        <v>4</v>
      </c>
      <c r="G43" s="110" t="s">
        <v>781</v>
      </c>
      <c r="H43" s="71">
        <v>62</v>
      </c>
      <c r="I43" s="382">
        <f>IF(G43=예상등급!$G$15,LOOKUP(H43,예상등급!$G$19:$G$27,예상등급!$H$19:$H$27),IF(G43=예상등급!$J$15,LOOKUP(H43,예상등급!$J$19:$J$27,예상등급!$K$19:$K$27),IF(G43=예상등급!$M$15,LOOKUP(H43,예상등급!$M$19:$M$27,예상등급!$N$19:$N$27),"")))</f>
        <v>4</v>
      </c>
      <c r="J43" s="110">
        <v>77</v>
      </c>
      <c r="K43" s="382">
        <f>IF(J43="","",(LOOKUP(J43,예상등급!$D$5:$D$13,예상등급!$E$5:$E$13)))</f>
        <v>3</v>
      </c>
      <c r="L43" s="301">
        <f>SUM(E43,H43,J43)</f>
        <v>196</v>
      </c>
      <c r="M43" s="398">
        <f>RANK(L43,$L$4:$L$491)</f>
        <v>56</v>
      </c>
      <c r="N43" s="110" t="s">
        <v>761</v>
      </c>
      <c r="O43" s="71">
        <v>36</v>
      </c>
      <c r="P43" s="385">
        <f>IF(N43=예상등급!$G$1,LOOKUP(O43,예상등급!$G$5:$G$13,예상등급!$H$5:$H$13),IF(N43=예상등급!$J$1,LOOKUP(O43,예상등급!$J$5:$J$13,예상등급!$K$5:$K$13),IF(N43=예상등급!$M$1,LOOKUP(O43,예상등급!$M$5:$M$13,예상등급!$N$5:$N$13),IF(N43=예상등급!$P$1,LOOKUP(O43,예상등급!$P$5:$P$13,예상등급!$Q$5:$Q$13),IF(N43=예상등급!$S$1,LOOKUP(O43,예상등급!$S$5:$S$13,예상등급!$T$5:$T$13),IF(N43=예상등급!$V$1,LOOKUP(O43,예상등급!$V$5:$V$13,예상등급!$W$5:$W$13),IF(N43=예상등급!$Y$1,LOOKUP(O43,예상등급!$Y$5:$Y$13,예상등급!$Z$5:$Z$13),IF(N43=예상등급!$AB$1,LOOKUP(O43,예상등급!$AB$5:$AB$13,예상등급!$AC$5:$AC$13),IF(N43=예상등급!$AE$1,LOOKUP(O43,예상등급!$AE$5:$AE$13,예상등급!$AF$5:$AF$13),IF(N43=예상등급!$AH$1,LOOKUP(O43,예상등급!$AH$5:$AH$13,예상등급!$AI$5:$AI$13),IF(N43=예상등급!$AK$1,LOOKUP(O43,예상등급!$AK$5:$AK$13,예상등급!$AL$5:$AL$13),IF(N43=예상등급!$AN$1,LOOKUP(O43,예상등급!$AN$5:$AN$13,예상등급!$AO$5:$AO$13),IF(N43=예상등급!$AQ$1,LOOKUP(O43,예상등급!$AQ$5:$AQ$13,예상등급!$AR$5:$AR$13),IF(N43=예상등급!$AH$15,LOOKUP(O43,예상등급!$AH$19:$AH$27,예상등급!$AI$19:$AI$27),IF(N43=예상등급!$AK$15,LOOKUP(O43,예상등급!$AK$19:$AK$27,예상등급!$AL$19:$AL$27),IF(N43=예상등급!$AN$15,LOOKUP(O43,예상등급!$AN$19:$AN$27,예상등급!$AO$19:$AO$27),IF(N43=예상등급!$AQ$15,LOOKUP(O43,예상등급!$AQ$19:$AQ$27,예상등급!$AR$19:$AR$27),"")))))))))))))))))</f>
        <v>3</v>
      </c>
      <c r="Q43" s="110" t="s">
        <v>762</v>
      </c>
      <c r="R43" s="71">
        <v>45</v>
      </c>
      <c r="S43" s="385">
        <f>IF(Q43=예상등급!$G$1,LOOKUP(R43,예상등급!$G$5:$G$13,예상등급!$H$5:$H$13),IF(Q43=예상등급!$J$1,LOOKUP(R43,예상등급!$J$5:$J$13,예상등급!$K$5:$K$13),IF(Q43=예상등급!$M$1,LOOKUP(R43,예상등급!$M$5:$M$13,예상등급!$N$5:$N$13),IF(Q43=예상등급!$P$1,LOOKUP(R43,예상등급!$P$5:$P$13,예상등급!$Q$5:$Q$13),IF(Q43=예상등급!$S$1,LOOKUP(R43,예상등급!$S$5:$S$13,예상등급!$T$5:$T$13),IF(Q43=예상등급!$V$1,LOOKUP(R43,예상등급!$V$5:$V$13,예상등급!$W$5:$W$13),IF(Q43=예상등급!$Y$1,LOOKUP(R43,예상등급!$Y$5:$Y$13,예상등급!$Z$5:$Z$13),IF(Q43=예상등급!$AB$1,LOOKUP(R43,예상등급!$AB$5:$AB$13,예상등급!$AC$5:$AC$13),IF(Q43=예상등급!$AE$1,LOOKUP(R43,예상등급!$AE$5:$AE$13,예상등급!$AF$5:$AF$13),IF(Q43=예상등급!$AH$1,LOOKUP(R43,예상등급!$AH$5:$AH$13,예상등급!$AI$5:$AI$13),IF(Q43=예상등급!$AK$1,LOOKUP(R43,예상등급!$AK$5:$AK$13,예상등급!$AL$5:$AL$13),IF(Q43=예상등급!$AN$1,LOOKUP(R43,예상등급!$AN$5:$AN$13,예상등급!$AO$5:$AO$13),IF(Q43=예상등급!$AQ$1,LOOKUP(R43,예상등급!$AQ$5:$AQ$13,예상등급!$AR$5:$AR$13),IF(Q43=예상등급!$AH$15,LOOKUP(R43,예상등급!$AH$19:$AH$27,예상등급!$AI$19:$AI$27),IF(Q43=예상등급!$AK$15,LOOKUP(R43,예상등급!$AK$19:$AK$27,예상등급!$AL$19:$AL$27),IF(Q43=예상등급!$AN$15,LOOKUP(R43,예상등급!$AN$19:$AN$27,예상등급!$AO$19:$AO$27),IF(Q43=예상등급!$AQ$15,LOOKUP(R43,예상등급!$AQ$19:$AQ$27,예상등급!$AR$19:$AR$27),"")))))))))))))))))</f>
        <v>1</v>
      </c>
      <c r="T43" s="110">
        <v>20</v>
      </c>
      <c r="U43" s="382">
        <f>IF(T43="","",LOOKUP(T43,예상등급!$D$19:$D$27,예상등급!$E$19:$E$27))</f>
        <v>5</v>
      </c>
      <c r="V43" s="402">
        <f>SUM(L43,T43,R43,O43)</f>
        <v>297</v>
      </c>
      <c r="W43" s="278">
        <f>RANK(V43,$V$4:$V$491)</f>
        <v>40</v>
      </c>
      <c r="X43" s="4"/>
    </row>
    <row r="44" spans="1:27" s="7" customFormat="1" ht="24.95" customHeight="1" x14ac:dyDescent="0.15">
      <c r="A44" s="110">
        <v>1</v>
      </c>
      <c r="B44" s="71">
        <v>4</v>
      </c>
      <c r="C44" s="100" t="s">
        <v>802</v>
      </c>
      <c r="D44" s="110" t="s">
        <v>779</v>
      </c>
      <c r="E44" s="71">
        <v>68</v>
      </c>
      <c r="F44" s="382">
        <f>IF(D44=예상등급!$A$1,LOOKUP(E44,예상등급!$A$5:$A$13,예상등급!$B$5:$B$13),IF(D44=예상등급!$A$15,LOOKUP(E44,예상등급!$A$19:$A$27,예상등급!$B$19:$B$27),""))</f>
        <v>3</v>
      </c>
      <c r="G44" s="110" t="s">
        <v>780</v>
      </c>
      <c r="H44" s="71">
        <v>46</v>
      </c>
      <c r="I44" s="382">
        <f>IF(G44=예상등급!$G$15,LOOKUP(H44,예상등급!$G$19:$G$27,예상등급!$H$19:$H$27),IF(G44=예상등급!$J$15,LOOKUP(H44,예상등급!$J$19:$J$27,예상등급!$K$19:$K$27),IF(G44=예상등급!$M$15,LOOKUP(H44,예상등급!$M$19:$M$27,예상등급!$N$19:$N$27),"")))</f>
        <v>5</v>
      </c>
      <c r="J44" s="110">
        <v>82</v>
      </c>
      <c r="K44" s="382">
        <f>IF(J44="","",(LOOKUP(J44,예상등급!$D$5:$D$13,예상등급!$E$5:$E$13)))</f>
        <v>2</v>
      </c>
      <c r="L44" s="301">
        <f>SUM(E44,H44,J44)</f>
        <v>196</v>
      </c>
      <c r="M44" s="398">
        <f>RANK(L44,$L$4:$L$491)</f>
        <v>56</v>
      </c>
      <c r="N44" s="110" t="s">
        <v>762</v>
      </c>
      <c r="O44" s="71">
        <v>34</v>
      </c>
      <c r="P44" s="385">
        <f>IF(N44=예상등급!$G$1,LOOKUP(O44,예상등급!$G$5:$G$13,예상등급!$H$5:$H$13),IF(N44=예상등급!$J$1,LOOKUP(O44,예상등급!$J$5:$J$13,예상등급!$K$5:$K$13),IF(N44=예상등급!$M$1,LOOKUP(O44,예상등급!$M$5:$M$13,예상등급!$N$5:$N$13),IF(N44=예상등급!$P$1,LOOKUP(O44,예상등급!$P$5:$P$13,예상등급!$Q$5:$Q$13),IF(N44=예상등급!$S$1,LOOKUP(O44,예상등급!$S$5:$S$13,예상등급!$T$5:$T$13),IF(N44=예상등급!$V$1,LOOKUP(O44,예상등급!$V$5:$V$13,예상등급!$W$5:$W$13),IF(N44=예상등급!$Y$1,LOOKUP(O44,예상등급!$Y$5:$Y$13,예상등급!$Z$5:$Z$13),IF(N44=예상등급!$AB$1,LOOKUP(O44,예상등급!$AB$5:$AB$13,예상등급!$AC$5:$AC$13),IF(N44=예상등급!$AE$1,LOOKUP(O44,예상등급!$AE$5:$AE$13,예상등급!$AF$5:$AF$13),IF(N44=예상등급!$AH$1,LOOKUP(O44,예상등급!$AH$5:$AH$13,예상등급!$AI$5:$AI$13),IF(N44=예상등급!$AK$1,LOOKUP(O44,예상등급!$AK$5:$AK$13,예상등급!$AL$5:$AL$13),IF(N44=예상등급!$AN$1,LOOKUP(O44,예상등급!$AN$5:$AN$13,예상등급!$AO$5:$AO$13),IF(N44=예상등급!$AQ$1,LOOKUP(O44,예상등급!$AQ$5:$AQ$13,예상등급!$AR$5:$AR$13),IF(N44=예상등급!$AH$15,LOOKUP(O44,예상등급!$AH$19:$AH$27,예상등급!$AI$19:$AI$27),IF(N44=예상등급!$AK$15,LOOKUP(O44,예상등급!$AK$19:$AK$27,예상등급!$AL$19:$AL$27),IF(N44=예상등급!$AN$15,LOOKUP(O44,예상등급!$AN$19:$AN$27,예상등급!$AO$19:$AO$27),IF(N44=예상등급!$AQ$15,LOOKUP(O44,예상등급!$AQ$19:$AQ$27,예상등급!$AR$19:$AR$27),"")))))))))))))))))</f>
        <v>3</v>
      </c>
      <c r="Q44" s="110" t="s">
        <v>761</v>
      </c>
      <c r="R44" s="71">
        <v>47</v>
      </c>
      <c r="S44" s="385">
        <f>IF(Q44=예상등급!$G$1,LOOKUP(R44,예상등급!$G$5:$G$13,예상등급!$H$5:$H$13),IF(Q44=예상등급!$J$1,LOOKUP(R44,예상등급!$J$5:$J$13,예상등급!$K$5:$K$13),IF(Q44=예상등급!$M$1,LOOKUP(R44,예상등급!$M$5:$M$13,예상등급!$N$5:$N$13),IF(Q44=예상등급!$P$1,LOOKUP(R44,예상등급!$P$5:$P$13,예상등급!$Q$5:$Q$13),IF(Q44=예상등급!$S$1,LOOKUP(R44,예상등급!$S$5:$S$13,예상등급!$T$5:$T$13),IF(Q44=예상등급!$V$1,LOOKUP(R44,예상등급!$V$5:$V$13,예상등급!$W$5:$W$13),IF(Q44=예상등급!$Y$1,LOOKUP(R44,예상등급!$Y$5:$Y$13,예상등급!$Z$5:$Z$13),IF(Q44=예상등급!$AB$1,LOOKUP(R44,예상등급!$AB$5:$AB$13,예상등급!$AC$5:$AC$13),IF(Q44=예상등급!$AE$1,LOOKUP(R44,예상등급!$AE$5:$AE$13,예상등급!$AF$5:$AF$13),IF(Q44=예상등급!$AH$1,LOOKUP(R44,예상등급!$AH$5:$AH$13,예상등급!$AI$5:$AI$13),IF(Q44=예상등급!$AK$1,LOOKUP(R44,예상등급!$AK$5:$AK$13,예상등급!$AL$5:$AL$13),IF(Q44=예상등급!$AN$1,LOOKUP(R44,예상등급!$AN$5:$AN$13,예상등급!$AO$5:$AO$13),IF(Q44=예상등급!$AQ$1,LOOKUP(R44,예상등급!$AQ$5:$AQ$13,예상등급!$AR$5:$AR$13),IF(Q44=예상등급!$AH$15,LOOKUP(R44,예상등급!$AH$19:$AH$27,예상등급!$AI$19:$AI$27),IF(Q44=예상등급!$AK$15,LOOKUP(R44,예상등급!$AK$19:$AK$27,예상등급!$AL$19:$AL$27),IF(Q44=예상등급!$AN$15,LOOKUP(R44,예상등급!$AN$19:$AN$27,예상등급!$AO$19:$AO$27),IF(Q44=예상등급!$AQ$15,LOOKUP(R44,예상등급!$AQ$19:$AQ$27,예상등급!$AR$19:$AR$27),"")))))))))))))))))</f>
        <v>1</v>
      </c>
      <c r="T44" s="110">
        <v>19</v>
      </c>
      <c r="U44" s="382">
        <f>IF(T44="","",LOOKUP(T44,예상등급!$D$19:$D$27,예상등급!$E$19:$E$27))</f>
        <v>6</v>
      </c>
      <c r="V44" s="402">
        <f>SUM(L44,T44,R44,O44)</f>
        <v>296</v>
      </c>
      <c r="W44" s="278">
        <f>RANK(V44,$V$4:$V$491)</f>
        <v>41</v>
      </c>
      <c r="X44" s="4"/>
      <c r="Y44" s="47"/>
      <c r="Z44" s="47"/>
    </row>
    <row r="45" spans="1:27" s="7" customFormat="1" ht="24.95" customHeight="1" x14ac:dyDescent="0.15">
      <c r="A45" s="110">
        <v>9</v>
      </c>
      <c r="B45" s="71">
        <v>26</v>
      </c>
      <c r="C45" s="100" t="s">
        <v>983</v>
      </c>
      <c r="D45" s="110" t="s">
        <v>779</v>
      </c>
      <c r="E45" s="71">
        <v>68</v>
      </c>
      <c r="F45" s="382">
        <f>IF(D45=예상등급!$A$1,LOOKUP(E45,예상등급!$A$5:$A$13,예상등급!$B$5:$B$13),IF(D45=예상등급!$A$15,LOOKUP(E45,예상등급!$A$19:$A$27,예상등급!$B$19:$B$27),""))</f>
        <v>3</v>
      </c>
      <c r="G45" s="110" t="s">
        <v>780</v>
      </c>
      <c r="H45" s="71">
        <v>36</v>
      </c>
      <c r="I45" s="382">
        <f>IF(G45=예상등급!$G$15,LOOKUP(H45,예상등급!$G$19:$G$27,예상등급!$H$19:$H$27),IF(G45=예상등급!$J$15,LOOKUP(H45,예상등급!$J$19:$J$27,예상등급!$K$19:$K$27),IF(G45=예상등급!$M$15,LOOKUP(H45,예상등급!$M$19:$M$27,예상등급!$N$19:$N$27),"")))</f>
        <v>5</v>
      </c>
      <c r="J45" s="110">
        <v>82</v>
      </c>
      <c r="K45" s="382">
        <f>IF(J45="","",(LOOKUP(J45,예상등급!$D$5:$D$13,예상등급!$E$5:$E$13)))</f>
        <v>2</v>
      </c>
      <c r="L45" s="301">
        <f>SUM(E45,H45,J45)</f>
        <v>186</v>
      </c>
      <c r="M45" s="398">
        <f>RANK(L45,$L$4:$L$491)</f>
        <v>68</v>
      </c>
      <c r="N45" s="110" t="s">
        <v>761</v>
      </c>
      <c r="O45" s="71">
        <v>45</v>
      </c>
      <c r="P45" s="385">
        <f>IF(N45=예상등급!$G$1,LOOKUP(O45,예상등급!$G$5:$G$13,예상등급!$H$5:$H$13),IF(N45=예상등급!$J$1,LOOKUP(O45,예상등급!$J$5:$J$13,예상등급!$K$5:$K$13),IF(N45=예상등급!$M$1,LOOKUP(O45,예상등급!$M$5:$M$13,예상등급!$N$5:$N$13),IF(N45=예상등급!$P$1,LOOKUP(O45,예상등급!$P$5:$P$13,예상등급!$Q$5:$Q$13),IF(N45=예상등급!$S$1,LOOKUP(O45,예상등급!$S$5:$S$13,예상등급!$T$5:$T$13),IF(N45=예상등급!$V$1,LOOKUP(O45,예상등급!$V$5:$V$13,예상등급!$W$5:$W$13),IF(N45=예상등급!$Y$1,LOOKUP(O45,예상등급!$Y$5:$Y$13,예상등급!$Z$5:$Z$13),IF(N45=예상등급!$AB$1,LOOKUP(O45,예상등급!$AB$5:$AB$13,예상등급!$AC$5:$AC$13),IF(N45=예상등급!$AE$1,LOOKUP(O45,예상등급!$AE$5:$AE$13,예상등급!$AF$5:$AF$13),IF(N45=예상등급!$AH$1,LOOKUP(O45,예상등급!$AH$5:$AH$13,예상등급!$AI$5:$AI$13),IF(N45=예상등급!$AK$1,LOOKUP(O45,예상등급!$AK$5:$AK$13,예상등급!$AL$5:$AL$13),IF(N45=예상등급!$AN$1,LOOKUP(O45,예상등급!$AN$5:$AN$13,예상등급!$AO$5:$AO$13),IF(N45=예상등급!$AQ$1,LOOKUP(O45,예상등급!$AQ$5:$AQ$13,예상등급!$AR$5:$AR$13),IF(N45=예상등급!$AH$15,LOOKUP(O45,예상등급!$AH$19:$AH$27,예상등급!$AI$19:$AI$27),IF(N45=예상등급!$AK$15,LOOKUP(O45,예상등급!$AK$19:$AK$27,예상등급!$AL$19:$AL$27),IF(N45=예상등급!$AN$15,LOOKUP(O45,예상등급!$AN$19:$AN$27,예상등급!$AO$19:$AO$27),IF(N45=예상등급!$AQ$15,LOOKUP(O45,예상등급!$AQ$19:$AQ$27,예상등급!$AR$19:$AR$27),"")))))))))))))))))</f>
        <v>1</v>
      </c>
      <c r="Q45" s="110" t="s">
        <v>762</v>
      </c>
      <c r="R45" s="71">
        <v>36</v>
      </c>
      <c r="S45" s="385">
        <f>IF(Q45=예상등급!$G$1,LOOKUP(R45,예상등급!$G$5:$G$13,예상등급!$H$5:$H$13),IF(Q45=예상등급!$J$1,LOOKUP(R45,예상등급!$J$5:$J$13,예상등급!$K$5:$K$13),IF(Q45=예상등급!$M$1,LOOKUP(R45,예상등급!$M$5:$M$13,예상등급!$N$5:$N$13),IF(Q45=예상등급!$P$1,LOOKUP(R45,예상등급!$P$5:$P$13,예상등급!$Q$5:$Q$13),IF(Q45=예상등급!$S$1,LOOKUP(R45,예상등급!$S$5:$S$13,예상등급!$T$5:$T$13),IF(Q45=예상등급!$V$1,LOOKUP(R45,예상등급!$V$5:$V$13,예상등급!$W$5:$W$13),IF(Q45=예상등급!$Y$1,LOOKUP(R45,예상등급!$Y$5:$Y$13,예상등급!$Z$5:$Z$13),IF(Q45=예상등급!$AB$1,LOOKUP(R45,예상등급!$AB$5:$AB$13,예상등급!$AC$5:$AC$13),IF(Q45=예상등급!$AE$1,LOOKUP(R45,예상등급!$AE$5:$AE$13,예상등급!$AF$5:$AF$13),IF(Q45=예상등급!$AH$1,LOOKUP(R45,예상등급!$AH$5:$AH$13,예상등급!$AI$5:$AI$13),IF(Q45=예상등급!$AK$1,LOOKUP(R45,예상등급!$AK$5:$AK$13,예상등급!$AL$5:$AL$13),IF(Q45=예상등급!$AN$1,LOOKUP(R45,예상등급!$AN$5:$AN$13,예상등급!$AO$5:$AO$13),IF(Q45=예상등급!$AQ$1,LOOKUP(R45,예상등급!$AQ$5:$AQ$13,예상등급!$AR$5:$AR$13),IF(Q45=예상등급!$AH$15,LOOKUP(R45,예상등급!$AH$19:$AH$27,예상등급!$AI$19:$AI$27),IF(Q45=예상등급!$AK$15,LOOKUP(R45,예상등급!$AK$19:$AK$27,예상등급!$AL$19:$AL$27),IF(Q45=예상등급!$AN$15,LOOKUP(R45,예상등급!$AN$19:$AN$27,예상등급!$AO$19:$AO$27),IF(Q45=예상등급!$AQ$15,LOOKUP(R45,예상등급!$AQ$19:$AQ$27,예상등급!$AR$19:$AR$27),"")))))))))))))))))</f>
        <v>3</v>
      </c>
      <c r="T45" s="110">
        <v>29</v>
      </c>
      <c r="U45" s="382">
        <f>IF(T45="","",LOOKUP(T45,예상등급!$D$19:$D$27,예상등급!$E$19:$E$27))</f>
        <v>4</v>
      </c>
      <c r="V45" s="402">
        <f>SUM(L45,T45,R45,O45)</f>
        <v>296</v>
      </c>
      <c r="W45" s="278">
        <f>RANK(V45,$V$4:$V$491)</f>
        <v>41</v>
      </c>
      <c r="X45" s="4"/>
      <c r="Y45" s="47"/>
      <c r="Z45" s="47"/>
    </row>
    <row r="46" spans="1:27" s="7" customFormat="1" ht="24.95" customHeight="1" x14ac:dyDescent="0.15">
      <c r="A46" s="110">
        <v>8</v>
      </c>
      <c r="B46" s="71">
        <v>20</v>
      </c>
      <c r="C46" s="100" t="s">
        <v>954</v>
      </c>
      <c r="D46" s="110" t="s">
        <v>779</v>
      </c>
      <c r="E46" s="71">
        <v>57</v>
      </c>
      <c r="F46" s="382">
        <f>IF(D46=예상등급!$A$1,LOOKUP(E46,예상등급!$A$5:$A$13,예상등급!$B$5:$B$13),IF(D46=예상등급!$A$15,LOOKUP(E46,예상등급!$A$19:$A$27,예상등급!$B$19:$B$27),""))</f>
        <v>4</v>
      </c>
      <c r="G46" s="110" t="s">
        <v>780</v>
      </c>
      <c r="H46" s="71">
        <v>70</v>
      </c>
      <c r="I46" s="382">
        <f>IF(G46=예상등급!$G$15,LOOKUP(H46,예상등급!$G$19:$G$27,예상등급!$H$19:$H$27),IF(G46=예상등급!$J$15,LOOKUP(H46,예상등급!$J$19:$J$27,예상등급!$K$19:$K$27),IF(G46=예상등급!$M$15,LOOKUP(H46,예상등급!$M$19:$M$27,예상등급!$N$19:$N$27),"")))</f>
        <v>3</v>
      </c>
      <c r="J46" s="110">
        <v>68</v>
      </c>
      <c r="K46" s="382">
        <f>IF(J46="","",(LOOKUP(J46,예상등급!$D$5:$D$13,예상등급!$E$5:$E$13)))</f>
        <v>4</v>
      </c>
      <c r="L46" s="301">
        <f>SUM(E46,H46,J46)</f>
        <v>195</v>
      </c>
      <c r="M46" s="398">
        <f>RANK(L46,$L$4:$L$491)</f>
        <v>59</v>
      </c>
      <c r="N46" s="110" t="s">
        <v>762</v>
      </c>
      <c r="O46" s="71">
        <v>47</v>
      </c>
      <c r="P46" s="385">
        <f>IF(N46=예상등급!$G$1,LOOKUP(O46,예상등급!$G$5:$G$13,예상등급!$H$5:$H$13),IF(N46=예상등급!$J$1,LOOKUP(O46,예상등급!$J$5:$J$13,예상등급!$K$5:$K$13),IF(N46=예상등급!$M$1,LOOKUP(O46,예상등급!$M$5:$M$13,예상등급!$N$5:$N$13),IF(N46=예상등급!$P$1,LOOKUP(O46,예상등급!$P$5:$P$13,예상등급!$Q$5:$Q$13),IF(N46=예상등급!$S$1,LOOKUP(O46,예상등급!$S$5:$S$13,예상등급!$T$5:$T$13),IF(N46=예상등급!$V$1,LOOKUP(O46,예상등급!$V$5:$V$13,예상등급!$W$5:$W$13),IF(N46=예상등급!$Y$1,LOOKUP(O46,예상등급!$Y$5:$Y$13,예상등급!$Z$5:$Z$13),IF(N46=예상등급!$AB$1,LOOKUP(O46,예상등급!$AB$5:$AB$13,예상등급!$AC$5:$AC$13),IF(N46=예상등급!$AE$1,LOOKUP(O46,예상등급!$AE$5:$AE$13,예상등급!$AF$5:$AF$13),IF(N46=예상등급!$AH$1,LOOKUP(O46,예상등급!$AH$5:$AH$13,예상등급!$AI$5:$AI$13),IF(N46=예상등급!$AK$1,LOOKUP(O46,예상등급!$AK$5:$AK$13,예상등급!$AL$5:$AL$13),IF(N46=예상등급!$AN$1,LOOKUP(O46,예상등급!$AN$5:$AN$13,예상등급!$AO$5:$AO$13),IF(N46=예상등급!$AQ$1,LOOKUP(O46,예상등급!$AQ$5:$AQ$13,예상등급!$AR$5:$AR$13),IF(N46=예상등급!$AH$15,LOOKUP(O46,예상등급!$AH$19:$AH$27,예상등급!$AI$19:$AI$27),IF(N46=예상등급!$AK$15,LOOKUP(O46,예상등급!$AK$19:$AK$27,예상등급!$AL$19:$AL$27),IF(N46=예상등급!$AN$15,LOOKUP(O46,예상등급!$AN$19:$AN$27,예상등급!$AO$19:$AO$27),IF(N46=예상등급!$AQ$15,LOOKUP(O46,예상등급!$AQ$19:$AQ$27,예상등급!$AR$19:$AR$27),"")))))))))))))))))</f>
        <v>1</v>
      </c>
      <c r="Q46" s="110" t="s">
        <v>761</v>
      </c>
      <c r="R46" s="71">
        <v>48</v>
      </c>
      <c r="S46" s="385">
        <f>IF(Q46=예상등급!$G$1,LOOKUP(R46,예상등급!$G$5:$G$13,예상등급!$H$5:$H$13),IF(Q46=예상등급!$J$1,LOOKUP(R46,예상등급!$J$5:$J$13,예상등급!$K$5:$K$13),IF(Q46=예상등급!$M$1,LOOKUP(R46,예상등급!$M$5:$M$13,예상등급!$N$5:$N$13),IF(Q46=예상등급!$P$1,LOOKUP(R46,예상등급!$P$5:$P$13,예상등급!$Q$5:$Q$13),IF(Q46=예상등급!$S$1,LOOKUP(R46,예상등급!$S$5:$S$13,예상등급!$T$5:$T$13),IF(Q46=예상등급!$V$1,LOOKUP(R46,예상등급!$V$5:$V$13,예상등급!$W$5:$W$13),IF(Q46=예상등급!$Y$1,LOOKUP(R46,예상등급!$Y$5:$Y$13,예상등급!$Z$5:$Z$13),IF(Q46=예상등급!$AB$1,LOOKUP(R46,예상등급!$AB$5:$AB$13,예상등급!$AC$5:$AC$13),IF(Q46=예상등급!$AE$1,LOOKUP(R46,예상등급!$AE$5:$AE$13,예상등급!$AF$5:$AF$13),IF(Q46=예상등급!$AH$1,LOOKUP(R46,예상등급!$AH$5:$AH$13,예상등급!$AI$5:$AI$13),IF(Q46=예상등급!$AK$1,LOOKUP(R46,예상등급!$AK$5:$AK$13,예상등급!$AL$5:$AL$13),IF(Q46=예상등급!$AN$1,LOOKUP(R46,예상등급!$AN$5:$AN$13,예상등급!$AO$5:$AO$13),IF(Q46=예상등급!$AQ$1,LOOKUP(R46,예상등급!$AQ$5:$AQ$13,예상등급!$AR$5:$AR$13),IF(Q46=예상등급!$AH$15,LOOKUP(R46,예상등급!$AH$19:$AH$27,예상등급!$AI$19:$AI$27),IF(Q46=예상등급!$AK$15,LOOKUP(R46,예상등급!$AK$19:$AK$27,예상등급!$AL$19:$AL$27),IF(Q46=예상등급!$AN$15,LOOKUP(R46,예상등급!$AN$19:$AN$27,예상등급!$AO$19:$AO$27),IF(Q46=예상등급!$AQ$15,LOOKUP(R46,예상등급!$AQ$19:$AQ$27,예상등급!$AR$19:$AR$27),"")))))))))))))))))</f>
        <v>1</v>
      </c>
      <c r="T46" s="110">
        <v>5</v>
      </c>
      <c r="U46" s="382">
        <f>IF(T46="","",LOOKUP(T46,예상등급!$D$19:$D$27,예상등급!$E$19:$E$27))</f>
        <v>8</v>
      </c>
      <c r="V46" s="402">
        <f>SUM(L46,T46,R46,O46)</f>
        <v>295</v>
      </c>
      <c r="W46" s="278">
        <f>RANK(V46,$V$4:$V$491)</f>
        <v>43</v>
      </c>
      <c r="X46" s="4"/>
      <c r="Y46" s="47"/>
      <c r="Z46" s="47"/>
    </row>
    <row r="47" spans="1:27" s="7" customFormat="1" ht="24.95" customHeight="1" x14ac:dyDescent="0.15">
      <c r="A47" s="110">
        <v>10</v>
      </c>
      <c r="B47" s="71">
        <v>26</v>
      </c>
      <c r="C47" s="100" t="s">
        <v>1009</v>
      </c>
      <c r="D47" s="110" t="s">
        <v>779</v>
      </c>
      <c r="E47" s="71">
        <v>54</v>
      </c>
      <c r="F47" s="382">
        <f>IF(D47=예상등급!$A$1,LOOKUP(E47,예상등급!$A$5:$A$13,예상등급!$B$5:$B$13),IF(D47=예상등급!$A$15,LOOKUP(E47,예상등급!$A$19:$A$27,예상등급!$B$19:$B$27),""))</f>
        <v>4</v>
      </c>
      <c r="G47" s="110" t="s">
        <v>780</v>
      </c>
      <c r="H47" s="71">
        <v>73</v>
      </c>
      <c r="I47" s="382">
        <f>IF(G47=예상등급!$G$15,LOOKUP(H47,예상등급!$G$19:$G$27,예상등급!$H$19:$H$27),IF(G47=예상등급!$J$15,LOOKUP(H47,예상등급!$J$19:$J$27,예상등급!$K$19:$K$27),IF(G47=예상등급!$M$15,LOOKUP(H47,예상등급!$M$19:$M$27,예상등급!$N$19:$N$27),"")))</f>
        <v>3</v>
      </c>
      <c r="J47" s="110">
        <v>75</v>
      </c>
      <c r="K47" s="382">
        <f>IF(J47="","",(LOOKUP(J47,예상등급!$D$5:$D$13,예상등급!$E$5:$E$13)))</f>
        <v>3</v>
      </c>
      <c r="L47" s="301">
        <f>SUM(E47,H47,J47)</f>
        <v>202</v>
      </c>
      <c r="M47" s="398">
        <f>RANK(L47,$L$4:$L$491)</f>
        <v>44</v>
      </c>
      <c r="N47" s="110" t="s">
        <v>772</v>
      </c>
      <c r="O47" s="71">
        <v>39</v>
      </c>
      <c r="P47" s="385">
        <f>IF(N47=예상등급!$G$1,LOOKUP(O47,예상등급!$G$5:$G$13,예상등급!$H$5:$H$13),IF(N47=예상등급!$J$1,LOOKUP(O47,예상등급!$J$5:$J$13,예상등급!$K$5:$K$13),IF(N47=예상등급!$M$1,LOOKUP(O47,예상등급!$M$5:$M$13,예상등급!$N$5:$N$13),IF(N47=예상등급!$P$1,LOOKUP(O47,예상등급!$P$5:$P$13,예상등급!$Q$5:$Q$13),IF(N47=예상등급!$S$1,LOOKUP(O47,예상등급!$S$5:$S$13,예상등급!$T$5:$T$13),IF(N47=예상등급!$V$1,LOOKUP(O47,예상등급!$V$5:$V$13,예상등급!$W$5:$W$13),IF(N47=예상등급!$Y$1,LOOKUP(O47,예상등급!$Y$5:$Y$13,예상등급!$Z$5:$Z$13),IF(N47=예상등급!$AB$1,LOOKUP(O47,예상등급!$AB$5:$AB$13,예상등급!$AC$5:$AC$13),IF(N47=예상등급!$AE$1,LOOKUP(O47,예상등급!$AE$5:$AE$13,예상등급!$AF$5:$AF$13),IF(N47=예상등급!$AH$1,LOOKUP(O47,예상등급!$AH$5:$AH$13,예상등급!$AI$5:$AI$13),IF(N47=예상등급!$AK$1,LOOKUP(O47,예상등급!$AK$5:$AK$13,예상등급!$AL$5:$AL$13),IF(N47=예상등급!$AN$1,LOOKUP(O47,예상등급!$AN$5:$AN$13,예상등급!$AO$5:$AO$13),IF(N47=예상등급!$AQ$1,LOOKUP(O47,예상등급!$AQ$5:$AQ$13,예상등급!$AR$5:$AR$13),IF(N47=예상등급!$AH$15,LOOKUP(O47,예상등급!$AH$19:$AH$27,예상등급!$AI$19:$AI$27),IF(N47=예상등급!$AK$15,LOOKUP(O47,예상등급!$AK$19:$AK$27,예상등급!$AL$19:$AL$27),IF(N47=예상등급!$AN$15,LOOKUP(O47,예상등급!$AN$19:$AN$27,예상등급!$AO$19:$AO$27),IF(N47=예상등급!$AQ$15,LOOKUP(O47,예상등급!$AQ$19:$AQ$27,예상등급!$AR$19:$AR$27),"")))))))))))))))))</f>
        <v>2</v>
      </c>
      <c r="Q47" s="110" t="s">
        <v>761</v>
      </c>
      <c r="R47" s="71">
        <v>34</v>
      </c>
      <c r="S47" s="385">
        <f>IF(Q47=예상등급!$G$1,LOOKUP(R47,예상등급!$G$5:$G$13,예상등급!$H$5:$H$13),IF(Q47=예상등급!$J$1,LOOKUP(R47,예상등급!$J$5:$J$13,예상등급!$K$5:$K$13),IF(Q47=예상등급!$M$1,LOOKUP(R47,예상등급!$M$5:$M$13,예상등급!$N$5:$N$13),IF(Q47=예상등급!$P$1,LOOKUP(R47,예상등급!$P$5:$P$13,예상등급!$Q$5:$Q$13),IF(Q47=예상등급!$S$1,LOOKUP(R47,예상등급!$S$5:$S$13,예상등급!$T$5:$T$13),IF(Q47=예상등급!$V$1,LOOKUP(R47,예상등급!$V$5:$V$13,예상등급!$W$5:$W$13),IF(Q47=예상등급!$Y$1,LOOKUP(R47,예상등급!$Y$5:$Y$13,예상등급!$Z$5:$Z$13),IF(Q47=예상등급!$AB$1,LOOKUP(R47,예상등급!$AB$5:$AB$13,예상등급!$AC$5:$AC$13),IF(Q47=예상등급!$AE$1,LOOKUP(R47,예상등급!$AE$5:$AE$13,예상등급!$AF$5:$AF$13),IF(Q47=예상등급!$AH$1,LOOKUP(R47,예상등급!$AH$5:$AH$13,예상등급!$AI$5:$AI$13),IF(Q47=예상등급!$AK$1,LOOKUP(R47,예상등급!$AK$5:$AK$13,예상등급!$AL$5:$AL$13),IF(Q47=예상등급!$AN$1,LOOKUP(R47,예상등급!$AN$5:$AN$13,예상등급!$AO$5:$AO$13),IF(Q47=예상등급!$AQ$1,LOOKUP(R47,예상등급!$AQ$5:$AQ$13,예상등급!$AR$5:$AR$13),IF(Q47=예상등급!$AH$15,LOOKUP(R47,예상등급!$AH$19:$AH$27,예상등급!$AI$19:$AI$27),IF(Q47=예상등급!$AK$15,LOOKUP(R47,예상등급!$AK$19:$AK$27,예상등급!$AL$19:$AL$27),IF(Q47=예상등급!$AN$15,LOOKUP(R47,예상등급!$AN$19:$AN$27,예상등급!$AO$19:$AO$27),IF(Q47=예상등급!$AQ$15,LOOKUP(R47,예상등급!$AQ$19:$AQ$27,예상등급!$AR$19:$AR$27),"")))))))))))))))))</f>
        <v>3</v>
      </c>
      <c r="T47" s="110">
        <v>19</v>
      </c>
      <c r="U47" s="382">
        <f>IF(T47="","",LOOKUP(T47,예상등급!$D$19:$D$27,예상등급!$E$19:$E$27))</f>
        <v>6</v>
      </c>
      <c r="V47" s="402">
        <f>SUM(L47,T47,R47,O47)</f>
        <v>294</v>
      </c>
      <c r="W47" s="278">
        <f>RANK(V47,$V$4:$V$491)</f>
        <v>44</v>
      </c>
      <c r="X47" s="4"/>
      <c r="Y47" s="47"/>
      <c r="Z47" s="47"/>
    </row>
    <row r="48" spans="1:27" s="7" customFormat="1" ht="24.95" customHeight="1" x14ac:dyDescent="0.15">
      <c r="A48" s="110">
        <v>2</v>
      </c>
      <c r="B48" s="71">
        <v>8</v>
      </c>
      <c r="C48" s="100" t="s">
        <v>826</v>
      </c>
      <c r="D48" s="110" t="s">
        <v>779</v>
      </c>
      <c r="E48" s="71">
        <v>65</v>
      </c>
      <c r="F48" s="382">
        <f>IF(D48=예상등급!$A$1,LOOKUP(E48,예상등급!$A$5:$A$13,예상등급!$B$5:$B$13),IF(D48=예상등급!$A$15,LOOKUP(E48,예상등급!$A$19:$A$27,예상등급!$B$19:$B$27),""))</f>
        <v>3</v>
      </c>
      <c r="G48" s="110" t="s">
        <v>780</v>
      </c>
      <c r="H48" s="71">
        <v>53</v>
      </c>
      <c r="I48" s="382">
        <f>IF(G48=예상등급!$G$15,LOOKUP(H48,예상등급!$G$19:$G$27,예상등급!$H$19:$H$27),IF(G48=예상등급!$J$15,LOOKUP(H48,예상등급!$J$19:$J$27,예상등급!$K$19:$K$27),IF(G48=예상등급!$M$15,LOOKUP(H48,예상등급!$M$19:$M$27,예상등급!$N$19:$N$27),"")))</f>
        <v>5</v>
      </c>
      <c r="J48" s="110">
        <v>76</v>
      </c>
      <c r="K48" s="382">
        <f>IF(J48="","",(LOOKUP(J48,예상등급!$D$5:$D$13,예상등급!$E$5:$E$13)))</f>
        <v>3</v>
      </c>
      <c r="L48" s="301">
        <f>SUM(E48,H48,J48)</f>
        <v>194</v>
      </c>
      <c r="M48" s="398">
        <f>RANK(L48,$L$4:$L$491)</f>
        <v>60</v>
      </c>
      <c r="N48" s="110" t="s">
        <v>764</v>
      </c>
      <c r="O48" s="71">
        <v>27</v>
      </c>
      <c r="P48" s="385">
        <f>IF(N48=예상등급!$G$1,LOOKUP(O48,예상등급!$G$5:$G$13,예상등급!$H$5:$H$13),IF(N48=예상등급!$J$1,LOOKUP(O48,예상등급!$J$5:$J$13,예상등급!$K$5:$K$13),IF(N48=예상등급!$M$1,LOOKUP(O48,예상등급!$M$5:$M$13,예상등급!$N$5:$N$13),IF(N48=예상등급!$P$1,LOOKUP(O48,예상등급!$P$5:$P$13,예상등급!$Q$5:$Q$13),IF(N48=예상등급!$S$1,LOOKUP(O48,예상등급!$S$5:$S$13,예상등급!$T$5:$T$13),IF(N48=예상등급!$V$1,LOOKUP(O48,예상등급!$V$5:$V$13,예상등급!$W$5:$W$13),IF(N48=예상등급!$Y$1,LOOKUP(O48,예상등급!$Y$5:$Y$13,예상등급!$Z$5:$Z$13),IF(N48=예상등급!$AB$1,LOOKUP(O48,예상등급!$AB$5:$AB$13,예상등급!$AC$5:$AC$13),IF(N48=예상등급!$AE$1,LOOKUP(O48,예상등급!$AE$5:$AE$13,예상등급!$AF$5:$AF$13),IF(N48=예상등급!$AH$1,LOOKUP(O48,예상등급!$AH$5:$AH$13,예상등급!$AI$5:$AI$13),IF(N48=예상등급!$AK$1,LOOKUP(O48,예상등급!$AK$5:$AK$13,예상등급!$AL$5:$AL$13),IF(N48=예상등급!$AN$1,LOOKUP(O48,예상등급!$AN$5:$AN$13,예상등급!$AO$5:$AO$13),IF(N48=예상등급!$AQ$1,LOOKUP(O48,예상등급!$AQ$5:$AQ$13,예상등급!$AR$5:$AR$13),IF(N48=예상등급!$AH$15,LOOKUP(O48,예상등급!$AH$19:$AH$27,예상등급!$AI$19:$AI$27),IF(N48=예상등급!$AK$15,LOOKUP(O48,예상등급!$AK$19:$AK$27,예상등급!$AL$19:$AL$27),IF(N48=예상등급!$AN$15,LOOKUP(O48,예상등급!$AN$19:$AN$27,예상등급!$AO$19:$AO$27),IF(N48=예상등급!$AQ$15,LOOKUP(O48,예상등급!$AQ$19:$AQ$27,예상등급!$AR$19:$AR$27),"")))))))))))))))))</f>
        <v>3</v>
      </c>
      <c r="Q48" s="110" t="s">
        <v>763</v>
      </c>
      <c r="R48" s="71">
        <v>42</v>
      </c>
      <c r="S48" s="385">
        <f>IF(Q48=예상등급!$G$1,LOOKUP(R48,예상등급!$G$5:$G$13,예상등급!$H$5:$H$13),IF(Q48=예상등급!$J$1,LOOKUP(R48,예상등급!$J$5:$J$13,예상등급!$K$5:$K$13),IF(Q48=예상등급!$M$1,LOOKUP(R48,예상등급!$M$5:$M$13,예상등급!$N$5:$N$13),IF(Q48=예상등급!$P$1,LOOKUP(R48,예상등급!$P$5:$P$13,예상등급!$Q$5:$Q$13),IF(Q48=예상등급!$S$1,LOOKUP(R48,예상등급!$S$5:$S$13,예상등급!$T$5:$T$13),IF(Q48=예상등급!$V$1,LOOKUP(R48,예상등급!$V$5:$V$13,예상등급!$W$5:$W$13),IF(Q48=예상등급!$Y$1,LOOKUP(R48,예상등급!$Y$5:$Y$13,예상등급!$Z$5:$Z$13),IF(Q48=예상등급!$AB$1,LOOKUP(R48,예상등급!$AB$5:$AB$13,예상등급!$AC$5:$AC$13),IF(Q48=예상등급!$AE$1,LOOKUP(R48,예상등급!$AE$5:$AE$13,예상등급!$AF$5:$AF$13),IF(Q48=예상등급!$AH$1,LOOKUP(R48,예상등급!$AH$5:$AH$13,예상등급!$AI$5:$AI$13),IF(Q48=예상등급!$AK$1,LOOKUP(R48,예상등급!$AK$5:$AK$13,예상등급!$AL$5:$AL$13),IF(Q48=예상등급!$AN$1,LOOKUP(R48,예상등급!$AN$5:$AN$13,예상등급!$AO$5:$AO$13),IF(Q48=예상등급!$AQ$1,LOOKUP(R48,예상등급!$AQ$5:$AQ$13,예상등급!$AR$5:$AR$13),IF(Q48=예상등급!$AH$15,LOOKUP(R48,예상등급!$AH$19:$AH$27,예상등급!$AI$19:$AI$27),IF(Q48=예상등급!$AK$15,LOOKUP(R48,예상등급!$AK$19:$AK$27,예상등급!$AL$19:$AL$27),IF(Q48=예상등급!$AN$15,LOOKUP(R48,예상등급!$AN$19:$AN$27,예상등급!$AO$19:$AO$27),IF(Q48=예상등급!$AQ$15,LOOKUP(R48,예상등급!$AQ$19:$AQ$27,예상등급!$AR$19:$AR$27),"")))))))))))))))))</f>
        <v>2</v>
      </c>
      <c r="T48" s="110">
        <v>30</v>
      </c>
      <c r="U48" s="382">
        <f>IF(T48="","",LOOKUP(T48,예상등급!$D$19:$D$27,예상등급!$E$19:$E$27))</f>
        <v>3</v>
      </c>
      <c r="V48" s="402">
        <f>SUM(L48,T48,R48,O48)</f>
        <v>293</v>
      </c>
      <c r="W48" s="278">
        <f>RANK(V48,$V$4:$V$491)</f>
        <v>45</v>
      </c>
      <c r="X48" s="4"/>
      <c r="Y48" s="47"/>
      <c r="Z48" s="47"/>
    </row>
    <row r="49" spans="1:26" s="7" customFormat="1" ht="24.95" customHeight="1" x14ac:dyDescent="0.15">
      <c r="A49" s="110">
        <v>6</v>
      </c>
      <c r="B49" s="71">
        <v>10</v>
      </c>
      <c r="C49" s="100" t="s">
        <v>902</v>
      </c>
      <c r="D49" s="110" t="s">
        <v>779</v>
      </c>
      <c r="E49" s="71">
        <v>60</v>
      </c>
      <c r="F49" s="382">
        <f>IF(D49=예상등급!$A$1,LOOKUP(E49,예상등급!$A$5:$A$13,예상등급!$B$5:$B$13),IF(D49=예상등급!$A$15,LOOKUP(E49,예상등급!$A$19:$A$27,예상등급!$B$19:$B$27),""))</f>
        <v>4</v>
      </c>
      <c r="G49" s="110" t="s">
        <v>781</v>
      </c>
      <c r="H49" s="71">
        <v>77</v>
      </c>
      <c r="I49" s="382">
        <f>IF(G49=예상등급!$G$15,LOOKUP(H49,예상등급!$G$19:$G$27,예상등급!$H$19:$H$27),IF(G49=예상등급!$J$15,LOOKUP(H49,예상등급!$J$19:$J$27,예상등급!$K$19:$K$27),IF(G49=예상등급!$M$15,LOOKUP(H49,예상등급!$M$19:$M$27,예상등급!$N$19:$N$27),"")))</f>
        <v>2</v>
      </c>
      <c r="J49" s="110">
        <v>79</v>
      </c>
      <c r="K49" s="382">
        <f>IF(J49="","",(LOOKUP(J49,예상등급!$D$5:$D$13,예상등급!$E$5:$E$13)))</f>
        <v>3</v>
      </c>
      <c r="L49" s="301">
        <f>SUM(E49,H49,J49)</f>
        <v>216</v>
      </c>
      <c r="M49" s="398">
        <f>RANK(L49,$L$4:$L$491)</f>
        <v>24</v>
      </c>
      <c r="N49" s="110" t="s">
        <v>762</v>
      </c>
      <c r="O49" s="71">
        <v>39</v>
      </c>
      <c r="P49" s="385">
        <f>IF(N49=예상등급!$G$1,LOOKUP(O49,예상등급!$G$5:$G$13,예상등급!$H$5:$H$13),IF(N49=예상등급!$J$1,LOOKUP(O49,예상등급!$J$5:$J$13,예상등급!$K$5:$K$13),IF(N49=예상등급!$M$1,LOOKUP(O49,예상등급!$M$5:$M$13,예상등급!$N$5:$N$13),IF(N49=예상등급!$P$1,LOOKUP(O49,예상등급!$P$5:$P$13,예상등급!$Q$5:$Q$13),IF(N49=예상등급!$S$1,LOOKUP(O49,예상등급!$S$5:$S$13,예상등급!$T$5:$T$13),IF(N49=예상등급!$V$1,LOOKUP(O49,예상등급!$V$5:$V$13,예상등급!$W$5:$W$13),IF(N49=예상등급!$Y$1,LOOKUP(O49,예상등급!$Y$5:$Y$13,예상등급!$Z$5:$Z$13),IF(N49=예상등급!$AB$1,LOOKUP(O49,예상등급!$AB$5:$AB$13,예상등급!$AC$5:$AC$13),IF(N49=예상등급!$AE$1,LOOKUP(O49,예상등급!$AE$5:$AE$13,예상등급!$AF$5:$AF$13),IF(N49=예상등급!$AH$1,LOOKUP(O49,예상등급!$AH$5:$AH$13,예상등급!$AI$5:$AI$13),IF(N49=예상등급!$AK$1,LOOKUP(O49,예상등급!$AK$5:$AK$13,예상등급!$AL$5:$AL$13),IF(N49=예상등급!$AN$1,LOOKUP(O49,예상등급!$AN$5:$AN$13,예상등급!$AO$5:$AO$13),IF(N49=예상등급!$AQ$1,LOOKUP(O49,예상등급!$AQ$5:$AQ$13,예상등급!$AR$5:$AR$13),IF(N49=예상등급!$AH$15,LOOKUP(O49,예상등급!$AH$19:$AH$27,예상등급!$AI$19:$AI$27),IF(N49=예상등급!$AK$15,LOOKUP(O49,예상등급!$AK$19:$AK$27,예상등급!$AL$19:$AL$27),IF(N49=예상등급!$AN$15,LOOKUP(O49,예상등급!$AN$19:$AN$27,예상등급!$AO$19:$AO$27),IF(N49=예상등급!$AQ$15,LOOKUP(O49,예상등급!$AQ$19:$AQ$27,예상등급!$AR$19:$AR$27),"")))))))))))))))))</f>
        <v>3</v>
      </c>
      <c r="Q49" s="110" t="s">
        <v>765</v>
      </c>
      <c r="R49" s="71">
        <v>22</v>
      </c>
      <c r="S49" s="385">
        <f>IF(Q49=예상등급!$G$1,LOOKUP(R49,예상등급!$G$5:$G$13,예상등급!$H$5:$H$13),IF(Q49=예상등급!$J$1,LOOKUP(R49,예상등급!$J$5:$J$13,예상등급!$K$5:$K$13),IF(Q49=예상등급!$M$1,LOOKUP(R49,예상등급!$M$5:$M$13,예상등급!$N$5:$N$13),IF(Q49=예상등급!$P$1,LOOKUP(R49,예상등급!$P$5:$P$13,예상등급!$Q$5:$Q$13),IF(Q49=예상등급!$S$1,LOOKUP(R49,예상등급!$S$5:$S$13,예상등급!$T$5:$T$13),IF(Q49=예상등급!$V$1,LOOKUP(R49,예상등급!$V$5:$V$13,예상등급!$W$5:$W$13),IF(Q49=예상등급!$Y$1,LOOKUP(R49,예상등급!$Y$5:$Y$13,예상등급!$Z$5:$Z$13),IF(Q49=예상등급!$AB$1,LOOKUP(R49,예상등급!$AB$5:$AB$13,예상등급!$AC$5:$AC$13),IF(Q49=예상등급!$AE$1,LOOKUP(R49,예상등급!$AE$5:$AE$13,예상등급!$AF$5:$AF$13),IF(Q49=예상등급!$AH$1,LOOKUP(R49,예상등급!$AH$5:$AH$13,예상등급!$AI$5:$AI$13),IF(Q49=예상등급!$AK$1,LOOKUP(R49,예상등급!$AK$5:$AK$13,예상등급!$AL$5:$AL$13),IF(Q49=예상등급!$AN$1,LOOKUP(R49,예상등급!$AN$5:$AN$13,예상등급!$AO$5:$AO$13),IF(Q49=예상등급!$AQ$1,LOOKUP(R49,예상등급!$AQ$5:$AQ$13,예상등급!$AR$5:$AR$13),IF(Q49=예상등급!$AH$15,LOOKUP(R49,예상등급!$AH$19:$AH$27,예상등급!$AI$19:$AI$27),IF(Q49=예상등급!$AK$15,LOOKUP(R49,예상등급!$AK$19:$AK$27,예상등급!$AL$19:$AL$27),IF(Q49=예상등급!$AN$15,LOOKUP(R49,예상등급!$AN$19:$AN$27,예상등급!$AO$19:$AO$27),IF(Q49=예상등급!$AQ$15,LOOKUP(R49,예상등급!$AQ$19:$AQ$27,예상등급!$AR$19:$AR$27),"")))))))))))))))))</f>
        <v>5</v>
      </c>
      <c r="T49" s="110">
        <v>16</v>
      </c>
      <c r="U49" s="382">
        <f>IF(T49="","",LOOKUP(T49,예상등급!$D$19:$D$27,예상등급!$E$19:$E$27))</f>
        <v>6</v>
      </c>
      <c r="V49" s="402">
        <f>SUM(L49,T49,R49,O49)</f>
        <v>293</v>
      </c>
      <c r="W49" s="278">
        <f>RANK(V49,$V$4:$V$491)</f>
        <v>45</v>
      </c>
      <c r="Y49" s="47"/>
      <c r="Z49" s="47"/>
    </row>
    <row r="50" spans="1:26" s="7" customFormat="1" ht="24.95" customHeight="1" x14ac:dyDescent="0.15">
      <c r="A50" s="110">
        <v>4</v>
      </c>
      <c r="B50" s="71">
        <v>6</v>
      </c>
      <c r="C50" s="100" t="s">
        <v>859</v>
      </c>
      <c r="D50" s="110" t="s">
        <v>779</v>
      </c>
      <c r="E50" s="71">
        <v>49</v>
      </c>
      <c r="F50" s="382">
        <f>IF(D50=예상등급!$A$1,LOOKUP(E50,예상등급!$A$5:$A$13,예상등급!$B$5:$B$13),IF(D50=예상등급!$A$15,LOOKUP(E50,예상등급!$A$19:$A$27,예상등급!$B$19:$B$27),""))</f>
        <v>5</v>
      </c>
      <c r="G50" s="110" t="s">
        <v>781</v>
      </c>
      <c r="H50" s="71">
        <v>76</v>
      </c>
      <c r="I50" s="382">
        <f>IF(G50=예상등급!$G$15,LOOKUP(H50,예상등급!$G$19:$G$27,예상등급!$H$19:$H$27),IF(G50=예상등급!$J$15,LOOKUP(H50,예상등급!$J$19:$J$27,예상등급!$K$19:$K$27),IF(G50=예상등급!$M$15,LOOKUP(H50,예상등급!$M$19:$M$27,예상등급!$N$19:$N$27),"")))</f>
        <v>2</v>
      </c>
      <c r="J50" s="110">
        <v>78</v>
      </c>
      <c r="K50" s="382">
        <f>IF(J50="","",(LOOKUP(J50,예상등급!$D$5:$D$13,예상등급!$E$5:$E$13)))</f>
        <v>3</v>
      </c>
      <c r="L50" s="301">
        <f>SUM(E50,H50,J50)</f>
        <v>203</v>
      </c>
      <c r="M50" s="398">
        <f>RANK(L50,$L$4:$L$491)</f>
        <v>43</v>
      </c>
      <c r="N50" s="110" t="s">
        <v>762</v>
      </c>
      <c r="O50" s="71">
        <v>36</v>
      </c>
      <c r="P50" s="385">
        <f>IF(N50=예상등급!$G$1,LOOKUP(O50,예상등급!$G$5:$G$13,예상등급!$H$5:$H$13),IF(N50=예상등급!$J$1,LOOKUP(O50,예상등급!$J$5:$J$13,예상등급!$K$5:$K$13),IF(N50=예상등급!$M$1,LOOKUP(O50,예상등급!$M$5:$M$13,예상등급!$N$5:$N$13),IF(N50=예상등급!$P$1,LOOKUP(O50,예상등급!$P$5:$P$13,예상등급!$Q$5:$Q$13),IF(N50=예상등급!$S$1,LOOKUP(O50,예상등급!$S$5:$S$13,예상등급!$T$5:$T$13),IF(N50=예상등급!$V$1,LOOKUP(O50,예상등급!$V$5:$V$13,예상등급!$W$5:$W$13),IF(N50=예상등급!$Y$1,LOOKUP(O50,예상등급!$Y$5:$Y$13,예상등급!$Z$5:$Z$13),IF(N50=예상등급!$AB$1,LOOKUP(O50,예상등급!$AB$5:$AB$13,예상등급!$AC$5:$AC$13),IF(N50=예상등급!$AE$1,LOOKUP(O50,예상등급!$AE$5:$AE$13,예상등급!$AF$5:$AF$13),IF(N50=예상등급!$AH$1,LOOKUP(O50,예상등급!$AH$5:$AH$13,예상등급!$AI$5:$AI$13),IF(N50=예상등급!$AK$1,LOOKUP(O50,예상등급!$AK$5:$AK$13,예상등급!$AL$5:$AL$13),IF(N50=예상등급!$AN$1,LOOKUP(O50,예상등급!$AN$5:$AN$13,예상등급!$AO$5:$AO$13),IF(N50=예상등급!$AQ$1,LOOKUP(O50,예상등급!$AQ$5:$AQ$13,예상등급!$AR$5:$AR$13),IF(N50=예상등급!$AH$15,LOOKUP(O50,예상등급!$AH$19:$AH$27,예상등급!$AI$19:$AI$27),IF(N50=예상등급!$AK$15,LOOKUP(O50,예상등급!$AK$19:$AK$27,예상등급!$AL$19:$AL$27),IF(N50=예상등급!$AN$15,LOOKUP(O50,예상등급!$AN$19:$AN$27,예상등급!$AO$19:$AO$27),IF(N50=예상등급!$AQ$15,LOOKUP(O50,예상등급!$AQ$19:$AQ$27,예상등급!$AR$19:$AR$27),"")))))))))))))))))</f>
        <v>3</v>
      </c>
      <c r="Q50" s="110" t="s">
        <v>769</v>
      </c>
      <c r="R50" s="71">
        <v>32</v>
      </c>
      <c r="S50" s="385">
        <f>IF(Q50=예상등급!$G$1,LOOKUP(R50,예상등급!$G$5:$G$13,예상등급!$H$5:$H$13),IF(Q50=예상등급!$J$1,LOOKUP(R50,예상등급!$J$5:$J$13,예상등급!$K$5:$K$13),IF(Q50=예상등급!$M$1,LOOKUP(R50,예상등급!$M$5:$M$13,예상등급!$N$5:$N$13),IF(Q50=예상등급!$P$1,LOOKUP(R50,예상등급!$P$5:$P$13,예상등급!$Q$5:$Q$13),IF(Q50=예상등급!$S$1,LOOKUP(R50,예상등급!$S$5:$S$13,예상등급!$T$5:$T$13),IF(Q50=예상등급!$V$1,LOOKUP(R50,예상등급!$V$5:$V$13,예상등급!$W$5:$W$13),IF(Q50=예상등급!$Y$1,LOOKUP(R50,예상등급!$Y$5:$Y$13,예상등급!$Z$5:$Z$13),IF(Q50=예상등급!$AB$1,LOOKUP(R50,예상등급!$AB$5:$AB$13,예상등급!$AC$5:$AC$13),IF(Q50=예상등급!$AE$1,LOOKUP(R50,예상등급!$AE$5:$AE$13,예상등급!$AF$5:$AF$13),IF(Q50=예상등급!$AH$1,LOOKUP(R50,예상등급!$AH$5:$AH$13,예상등급!$AI$5:$AI$13),IF(Q50=예상등급!$AK$1,LOOKUP(R50,예상등급!$AK$5:$AK$13,예상등급!$AL$5:$AL$13),IF(Q50=예상등급!$AN$1,LOOKUP(R50,예상등급!$AN$5:$AN$13,예상등급!$AO$5:$AO$13),IF(Q50=예상등급!$AQ$1,LOOKUP(R50,예상등급!$AQ$5:$AQ$13,예상등급!$AR$5:$AR$13),IF(Q50=예상등급!$AH$15,LOOKUP(R50,예상등급!$AH$19:$AH$27,예상등급!$AI$19:$AI$27),IF(Q50=예상등급!$AK$15,LOOKUP(R50,예상등급!$AK$19:$AK$27,예상등급!$AL$19:$AL$27),IF(Q50=예상등급!$AN$15,LOOKUP(R50,예상등급!$AN$19:$AN$27,예상등급!$AO$19:$AO$27),IF(Q50=예상등급!$AQ$15,LOOKUP(R50,예상등급!$AQ$19:$AQ$27,예상등급!$AR$19:$AR$27),"")))))))))))))))))</f>
        <v>3</v>
      </c>
      <c r="T50" s="110">
        <v>20</v>
      </c>
      <c r="U50" s="382">
        <f>IF(T50="","",LOOKUP(T50,예상등급!$D$19:$D$27,예상등급!$E$19:$E$27))</f>
        <v>5</v>
      </c>
      <c r="V50" s="402">
        <f>SUM(L50,T50,R50,O50)</f>
        <v>291</v>
      </c>
      <c r="W50" s="278">
        <f>RANK(V50,$V$4:$V$491)</f>
        <v>47</v>
      </c>
      <c r="Y50" s="47"/>
      <c r="Z50" s="47"/>
    </row>
    <row r="51" spans="1:26" s="7" customFormat="1" ht="24.95" customHeight="1" x14ac:dyDescent="0.15">
      <c r="A51" s="110">
        <v>6</v>
      </c>
      <c r="B51" s="71">
        <v>23</v>
      </c>
      <c r="C51" s="100" t="s">
        <v>914</v>
      </c>
      <c r="D51" s="110" t="s">
        <v>779</v>
      </c>
      <c r="E51" s="71">
        <v>61</v>
      </c>
      <c r="F51" s="382">
        <f>IF(D51=예상등급!$A$1,LOOKUP(E51,예상등급!$A$5:$A$13,예상등급!$B$5:$B$13),IF(D51=예상등급!$A$15,LOOKUP(E51,예상등급!$A$19:$A$27,예상등급!$B$19:$B$27),""))</f>
        <v>4</v>
      </c>
      <c r="G51" s="110" t="s">
        <v>780</v>
      </c>
      <c r="H51" s="71">
        <v>51</v>
      </c>
      <c r="I51" s="382">
        <f>IF(G51=예상등급!$G$15,LOOKUP(H51,예상등급!$G$19:$G$27,예상등급!$H$19:$H$27),IF(G51=예상등급!$J$15,LOOKUP(H51,예상등급!$J$19:$J$27,예상등급!$K$19:$K$27),IF(G51=예상등급!$M$15,LOOKUP(H51,예상등급!$M$19:$M$27,예상등급!$N$19:$N$27),"")))</f>
        <v>5</v>
      </c>
      <c r="J51" s="110">
        <v>74</v>
      </c>
      <c r="K51" s="382">
        <f>IF(J51="","",(LOOKUP(J51,예상등급!$D$5:$D$13,예상등급!$E$5:$E$13)))</f>
        <v>3</v>
      </c>
      <c r="L51" s="301">
        <f>SUM(E51,H51,J51)</f>
        <v>186</v>
      </c>
      <c r="M51" s="398">
        <f>RANK(L51,$L$4:$L$491)</f>
        <v>68</v>
      </c>
      <c r="N51" s="110" t="s">
        <v>761</v>
      </c>
      <c r="O51" s="71">
        <v>37</v>
      </c>
      <c r="P51" s="385">
        <f>IF(N51=예상등급!$G$1,LOOKUP(O51,예상등급!$G$5:$G$13,예상등급!$H$5:$H$13),IF(N51=예상등급!$J$1,LOOKUP(O51,예상등급!$J$5:$J$13,예상등급!$K$5:$K$13),IF(N51=예상등급!$M$1,LOOKUP(O51,예상등급!$M$5:$M$13,예상등급!$N$5:$N$13),IF(N51=예상등급!$P$1,LOOKUP(O51,예상등급!$P$5:$P$13,예상등급!$Q$5:$Q$13),IF(N51=예상등급!$S$1,LOOKUP(O51,예상등급!$S$5:$S$13,예상등급!$T$5:$T$13),IF(N51=예상등급!$V$1,LOOKUP(O51,예상등급!$V$5:$V$13,예상등급!$W$5:$W$13),IF(N51=예상등급!$Y$1,LOOKUP(O51,예상등급!$Y$5:$Y$13,예상등급!$Z$5:$Z$13),IF(N51=예상등급!$AB$1,LOOKUP(O51,예상등급!$AB$5:$AB$13,예상등급!$AC$5:$AC$13),IF(N51=예상등급!$AE$1,LOOKUP(O51,예상등급!$AE$5:$AE$13,예상등급!$AF$5:$AF$13),IF(N51=예상등급!$AH$1,LOOKUP(O51,예상등급!$AH$5:$AH$13,예상등급!$AI$5:$AI$13),IF(N51=예상등급!$AK$1,LOOKUP(O51,예상등급!$AK$5:$AK$13,예상등급!$AL$5:$AL$13),IF(N51=예상등급!$AN$1,LOOKUP(O51,예상등급!$AN$5:$AN$13,예상등급!$AO$5:$AO$13),IF(N51=예상등급!$AQ$1,LOOKUP(O51,예상등급!$AQ$5:$AQ$13,예상등급!$AR$5:$AR$13),IF(N51=예상등급!$AH$15,LOOKUP(O51,예상등급!$AH$19:$AH$27,예상등급!$AI$19:$AI$27),IF(N51=예상등급!$AK$15,LOOKUP(O51,예상등급!$AK$19:$AK$27,예상등급!$AL$19:$AL$27),IF(N51=예상등급!$AN$15,LOOKUP(O51,예상등급!$AN$19:$AN$27,예상등급!$AO$19:$AO$27),IF(N51=예상등급!$AQ$15,LOOKUP(O51,예상등급!$AQ$19:$AQ$27,예상등급!$AR$19:$AR$27),"")))))))))))))))))</f>
        <v>2</v>
      </c>
      <c r="Q51" s="110" t="s">
        <v>762</v>
      </c>
      <c r="R51" s="71">
        <v>42</v>
      </c>
      <c r="S51" s="385">
        <f>IF(Q51=예상등급!$G$1,LOOKUP(R51,예상등급!$G$5:$G$13,예상등급!$H$5:$H$13),IF(Q51=예상등급!$J$1,LOOKUP(R51,예상등급!$J$5:$J$13,예상등급!$K$5:$K$13),IF(Q51=예상등급!$M$1,LOOKUP(R51,예상등급!$M$5:$M$13,예상등급!$N$5:$N$13),IF(Q51=예상등급!$P$1,LOOKUP(R51,예상등급!$P$5:$P$13,예상등급!$Q$5:$Q$13),IF(Q51=예상등급!$S$1,LOOKUP(R51,예상등급!$S$5:$S$13,예상등급!$T$5:$T$13),IF(Q51=예상등급!$V$1,LOOKUP(R51,예상등급!$V$5:$V$13,예상등급!$W$5:$W$13),IF(Q51=예상등급!$Y$1,LOOKUP(R51,예상등급!$Y$5:$Y$13,예상등급!$Z$5:$Z$13),IF(Q51=예상등급!$AB$1,LOOKUP(R51,예상등급!$AB$5:$AB$13,예상등급!$AC$5:$AC$13),IF(Q51=예상등급!$AE$1,LOOKUP(R51,예상등급!$AE$5:$AE$13,예상등급!$AF$5:$AF$13),IF(Q51=예상등급!$AH$1,LOOKUP(R51,예상등급!$AH$5:$AH$13,예상등급!$AI$5:$AI$13),IF(Q51=예상등급!$AK$1,LOOKUP(R51,예상등급!$AK$5:$AK$13,예상등급!$AL$5:$AL$13),IF(Q51=예상등급!$AN$1,LOOKUP(R51,예상등급!$AN$5:$AN$13,예상등급!$AO$5:$AO$13),IF(Q51=예상등급!$AQ$1,LOOKUP(R51,예상등급!$AQ$5:$AQ$13,예상등급!$AR$5:$AR$13),IF(Q51=예상등급!$AH$15,LOOKUP(R51,예상등급!$AH$19:$AH$27,예상등급!$AI$19:$AI$27),IF(Q51=예상등급!$AK$15,LOOKUP(R51,예상등급!$AK$19:$AK$27,예상등급!$AL$19:$AL$27),IF(Q51=예상등급!$AN$15,LOOKUP(R51,예상등급!$AN$19:$AN$27,예상등급!$AO$19:$AO$27),IF(Q51=예상등급!$AQ$15,LOOKUP(R51,예상등급!$AQ$19:$AQ$27,예상등급!$AR$19:$AR$27),"")))))))))))))))))</f>
        <v>2</v>
      </c>
      <c r="T51" s="110">
        <v>26</v>
      </c>
      <c r="U51" s="382">
        <f>IF(T51="","",LOOKUP(T51,예상등급!$D$19:$D$27,예상등급!$E$19:$E$27))</f>
        <v>4</v>
      </c>
      <c r="V51" s="402">
        <f>SUM(L51,T51,R51,O51)</f>
        <v>291</v>
      </c>
      <c r="W51" s="278">
        <f>RANK(V51,$V$4:$V$491)</f>
        <v>47</v>
      </c>
      <c r="Y51" s="47"/>
      <c r="Z51" s="47"/>
    </row>
    <row r="52" spans="1:26" s="7" customFormat="1" ht="24.95" customHeight="1" x14ac:dyDescent="0.15">
      <c r="A52" s="110">
        <v>6</v>
      </c>
      <c r="B52" s="71">
        <v>3</v>
      </c>
      <c r="C52" s="100" t="s">
        <v>895</v>
      </c>
      <c r="D52" s="110" t="s">
        <v>779</v>
      </c>
      <c r="E52" s="71">
        <v>61</v>
      </c>
      <c r="F52" s="382">
        <f>IF(D52=예상등급!$A$1,LOOKUP(E52,예상등급!$A$5:$A$13,예상등급!$B$5:$B$13),IF(D52=예상등급!$A$15,LOOKUP(E52,예상등급!$A$19:$A$27,예상등급!$B$19:$B$27),""))</f>
        <v>4</v>
      </c>
      <c r="G52" s="110" t="s">
        <v>780</v>
      </c>
      <c r="H52" s="71">
        <v>61</v>
      </c>
      <c r="I52" s="382">
        <f>IF(G52=예상등급!$G$15,LOOKUP(H52,예상등급!$G$19:$G$27,예상등급!$H$19:$H$27),IF(G52=예상등급!$J$15,LOOKUP(H52,예상등급!$J$19:$J$27,예상등급!$K$19:$K$27),IF(G52=예상등급!$M$15,LOOKUP(H52,예상등급!$M$19:$M$27,예상등급!$N$19:$N$27),"")))</f>
        <v>4</v>
      </c>
      <c r="J52" s="110">
        <v>84</v>
      </c>
      <c r="K52" s="382">
        <f>IF(J52="","",(LOOKUP(J52,예상등급!$D$5:$D$13,예상등급!$E$5:$E$13)))</f>
        <v>2</v>
      </c>
      <c r="L52" s="301">
        <f>SUM(E52,H52,J52)</f>
        <v>206</v>
      </c>
      <c r="M52" s="398">
        <f>RANK(L52,$L$4:$L$491)</f>
        <v>41</v>
      </c>
      <c r="N52" s="110" t="s">
        <v>761</v>
      </c>
      <c r="O52" s="71">
        <v>30</v>
      </c>
      <c r="P52" s="385">
        <f>IF(N52=예상등급!$G$1,LOOKUP(O52,예상등급!$G$5:$G$13,예상등급!$H$5:$H$13),IF(N52=예상등급!$J$1,LOOKUP(O52,예상등급!$J$5:$J$13,예상등급!$K$5:$K$13),IF(N52=예상등급!$M$1,LOOKUP(O52,예상등급!$M$5:$M$13,예상등급!$N$5:$N$13),IF(N52=예상등급!$P$1,LOOKUP(O52,예상등급!$P$5:$P$13,예상등급!$Q$5:$Q$13),IF(N52=예상등급!$S$1,LOOKUP(O52,예상등급!$S$5:$S$13,예상등급!$T$5:$T$13),IF(N52=예상등급!$V$1,LOOKUP(O52,예상등급!$V$5:$V$13,예상등급!$W$5:$W$13),IF(N52=예상등급!$Y$1,LOOKUP(O52,예상등급!$Y$5:$Y$13,예상등급!$Z$5:$Z$13),IF(N52=예상등급!$AB$1,LOOKUP(O52,예상등급!$AB$5:$AB$13,예상등급!$AC$5:$AC$13),IF(N52=예상등급!$AE$1,LOOKUP(O52,예상등급!$AE$5:$AE$13,예상등급!$AF$5:$AF$13),IF(N52=예상등급!$AH$1,LOOKUP(O52,예상등급!$AH$5:$AH$13,예상등급!$AI$5:$AI$13),IF(N52=예상등급!$AK$1,LOOKUP(O52,예상등급!$AK$5:$AK$13,예상등급!$AL$5:$AL$13),IF(N52=예상등급!$AN$1,LOOKUP(O52,예상등급!$AN$5:$AN$13,예상등급!$AO$5:$AO$13),IF(N52=예상등급!$AQ$1,LOOKUP(O52,예상등급!$AQ$5:$AQ$13,예상등급!$AR$5:$AR$13),IF(N52=예상등급!$AH$15,LOOKUP(O52,예상등급!$AH$19:$AH$27,예상등급!$AI$19:$AI$27),IF(N52=예상등급!$AK$15,LOOKUP(O52,예상등급!$AK$19:$AK$27,예상등급!$AL$19:$AL$27),IF(N52=예상등급!$AN$15,LOOKUP(O52,예상등급!$AN$19:$AN$27,예상등급!$AO$19:$AO$27),IF(N52=예상등급!$AQ$15,LOOKUP(O52,예상등급!$AQ$19:$AQ$27,예상등급!$AR$19:$AR$27),"")))))))))))))))))</f>
        <v>3</v>
      </c>
      <c r="Q52" s="110" t="s">
        <v>772</v>
      </c>
      <c r="R52" s="71">
        <v>26</v>
      </c>
      <c r="S52" s="385">
        <f>IF(Q52=예상등급!$G$1,LOOKUP(R52,예상등급!$G$5:$G$13,예상등급!$H$5:$H$13),IF(Q52=예상등급!$J$1,LOOKUP(R52,예상등급!$J$5:$J$13,예상등급!$K$5:$K$13),IF(Q52=예상등급!$M$1,LOOKUP(R52,예상등급!$M$5:$M$13,예상등급!$N$5:$N$13),IF(Q52=예상등급!$P$1,LOOKUP(R52,예상등급!$P$5:$P$13,예상등급!$Q$5:$Q$13),IF(Q52=예상등급!$S$1,LOOKUP(R52,예상등급!$S$5:$S$13,예상등급!$T$5:$T$13),IF(Q52=예상등급!$V$1,LOOKUP(R52,예상등급!$V$5:$V$13,예상등급!$W$5:$W$13),IF(Q52=예상등급!$Y$1,LOOKUP(R52,예상등급!$Y$5:$Y$13,예상등급!$Z$5:$Z$13),IF(Q52=예상등급!$AB$1,LOOKUP(R52,예상등급!$AB$5:$AB$13,예상등급!$AC$5:$AC$13),IF(Q52=예상등급!$AE$1,LOOKUP(R52,예상등급!$AE$5:$AE$13,예상등급!$AF$5:$AF$13),IF(Q52=예상등급!$AH$1,LOOKUP(R52,예상등급!$AH$5:$AH$13,예상등급!$AI$5:$AI$13),IF(Q52=예상등급!$AK$1,LOOKUP(R52,예상등급!$AK$5:$AK$13,예상등급!$AL$5:$AL$13),IF(Q52=예상등급!$AN$1,LOOKUP(R52,예상등급!$AN$5:$AN$13,예상등급!$AO$5:$AO$13),IF(Q52=예상등급!$AQ$1,LOOKUP(R52,예상등급!$AQ$5:$AQ$13,예상등급!$AR$5:$AR$13),IF(Q52=예상등급!$AH$15,LOOKUP(R52,예상등급!$AH$19:$AH$27,예상등급!$AI$19:$AI$27),IF(Q52=예상등급!$AK$15,LOOKUP(R52,예상등급!$AK$19:$AK$27,예상등급!$AL$19:$AL$27),IF(Q52=예상등급!$AN$15,LOOKUP(R52,예상등급!$AN$19:$AN$27,예상등급!$AO$19:$AO$27),IF(Q52=예상등급!$AQ$15,LOOKUP(R52,예상등급!$AQ$19:$AQ$27,예상등급!$AR$19:$AR$27),"")))))))))))))))))</f>
        <v>3</v>
      </c>
      <c r="T52" s="110">
        <v>28</v>
      </c>
      <c r="U52" s="382">
        <f>IF(T52="","",LOOKUP(T52,예상등급!$D$19:$D$27,예상등급!$E$19:$E$27))</f>
        <v>4</v>
      </c>
      <c r="V52" s="402">
        <f>SUM(L52,T52,R52,O52)</f>
        <v>290</v>
      </c>
      <c r="W52" s="278">
        <f>RANK(V52,$V$4:$V$491)</f>
        <v>49</v>
      </c>
      <c r="Y52" s="47"/>
      <c r="Z52" s="47"/>
    </row>
    <row r="53" spans="1:26" s="7" customFormat="1" ht="24.95" customHeight="1" x14ac:dyDescent="0.15">
      <c r="A53" s="110">
        <v>3</v>
      </c>
      <c r="B53" s="71">
        <v>5</v>
      </c>
      <c r="C53" s="100" t="s">
        <v>842</v>
      </c>
      <c r="D53" s="110" t="s">
        <v>779</v>
      </c>
      <c r="E53" s="71">
        <v>52</v>
      </c>
      <c r="F53" s="382">
        <f>IF(D53=예상등급!$A$1,LOOKUP(E53,예상등급!$A$5:$A$13,예상등급!$B$5:$B$13),IF(D53=예상등급!$A$15,LOOKUP(E53,예상등급!$A$19:$A$27,예상등급!$B$19:$B$27),""))</f>
        <v>4</v>
      </c>
      <c r="G53" s="110" t="s">
        <v>781</v>
      </c>
      <c r="H53" s="71">
        <v>70</v>
      </c>
      <c r="I53" s="382">
        <f>IF(G53=예상등급!$G$15,LOOKUP(H53,예상등급!$G$19:$G$27,예상등급!$H$19:$H$27),IF(G53=예상등급!$J$15,LOOKUP(H53,예상등급!$J$19:$J$27,예상등급!$K$19:$K$27),IF(G53=예상등급!$M$15,LOOKUP(H53,예상등급!$M$19:$M$27,예상등급!$N$19:$N$27),"")))</f>
        <v>3</v>
      </c>
      <c r="J53" s="110">
        <v>75</v>
      </c>
      <c r="K53" s="382">
        <f>IF(J53="","",(LOOKUP(J53,예상등급!$D$5:$D$13,예상등급!$E$5:$E$13)))</f>
        <v>3</v>
      </c>
      <c r="L53" s="301">
        <f>SUM(E53,H53,J53)</f>
        <v>197</v>
      </c>
      <c r="M53" s="398">
        <f>RANK(L53,$L$4:$L$491)</f>
        <v>52</v>
      </c>
      <c r="N53" s="110" t="s">
        <v>764</v>
      </c>
      <c r="O53" s="71">
        <v>22</v>
      </c>
      <c r="P53" s="385">
        <f>IF(N53=예상등급!$G$1,LOOKUP(O53,예상등급!$G$5:$G$13,예상등급!$H$5:$H$13),IF(N53=예상등급!$J$1,LOOKUP(O53,예상등급!$J$5:$J$13,예상등급!$K$5:$K$13),IF(N53=예상등급!$M$1,LOOKUP(O53,예상등급!$M$5:$M$13,예상등급!$N$5:$N$13),IF(N53=예상등급!$P$1,LOOKUP(O53,예상등급!$P$5:$P$13,예상등급!$Q$5:$Q$13),IF(N53=예상등급!$S$1,LOOKUP(O53,예상등급!$S$5:$S$13,예상등급!$T$5:$T$13),IF(N53=예상등급!$V$1,LOOKUP(O53,예상등급!$V$5:$V$13,예상등급!$W$5:$W$13),IF(N53=예상등급!$Y$1,LOOKUP(O53,예상등급!$Y$5:$Y$13,예상등급!$Z$5:$Z$13),IF(N53=예상등급!$AB$1,LOOKUP(O53,예상등급!$AB$5:$AB$13,예상등급!$AC$5:$AC$13),IF(N53=예상등급!$AE$1,LOOKUP(O53,예상등급!$AE$5:$AE$13,예상등급!$AF$5:$AF$13),IF(N53=예상등급!$AH$1,LOOKUP(O53,예상등급!$AH$5:$AH$13,예상등급!$AI$5:$AI$13),IF(N53=예상등급!$AK$1,LOOKUP(O53,예상등급!$AK$5:$AK$13,예상등급!$AL$5:$AL$13),IF(N53=예상등급!$AN$1,LOOKUP(O53,예상등급!$AN$5:$AN$13,예상등급!$AO$5:$AO$13),IF(N53=예상등급!$AQ$1,LOOKUP(O53,예상등급!$AQ$5:$AQ$13,예상등급!$AR$5:$AR$13),IF(N53=예상등급!$AH$15,LOOKUP(O53,예상등급!$AH$19:$AH$27,예상등급!$AI$19:$AI$27),IF(N53=예상등급!$AK$15,LOOKUP(O53,예상등급!$AK$19:$AK$27,예상등급!$AL$19:$AL$27),IF(N53=예상등급!$AN$15,LOOKUP(O53,예상등급!$AN$19:$AN$27,예상등급!$AO$19:$AO$27),IF(N53=예상등급!$AQ$15,LOOKUP(O53,예상등급!$AQ$19:$AQ$27,예상등급!$AR$19:$AR$27),"")))))))))))))))))</f>
        <v>4</v>
      </c>
      <c r="Q53" s="110" t="s">
        <v>763</v>
      </c>
      <c r="R53" s="71">
        <v>33</v>
      </c>
      <c r="S53" s="385">
        <f>IF(Q53=예상등급!$G$1,LOOKUP(R53,예상등급!$G$5:$G$13,예상등급!$H$5:$H$13),IF(Q53=예상등급!$J$1,LOOKUP(R53,예상등급!$J$5:$J$13,예상등급!$K$5:$K$13),IF(Q53=예상등급!$M$1,LOOKUP(R53,예상등급!$M$5:$M$13,예상등급!$N$5:$N$13),IF(Q53=예상등급!$P$1,LOOKUP(R53,예상등급!$P$5:$P$13,예상등급!$Q$5:$Q$13),IF(Q53=예상등급!$S$1,LOOKUP(R53,예상등급!$S$5:$S$13,예상등급!$T$5:$T$13),IF(Q53=예상등급!$V$1,LOOKUP(R53,예상등급!$V$5:$V$13,예상등급!$W$5:$W$13),IF(Q53=예상등급!$Y$1,LOOKUP(R53,예상등급!$Y$5:$Y$13,예상등급!$Z$5:$Z$13),IF(Q53=예상등급!$AB$1,LOOKUP(R53,예상등급!$AB$5:$AB$13,예상등급!$AC$5:$AC$13),IF(Q53=예상등급!$AE$1,LOOKUP(R53,예상등급!$AE$5:$AE$13,예상등급!$AF$5:$AF$13),IF(Q53=예상등급!$AH$1,LOOKUP(R53,예상등급!$AH$5:$AH$13,예상등급!$AI$5:$AI$13),IF(Q53=예상등급!$AK$1,LOOKUP(R53,예상등급!$AK$5:$AK$13,예상등급!$AL$5:$AL$13),IF(Q53=예상등급!$AN$1,LOOKUP(R53,예상등급!$AN$5:$AN$13,예상등급!$AO$5:$AO$13),IF(Q53=예상등급!$AQ$1,LOOKUP(R53,예상등급!$AQ$5:$AQ$13,예상등급!$AR$5:$AR$13),IF(Q53=예상등급!$AH$15,LOOKUP(R53,예상등급!$AH$19:$AH$27,예상등급!$AI$19:$AI$27),IF(Q53=예상등급!$AK$15,LOOKUP(R53,예상등급!$AK$19:$AK$27,예상등급!$AL$19:$AL$27),IF(Q53=예상등급!$AN$15,LOOKUP(R53,예상등급!$AN$19:$AN$27,예상등급!$AO$19:$AO$27),IF(Q53=예상등급!$AQ$15,LOOKUP(R53,예상등급!$AQ$19:$AQ$27,예상등급!$AR$19:$AR$27),"")))))))))))))))))</f>
        <v>3</v>
      </c>
      <c r="T53" s="110">
        <v>36</v>
      </c>
      <c r="U53" s="382">
        <f>IF(T53="","",LOOKUP(T53,예상등급!$D$19:$D$27,예상등급!$E$19:$E$27))</f>
        <v>2</v>
      </c>
      <c r="V53" s="402">
        <f>SUM(L53,T53,R53,O53)</f>
        <v>288</v>
      </c>
      <c r="W53" s="278">
        <f>RANK(V53,$V$4:$V$491)</f>
        <v>50</v>
      </c>
      <c r="Y53" s="150"/>
      <c r="Z53" s="150"/>
    </row>
    <row r="54" spans="1:26" s="7" customFormat="1" ht="24.95" customHeight="1" x14ac:dyDescent="0.15">
      <c r="A54" s="110">
        <v>3</v>
      </c>
      <c r="B54" s="71">
        <v>1</v>
      </c>
      <c r="C54" s="100" t="s">
        <v>720</v>
      </c>
      <c r="D54" s="110" t="s">
        <v>778</v>
      </c>
      <c r="E54" s="71">
        <v>61</v>
      </c>
      <c r="F54" s="382">
        <f>IF(D54=예상등급!$A$1,LOOKUP(E54,예상등급!$A$5:$A$13,예상등급!$B$5:$B$13),IF(D54=예상등급!$A$15,LOOKUP(E54,예상등급!$A$19:$A$27,예상등급!$B$19:$B$27),""))</f>
        <v>3</v>
      </c>
      <c r="G54" s="110" t="s">
        <v>781</v>
      </c>
      <c r="H54" s="71">
        <v>67</v>
      </c>
      <c r="I54" s="382">
        <f>IF(G54=예상등급!$G$15,LOOKUP(H54,예상등급!$G$19:$G$27,예상등급!$H$19:$H$27),IF(G54=예상등급!$J$15,LOOKUP(H54,예상등급!$J$19:$J$27,예상등급!$K$19:$K$27),IF(G54=예상등급!$M$15,LOOKUP(H54,예상등급!$M$19:$M$27,예상등급!$N$19:$N$27),"")))</f>
        <v>3</v>
      </c>
      <c r="J54" s="110">
        <v>70</v>
      </c>
      <c r="K54" s="382">
        <f>IF(J54="","",(LOOKUP(J54,예상등급!$D$5:$D$13,예상등급!$E$5:$E$13)))</f>
        <v>3</v>
      </c>
      <c r="L54" s="301">
        <f>SUM(E54,H54,J54)</f>
        <v>198</v>
      </c>
      <c r="M54" s="398">
        <f>RANK(L54,$L$4:$L$491)</f>
        <v>49</v>
      </c>
      <c r="N54" s="110" t="s">
        <v>769</v>
      </c>
      <c r="O54" s="71">
        <v>18</v>
      </c>
      <c r="P54" s="385">
        <f>IF(N54=예상등급!$G$1,LOOKUP(O54,예상등급!$G$5:$G$13,예상등급!$H$5:$H$13),IF(N54=예상등급!$J$1,LOOKUP(O54,예상등급!$J$5:$J$13,예상등급!$K$5:$K$13),IF(N54=예상등급!$M$1,LOOKUP(O54,예상등급!$M$5:$M$13,예상등급!$N$5:$N$13),IF(N54=예상등급!$P$1,LOOKUP(O54,예상등급!$P$5:$P$13,예상등급!$Q$5:$Q$13),IF(N54=예상등급!$S$1,LOOKUP(O54,예상등급!$S$5:$S$13,예상등급!$T$5:$T$13),IF(N54=예상등급!$V$1,LOOKUP(O54,예상등급!$V$5:$V$13,예상등급!$W$5:$W$13),IF(N54=예상등급!$Y$1,LOOKUP(O54,예상등급!$Y$5:$Y$13,예상등급!$Z$5:$Z$13),IF(N54=예상등급!$AB$1,LOOKUP(O54,예상등급!$AB$5:$AB$13,예상등급!$AC$5:$AC$13),IF(N54=예상등급!$AE$1,LOOKUP(O54,예상등급!$AE$5:$AE$13,예상등급!$AF$5:$AF$13),IF(N54=예상등급!$AH$1,LOOKUP(O54,예상등급!$AH$5:$AH$13,예상등급!$AI$5:$AI$13),IF(N54=예상등급!$AK$1,LOOKUP(O54,예상등급!$AK$5:$AK$13,예상등급!$AL$5:$AL$13),IF(N54=예상등급!$AN$1,LOOKUP(O54,예상등급!$AN$5:$AN$13,예상등급!$AO$5:$AO$13),IF(N54=예상등급!$AQ$1,LOOKUP(O54,예상등급!$AQ$5:$AQ$13,예상등급!$AR$5:$AR$13),IF(N54=예상등급!$AH$15,LOOKUP(O54,예상등급!$AH$19:$AH$27,예상등급!$AI$19:$AI$27),IF(N54=예상등급!$AK$15,LOOKUP(O54,예상등급!$AK$19:$AK$27,예상등급!$AL$19:$AL$27),IF(N54=예상등급!$AN$15,LOOKUP(O54,예상등급!$AN$19:$AN$27,예상등급!$AO$19:$AO$27),IF(N54=예상등급!$AQ$15,LOOKUP(O54,예상등급!$AQ$19:$AQ$27,예상등급!$AR$19:$AR$27),"")))))))))))))))))</f>
        <v>5</v>
      </c>
      <c r="Q54" s="110" t="s">
        <v>771</v>
      </c>
      <c r="R54" s="71">
        <v>31</v>
      </c>
      <c r="S54" s="385">
        <f>IF(Q54=예상등급!$G$1,LOOKUP(R54,예상등급!$G$5:$G$13,예상등급!$H$5:$H$13),IF(Q54=예상등급!$J$1,LOOKUP(R54,예상등급!$J$5:$J$13,예상등급!$K$5:$K$13),IF(Q54=예상등급!$M$1,LOOKUP(R54,예상등급!$M$5:$M$13,예상등급!$N$5:$N$13),IF(Q54=예상등급!$P$1,LOOKUP(R54,예상등급!$P$5:$P$13,예상등급!$Q$5:$Q$13),IF(Q54=예상등급!$S$1,LOOKUP(R54,예상등급!$S$5:$S$13,예상등급!$T$5:$T$13),IF(Q54=예상등급!$V$1,LOOKUP(R54,예상등급!$V$5:$V$13,예상등급!$W$5:$W$13),IF(Q54=예상등급!$Y$1,LOOKUP(R54,예상등급!$Y$5:$Y$13,예상등급!$Z$5:$Z$13),IF(Q54=예상등급!$AB$1,LOOKUP(R54,예상등급!$AB$5:$AB$13,예상등급!$AC$5:$AC$13),IF(Q54=예상등급!$AE$1,LOOKUP(R54,예상등급!$AE$5:$AE$13,예상등급!$AF$5:$AF$13),IF(Q54=예상등급!$AH$1,LOOKUP(R54,예상등급!$AH$5:$AH$13,예상등급!$AI$5:$AI$13),IF(Q54=예상등급!$AK$1,LOOKUP(R54,예상등급!$AK$5:$AK$13,예상등급!$AL$5:$AL$13),IF(Q54=예상등급!$AN$1,LOOKUP(R54,예상등급!$AN$5:$AN$13,예상등급!$AO$5:$AO$13),IF(Q54=예상등급!$AQ$1,LOOKUP(R54,예상등급!$AQ$5:$AQ$13,예상등급!$AR$5:$AR$13),IF(Q54=예상등급!$AH$15,LOOKUP(R54,예상등급!$AH$19:$AH$27,예상등급!$AI$19:$AI$27),IF(Q54=예상등급!$AK$15,LOOKUP(R54,예상등급!$AK$19:$AK$27,예상등급!$AL$19:$AL$27),IF(Q54=예상등급!$AN$15,LOOKUP(R54,예상등급!$AN$19:$AN$27,예상등급!$AO$19:$AO$27),IF(Q54=예상등급!$AQ$15,LOOKUP(R54,예상등급!$AQ$19:$AQ$27,예상등급!$AR$19:$AR$27),"")))))))))))))))))</f>
        <v>3</v>
      </c>
      <c r="T54" s="110">
        <v>39</v>
      </c>
      <c r="U54" s="382">
        <f>IF(T54="","",LOOKUP(T54,예상등급!$D$19:$D$27,예상등급!$E$19:$E$27))</f>
        <v>2</v>
      </c>
      <c r="V54" s="402">
        <f>SUM(L54,T54,R54,O54)</f>
        <v>286</v>
      </c>
      <c r="W54" s="278">
        <f>RANK(V54,$V$4:$V$491)</f>
        <v>51</v>
      </c>
    </row>
    <row r="55" spans="1:26" s="7" customFormat="1" ht="24.95" customHeight="1" x14ac:dyDescent="0.15">
      <c r="A55" s="110">
        <v>7</v>
      </c>
      <c r="B55" s="71">
        <v>21</v>
      </c>
      <c r="C55" s="100" t="s">
        <v>934</v>
      </c>
      <c r="D55" s="110" t="s">
        <v>779</v>
      </c>
      <c r="E55" s="71">
        <v>80</v>
      </c>
      <c r="F55" s="382">
        <f>IF(D55=예상등급!$A$1,LOOKUP(E55,예상등급!$A$5:$A$13,예상등급!$B$5:$B$13),IF(D55=예상등급!$A$15,LOOKUP(E55,예상등급!$A$19:$A$27,예상등급!$B$19:$B$27),""))</f>
        <v>1</v>
      </c>
      <c r="G55" s="110" t="s">
        <v>781</v>
      </c>
      <c r="H55" s="71">
        <v>48</v>
      </c>
      <c r="I55" s="382">
        <f>IF(G55=예상등급!$G$15,LOOKUP(H55,예상등급!$G$19:$G$27,예상등급!$H$19:$H$27),IF(G55=예상등급!$J$15,LOOKUP(H55,예상등급!$J$19:$J$27,예상등급!$K$19:$K$27),IF(G55=예상등급!$M$15,LOOKUP(H55,예상등급!$M$19:$M$27,예상등급!$N$19:$N$27),"")))</f>
        <v>5</v>
      </c>
      <c r="J55" s="110">
        <v>81</v>
      </c>
      <c r="K55" s="382">
        <f>IF(J55="","",(LOOKUP(J55,예상등급!$D$5:$D$13,예상등급!$E$5:$E$13)))</f>
        <v>2</v>
      </c>
      <c r="L55" s="301">
        <f>SUM(E55,H55,J55)</f>
        <v>209</v>
      </c>
      <c r="M55" s="398">
        <f>RANK(L55,$L$4:$L$491)</f>
        <v>38</v>
      </c>
      <c r="N55" s="110" t="s">
        <v>765</v>
      </c>
      <c r="O55" s="71">
        <v>21</v>
      </c>
      <c r="P55" s="385">
        <f>IF(N55=예상등급!$G$1,LOOKUP(O55,예상등급!$G$5:$G$13,예상등급!$H$5:$H$13),IF(N55=예상등급!$J$1,LOOKUP(O55,예상등급!$J$5:$J$13,예상등급!$K$5:$K$13),IF(N55=예상등급!$M$1,LOOKUP(O55,예상등급!$M$5:$M$13,예상등급!$N$5:$N$13),IF(N55=예상등급!$P$1,LOOKUP(O55,예상등급!$P$5:$P$13,예상등급!$Q$5:$Q$13),IF(N55=예상등급!$S$1,LOOKUP(O55,예상등급!$S$5:$S$13,예상등급!$T$5:$T$13),IF(N55=예상등급!$V$1,LOOKUP(O55,예상등급!$V$5:$V$13,예상등급!$W$5:$W$13),IF(N55=예상등급!$Y$1,LOOKUP(O55,예상등급!$Y$5:$Y$13,예상등급!$Z$5:$Z$13),IF(N55=예상등급!$AB$1,LOOKUP(O55,예상등급!$AB$5:$AB$13,예상등급!$AC$5:$AC$13),IF(N55=예상등급!$AE$1,LOOKUP(O55,예상등급!$AE$5:$AE$13,예상등급!$AF$5:$AF$13),IF(N55=예상등급!$AH$1,LOOKUP(O55,예상등급!$AH$5:$AH$13,예상등급!$AI$5:$AI$13),IF(N55=예상등급!$AK$1,LOOKUP(O55,예상등급!$AK$5:$AK$13,예상등급!$AL$5:$AL$13),IF(N55=예상등급!$AN$1,LOOKUP(O55,예상등급!$AN$5:$AN$13,예상등급!$AO$5:$AO$13),IF(N55=예상등급!$AQ$1,LOOKUP(O55,예상등급!$AQ$5:$AQ$13,예상등급!$AR$5:$AR$13),IF(N55=예상등급!$AH$15,LOOKUP(O55,예상등급!$AH$19:$AH$27,예상등급!$AI$19:$AI$27),IF(N55=예상등급!$AK$15,LOOKUP(O55,예상등급!$AK$19:$AK$27,예상등급!$AL$19:$AL$27),IF(N55=예상등급!$AN$15,LOOKUP(O55,예상등급!$AN$19:$AN$27,예상등급!$AO$19:$AO$27),IF(N55=예상등급!$AQ$15,LOOKUP(O55,예상등급!$AQ$19:$AQ$27,예상등급!$AR$19:$AR$27),"")))))))))))))))))</f>
        <v>5</v>
      </c>
      <c r="Q55" s="110" t="s">
        <v>762</v>
      </c>
      <c r="R55" s="71">
        <v>41</v>
      </c>
      <c r="S55" s="385">
        <f>IF(Q55=예상등급!$G$1,LOOKUP(R55,예상등급!$G$5:$G$13,예상등급!$H$5:$H$13),IF(Q55=예상등급!$J$1,LOOKUP(R55,예상등급!$J$5:$J$13,예상등급!$K$5:$K$13),IF(Q55=예상등급!$M$1,LOOKUP(R55,예상등급!$M$5:$M$13,예상등급!$N$5:$N$13),IF(Q55=예상등급!$P$1,LOOKUP(R55,예상등급!$P$5:$P$13,예상등급!$Q$5:$Q$13),IF(Q55=예상등급!$S$1,LOOKUP(R55,예상등급!$S$5:$S$13,예상등급!$T$5:$T$13),IF(Q55=예상등급!$V$1,LOOKUP(R55,예상등급!$V$5:$V$13,예상등급!$W$5:$W$13),IF(Q55=예상등급!$Y$1,LOOKUP(R55,예상등급!$Y$5:$Y$13,예상등급!$Z$5:$Z$13),IF(Q55=예상등급!$AB$1,LOOKUP(R55,예상등급!$AB$5:$AB$13,예상등급!$AC$5:$AC$13),IF(Q55=예상등급!$AE$1,LOOKUP(R55,예상등급!$AE$5:$AE$13,예상등급!$AF$5:$AF$13),IF(Q55=예상등급!$AH$1,LOOKUP(R55,예상등급!$AH$5:$AH$13,예상등급!$AI$5:$AI$13),IF(Q55=예상등급!$AK$1,LOOKUP(R55,예상등급!$AK$5:$AK$13,예상등급!$AL$5:$AL$13),IF(Q55=예상등급!$AN$1,LOOKUP(R55,예상등급!$AN$5:$AN$13,예상등급!$AO$5:$AO$13),IF(Q55=예상등급!$AQ$1,LOOKUP(R55,예상등급!$AQ$5:$AQ$13,예상등급!$AR$5:$AR$13),IF(Q55=예상등급!$AH$15,LOOKUP(R55,예상등급!$AH$19:$AH$27,예상등급!$AI$19:$AI$27),IF(Q55=예상등급!$AK$15,LOOKUP(R55,예상등급!$AK$19:$AK$27,예상등급!$AL$19:$AL$27),IF(Q55=예상등급!$AN$15,LOOKUP(R55,예상등급!$AN$19:$AN$27,예상등급!$AO$19:$AO$27),IF(Q55=예상등급!$AQ$15,LOOKUP(R55,예상등급!$AQ$19:$AQ$27,예상등급!$AR$19:$AR$27),"")))))))))))))))))</f>
        <v>2</v>
      </c>
      <c r="T55" s="110">
        <v>15</v>
      </c>
      <c r="U55" s="382">
        <f>IF(T55="","",LOOKUP(T55,예상등급!$D$19:$D$27,예상등급!$E$19:$E$27))</f>
        <v>6</v>
      </c>
      <c r="V55" s="402">
        <f>SUM(L55,T55,R55,O55)</f>
        <v>286</v>
      </c>
      <c r="W55" s="278">
        <f>RANK(V55,$V$4:$V$491)</f>
        <v>51</v>
      </c>
    </row>
    <row r="56" spans="1:26" s="7" customFormat="1" ht="24.95" customHeight="1" x14ac:dyDescent="0.15">
      <c r="A56" s="110">
        <v>5</v>
      </c>
      <c r="B56" s="71">
        <v>25</v>
      </c>
      <c r="C56" s="100" t="s">
        <v>892</v>
      </c>
      <c r="D56" s="110" t="s">
        <v>778</v>
      </c>
      <c r="E56" s="71">
        <v>64</v>
      </c>
      <c r="F56" s="382">
        <f>IF(D56=예상등급!$A$1,LOOKUP(E56,예상등급!$A$5:$A$13,예상등급!$B$5:$B$13),IF(D56=예상등급!$A$15,LOOKUP(E56,예상등급!$A$19:$A$27,예상등급!$B$19:$B$27),""))</f>
        <v>3</v>
      </c>
      <c r="G56" s="110" t="s">
        <v>782</v>
      </c>
      <c r="H56" s="71">
        <v>69</v>
      </c>
      <c r="I56" s="382">
        <f>IF(G56=예상등급!$G$15,LOOKUP(H56,예상등급!$G$19:$G$27,예상등급!$H$19:$H$27),IF(G56=예상등급!$J$15,LOOKUP(H56,예상등급!$J$19:$J$27,예상등급!$K$19:$K$27),IF(G56=예상등급!$M$15,LOOKUP(H56,예상등급!$M$19:$M$27,예상등급!$N$19:$N$27),"")))</f>
        <v>3</v>
      </c>
      <c r="J56" s="110">
        <v>68</v>
      </c>
      <c r="K56" s="382">
        <f>IF(J56="","",(LOOKUP(J56,예상등급!$D$5:$D$13,예상등급!$E$5:$E$13)))</f>
        <v>4</v>
      </c>
      <c r="L56" s="301">
        <f>SUM(E56,H56,J56)</f>
        <v>201</v>
      </c>
      <c r="M56" s="398">
        <f>RANK(L56,$L$4:$L$491)</f>
        <v>45</v>
      </c>
      <c r="N56" s="110" t="s">
        <v>770</v>
      </c>
      <c r="O56" s="71">
        <v>25</v>
      </c>
      <c r="P56" s="385">
        <f>IF(N56=예상등급!$G$1,LOOKUP(O56,예상등급!$G$5:$G$13,예상등급!$H$5:$H$13),IF(N56=예상등급!$J$1,LOOKUP(O56,예상등급!$J$5:$J$13,예상등급!$K$5:$K$13),IF(N56=예상등급!$M$1,LOOKUP(O56,예상등급!$M$5:$M$13,예상등급!$N$5:$N$13),IF(N56=예상등급!$P$1,LOOKUP(O56,예상등급!$P$5:$P$13,예상등급!$Q$5:$Q$13),IF(N56=예상등급!$S$1,LOOKUP(O56,예상등급!$S$5:$S$13,예상등급!$T$5:$T$13),IF(N56=예상등급!$V$1,LOOKUP(O56,예상등급!$V$5:$V$13,예상등급!$W$5:$W$13),IF(N56=예상등급!$Y$1,LOOKUP(O56,예상등급!$Y$5:$Y$13,예상등급!$Z$5:$Z$13),IF(N56=예상등급!$AB$1,LOOKUP(O56,예상등급!$AB$5:$AB$13,예상등급!$AC$5:$AC$13),IF(N56=예상등급!$AE$1,LOOKUP(O56,예상등급!$AE$5:$AE$13,예상등급!$AF$5:$AF$13),IF(N56=예상등급!$AH$1,LOOKUP(O56,예상등급!$AH$5:$AH$13,예상등급!$AI$5:$AI$13),IF(N56=예상등급!$AK$1,LOOKUP(O56,예상등급!$AK$5:$AK$13,예상등급!$AL$5:$AL$13),IF(N56=예상등급!$AN$1,LOOKUP(O56,예상등급!$AN$5:$AN$13,예상등급!$AO$5:$AO$13),IF(N56=예상등급!$AQ$1,LOOKUP(O56,예상등급!$AQ$5:$AQ$13,예상등급!$AR$5:$AR$13),IF(N56=예상등급!$AH$15,LOOKUP(O56,예상등급!$AH$19:$AH$27,예상등급!$AI$19:$AI$27),IF(N56=예상등급!$AK$15,LOOKUP(O56,예상등급!$AK$19:$AK$27,예상등급!$AL$19:$AL$27),IF(N56=예상등급!$AN$15,LOOKUP(O56,예상등급!$AN$19:$AN$27,예상등급!$AO$19:$AO$27),IF(N56=예상등급!$AQ$15,LOOKUP(O56,예상등급!$AQ$19:$AQ$27,예상등급!$AR$19:$AR$27),"")))))))))))))))))</f>
        <v>5</v>
      </c>
      <c r="Q56" s="110" t="s">
        <v>762</v>
      </c>
      <c r="R56" s="71">
        <v>22</v>
      </c>
      <c r="S56" s="385">
        <f>IF(Q56=예상등급!$G$1,LOOKUP(R56,예상등급!$G$5:$G$13,예상등급!$H$5:$H$13),IF(Q56=예상등급!$J$1,LOOKUP(R56,예상등급!$J$5:$J$13,예상등급!$K$5:$K$13),IF(Q56=예상등급!$M$1,LOOKUP(R56,예상등급!$M$5:$M$13,예상등급!$N$5:$N$13),IF(Q56=예상등급!$P$1,LOOKUP(R56,예상등급!$P$5:$P$13,예상등급!$Q$5:$Q$13),IF(Q56=예상등급!$S$1,LOOKUP(R56,예상등급!$S$5:$S$13,예상등급!$T$5:$T$13),IF(Q56=예상등급!$V$1,LOOKUP(R56,예상등급!$V$5:$V$13,예상등급!$W$5:$W$13),IF(Q56=예상등급!$Y$1,LOOKUP(R56,예상등급!$Y$5:$Y$13,예상등급!$Z$5:$Z$13),IF(Q56=예상등급!$AB$1,LOOKUP(R56,예상등급!$AB$5:$AB$13,예상등급!$AC$5:$AC$13),IF(Q56=예상등급!$AE$1,LOOKUP(R56,예상등급!$AE$5:$AE$13,예상등급!$AF$5:$AF$13),IF(Q56=예상등급!$AH$1,LOOKUP(R56,예상등급!$AH$5:$AH$13,예상등급!$AI$5:$AI$13),IF(Q56=예상등급!$AK$1,LOOKUP(R56,예상등급!$AK$5:$AK$13,예상등급!$AL$5:$AL$13),IF(Q56=예상등급!$AN$1,LOOKUP(R56,예상등급!$AN$5:$AN$13,예상등급!$AO$5:$AO$13),IF(Q56=예상등급!$AQ$1,LOOKUP(R56,예상등급!$AQ$5:$AQ$13,예상등급!$AR$5:$AR$13),IF(Q56=예상등급!$AH$15,LOOKUP(R56,예상등급!$AH$19:$AH$27,예상등급!$AI$19:$AI$27),IF(Q56=예상등급!$AK$15,LOOKUP(R56,예상등급!$AK$19:$AK$27,예상등급!$AL$19:$AL$27),IF(Q56=예상등급!$AN$15,LOOKUP(R56,예상등급!$AN$19:$AN$27,예상등급!$AO$19:$AO$27),IF(Q56=예상등급!$AQ$15,LOOKUP(R56,예상등급!$AQ$19:$AQ$27,예상등급!$AR$19:$AR$27),"")))))))))))))))))</f>
        <v>5</v>
      </c>
      <c r="T56" s="110">
        <v>36</v>
      </c>
      <c r="U56" s="382">
        <f>IF(T56="","",LOOKUP(T56,예상등급!$D$19:$D$27,예상등급!$E$19:$E$27))</f>
        <v>2</v>
      </c>
      <c r="V56" s="402">
        <f>SUM(L56,T56,R56,O56)</f>
        <v>284</v>
      </c>
      <c r="W56" s="278">
        <f>RANK(V56,$V$4:$V$491)</f>
        <v>53</v>
      </c>
    </row>
    <row r="57" spans="1:26" s="7" customFormat="1" ht="24.95" customHeight="1" x14ac:dyDescent="0.15">
      <c r="A57" s="110">
        <v>10</v>
      </c>
      <c r="B57" s="71">
        <v>20</v>
      </c>
      <c r="C57" s="100" t="s">
        <v>1003</v>
      </c>
      <c r="D57" s="110" t="s">
        <v>779</v>
      </c>
      <c r="E57" s="71">
        <v>57</v>
      </c>
      <c r="F57" s="382">
        <f>IF(D57=예상등급!$A$1,LOOKUP(E57,예상등급!$A$5:$A$13,예상등급!$B$5:$B$13),IF(D57=예상등급!$A$15,LOOKUP(E57,예상등급!$A$19:$A$27,예상등급!$B$19:$B$27),""))</f>
        <v>4</v>
      </c>
      <c r="G57" s="110" t="s">
        <v>780</v>
      </c>
      <c r="H57" s="71">
        <v>50</v>
      </c>
      <c r="I57" s="382">
        <f>IF(G57=예상등급!$G$15,LOOKUP(H57,예상등급!$G$19:$G$27,예상등급!$H$19:$H$27),IF(G57=예상등급!$J$15,LOOKUP(H57,예상등급!$J$19:$J$27,예상등급!$K$19:$K$27),IF(G57=예상등급!$M$15,LOOKUP(H57,예상등급!$M$19:$M$27,예상등급!$N$19:$N$27),"")))</f>
        <v>5</v>
      </c>
      <c r="J57" s="110">
        <v>82</v>
      </c>
      <c r="K57" s="382">
        <f>IF(J57="","",(LOOKUP(J57,예상등급!$D$5:$D$13,예상등급!$E$5:$E$13)))</f>
        <v>2</v>
      </c>
      <c r="L57" s="301">
        <f>SUM(E57,H57,J57)</f>
        <v>189</v>
      </c>
      <c r="M57" s="398">
        <f>RANK(L57,$L$4:$L$491)</f>
        <v>63</v>
      </c>
      <c r="N57" s="110" t="s">
        <v>761</v>
      </c>
      <c r="O57" s="71">
        <v>33</v>
      </c>
      <c r="P57" s="385">
        <f>IF(N57=예상등급!$G$1,LOOKUP(O57,예상등급!$G$5:$G$13,예상등급!$H$5:$H$13),IF(N57=예상등급!$J$1,LOOKUP(O57,예상등급!$J$5:$J$13,예상등급!$K$5:$K$13),IF(N57=예상등급!$M$1,LOOKUP(O57,예상등급!$M$5:$M$13,예상등급!$N$5:$N$13),IF(N57=예상등급!$P$1,LOOKUP(O57,예상등급!$P$5:$P$13,예상등급!$Q$5:$Q$13),IF(N57=예상등급!$S$1,LOOKUP(O57,예상등급!$S$5:$S$13,예상등급!$T$5:$T$13),IF(N57=예상등급!$V$1,LOOKUP(O57,예상등급!$V$5:$V$13,예상등급!$W$5:$W$13),IF(N57=예상등급!$Y$1,LOOKUP(O57,예상등급!$Y$5:$Y$13,예상등급!$Z$5:$Z$13),IF(N57=예상등급!$AB$1,LOOKUP(O57,예상등급!$AB$5:$AB$13,예상등급!$AC$5:$AC$13),IF(N57=예상등급!$AE$1,LOOKUP(O57,예상등급!$AE$5:$AE$13,예상등급!$AF$5:$AF$13),IF(N57=예상등급!$AH$1,LOOKUP(O57,예상등급!$AH$5:$AH$13,예상등급!$AI$5:$AI$13),IF(N57=예상등급!$AK$1,LOOKUP(O57,예상등급!$AK$5:$AK$13,예상등급!$AL$5:$AL$13),IF(N57=예상등급!$AN$1,LOOKUP(O57,예상등급!$AN$5:$AN$13,예상등급!$AO$5:$AO$13),IF(N57=예상등급!$AQ$1,LOOKUP(O57,예상등급!$AQ$5:$AQ$13,예상등급!$AR$5:$AR$13),IF(N57=예상등급!$AH$15,LOOKUP(O57,예상등급!$AH$19:$AH$27,예상등급!$AI$19:$AI$27),IF(N57=예상등급!$AK$15,LOOKUP(O57,예상등급!$AK$19:$AK$27,예상등급!$AL$19:$AL$27),IF(N57=예상등급!$AN$15,LOOKUP(O57,예상등급!$AN$19:$AN$27,예상등급!$AO$19:$AO$27),IF(N57=예상등급!$AQ$15,LOOKUP(O57,예상등급!$AQ$19:$AQ$27,예상등급!$AR$19:$AR$27),"")))))))))))))))))</f>
        <v>3</v>
      </c>
      <c r="Q57" s="110" t="s">
        <v>762</v>
      </c>
      <c r="R57" s="71">
        <v>41</v>
      </c>
      <c r="S57" s="385">
        <f>IF(Q57=예상등급!$G$1,LOOKUP(R57,예상등급!$G$5:$G$13,예상등급!$H$5:$H$13),IF(Q57=예상등급!$J$1,LOOKUP(R57,예상등급!$J$5:$J$13,예상등급!$K$5:$K$13),IF(Q57=예상등급!$M$1,LOOKUP(R57,예상등급!$M$5:$M$13,예상등급!$N$5:$N$13),IF(Q57=예상등급!$P$1,LOOKUP(R57,예상등급!$P$5:$P$13,예상등급!$Q$5:$Q$13),IF(Q57=예상등급!$S$1,LOOKUP(R57,예상등급!$S$5:$S$13,예상등급!$T$5:$T$13),IF(Q57=예상등급!$V$1,LOOKUP(R57,예상등급!$V$5:$V$13,예상등급!$W$5:$W$13),IF(Q57=예상등급!$Y$1,LOOKUP(R57,예상등급!$Y$5:$Y$13,예상등급!$Z$5:$Z$13),IF(Q57=예상등급!$AB$1,LOOKUP(R57,예상등급!$AB$5:$AB$13,예상등급!$AC$5:$AC$13),IF(Q57=예상등급!$AE$1,LOOKUP(R57,예상등급!$AE$5:$AE$13,예상등급!$AF$5:$AF$13),IF(Q57=예상등급!$AH$1,LOOKUP(R57,예상등급!$AH$5:$AH$13,예상등급!$AI$5:$AI$13),IF(Q57=예상등급!$AK$1,LOOKUP(R57,예상등급!$AK$5:$AK$13,예상등급!$AL$5:$AL$13),IF(Q57=예상등급!$AN$1,LOOKUP(R57,예상등급!$AN$5:$AN$13,예상등급!$AO$5:$AO$13),IF(Q57=예상등급!$AQ$1,LOOKUP(R57,예상등급!$AQ$5:$AQ$13,예상등급!$AR$5:$AR$13),IF(Q57=예상등급!$AH$15,LOOKUP(R57,예상등급!$AH$19:$AH$27,예상등급!$AI$19:$AI$27),IF(Q57=예상등급!$AK$15,LOOKUP(R57,예상등급!$AK$19:$AK$27,예상등급!$AL$19:$AL$27),IF(Q57=예상등급!$AN$15,LOOKUP(R57,예상등급!$AN$19:$AN$27,예상등급!$AO$19:$AO$27),IF(Q57=예상등급!$AQ$15,LOOKUP(R57,예상등급!$AQ$19:$AQ$27,예상등급!$AR$19:$AR$27),"")))))))))))))))))</f>
        <v>2</v>
      </c>
      <c r="T57" s="110">
        <v>20</v>
      </c>
      <c r="U57" s="382">
        <f>IF(T57="","",LOOKUP(T57,예상등급!$D$19:$D$27,예상등급!$E$19:$E$27))</f>
        <v>5</v>
      </c>
      <c r="V57" s="402">
        <f>SUM(L57,T57,R57,O57)</f>
        <v>283</v>
      </c>
      <c r="W57" s="278">
        <f>RANK(V57,$V$4:$V$491)</f>
        <v>54</v>
      </c>
    </row>
    <row r="58" spans="1:26" s="7" customFormat="1" ht="24.95" customHeight="1" x14ac:dyDescent="0.15">
      <c r="A58" s="110">
        <v>7</v>
      </c>
      <c r="B58" s="71">
        <v>19</v>
      </c>
      <c r="C58" s="100" t="s">
        <v>932</v>
      </c>
      <c r="D58" s="110" t="s">
        <v>779</v>
      </c>
      <c r="E58" s="71">
        <v>45</v>
      </c>
      <c r="F58" s="382">
        <f>IF(D58=예상등급!$A$1,LOOKUP(E58,예상등급!$A$5:$A$13,예상등급!$B$5:$B$13),IF(D58=예상등급!$A$15,LOOKUP(E58,예상등급!$A$19:$A$27,예상등급!$B$19:$B$27),""))</f>
        <v>5</v>
      </c>
      <c r="G58" s="110" t="s">
        <v>781</v>
      </c>
      <c r="H58" s="71">
        <v>72</v>
      </c>
      <c r="I58" s="382">
        <f>IF(G58=예상등급!$G$15,LOOKUP(H58,예상등급!$G$19:$G$27,예상등급!$H$19:$H$27),IF(G58=예상등급!$J$15,LOOKUP(H58,예상등급!$J$19:$J$27,예상등급!$K$19:$K$27),IF(G58=예상등급!$M$15,LOOKUP(H58,예상등급!$M$19:$M$27,예상등급!$N$19:$N$27),"")))</f>
        <v>3</v>
      </c>
      <c r="J58" s="110">
        <v>81</v>
      </c>
      <c r="K58" s="382">
        <f>IF(J58="","",(LOOKUP(J58,예상등급!$D$5:$D$13,예상등급!$E$5:$E$13)))</f>
        <v>2</v>
      </c>
      <c r="L58" s="301">
        <f>SUM(E58,H58,J58)</f>
        <v>198</v>
      </c>
      <c r="M58" s="398">
        <f>RANK(L58,$L$4:$L$491)</f>
        <v>49</v>
      </c>
      <c r="N58" s="110" t="s">
        <v>761</v>
      </c>
      <c r="O58" s="71">
        <v>17</v>
      </c>
      <c r="P58" s="385">
        <f>IF(N58=예상등급!$G$1,LOOKUP(O58,예상등급!$G$5:$G$13,예상등급!$H$5:$H$13),IF(N58=예상등급!$J$1,LOOKUP(O58,예상등급!$J$5:$J$13,예상등급!$K$5:$K$13),IF(N58=예상등급!$M$1,LOOKUP(O58,예상등급!$M$5:$M$13,예상등급!$N$5:$N$13),IF(N58=예상등급!$P$1,LOOKUP(O58,예상등급!$P$5:$P$13,예상등급!$Q$5:$Q$13),IF(N58=예상등급!$S$1,LOOKUP(O58,예상등급!$S$5:$S$13,예상등급!$T$5:$T$13),IF(N58=예상등급!$V$1,LOOKUP(O58,예상등급!$V$5:$V$13,예상등급!$W$5:$W$13),IF(N58=예상등급!$Y$1,LOOKUP(O58,예상등급!$Y$5:$Y$13,예상등급!$Z$5:$Z$13),IF(N58=예상등급!$AB$1,LOOKUP(O58,예상등급!$AB$5:$AB$13,예상등급!$AC$5:$AC$13),IF(N58=예상등급!$AE$1,LOOKUP(O58,예상등급!$AE$5:$AE$13,예상등급!$AF$5:$AF$13),IF(N58=예상등급!$AH$1,LOOKUP(O58,예상등급!$AH$5:$AH$13,예상등급!$AI$5:$AI$13),IF(N58=예상등급!$AK$1,LOOKUP(O58,예상등급!$AK$5:$AK$13,예상등급!$AL$5:$AL$13),IF(N58=예상등급!$AN$1,LOOKUP(O58,예상등급!$AN$5:$AN$13,예상등급!$AO$5:$AO$13),IF(N58=예상등급!$AQ$1,LOOKUP(O58,예상등급!$AQ$5:$AQ$13,예상등급!$AR$5:$AR$13),IF(N58=예상등급!$AH$15,LOOKUP(O58,예상등급!$AH$19:$AH$27,예상등급!$AI$19:$AI$27),IF(N58=예상등급!$AK$15,LOOKUP(O58,예상등급!$AK$19:$AK$27,예상등급!$AL$19:$AL$27),IF(N58=예상등급!$AN$15,LOOKUP(O58,예상등급!$AN$19:$AN$27,예상등급!$AO$19:$AO$27),IF(N58=예상등급!$AQ$15,LOOKUP(O58,예상등급!$AQ$19:$AQ$27,예상등급!$AR$19:$AR$27),"")))))))))))))))))</f>
        <v>6</v>
      </c>
      <c r="Q58" s="110" t="s">
        <v>765</v>
      </c>
      <c r="R58" s="71">
        <v>17</v>
      </c>
      <c r="S58" s="385">
        <f>IF(Q58=예상등급!$G$1,LOOKUP(R58,예상등급!$G$5:$G$13,예상등급!$H$5:$H$13),IF(Q58=예상등급!$J$1,LOOKUP(R58,예상등급!$J$5:$J$13,예상등급!$K$5:$K$13),IF(Q58=예상등급!$M$1,LOOKUP(R58,예상등급!$M$5:$M$13,예상등급!$N$5:$N$13),IF(Q58=예상등급!$P$1,LOOKUP(R58,예상등급!$P$5:$P$13,예상등급!$Q$5:$Q$13),IF(Q58=예상등급!$S$1,LOOKUP(R58,예상등급!$S$5:$S$13,예상등급!$T$5:$T$13),IF(Q58=예상등급!$V$1,LOOKUP(R58,예상등급!$V$5:$V$13,예상등급!$W$5:$W$13),IF(Q58=예상등급!$Y$1,LOOKUP(R58,예상등급!$Y$5:$Y$13,예상등급!$Z$5:$Z$13),IF(Q58=예상등급!$AB$1,LOOKUP(R58,예상등급!$AB$5:$AB$13,예상등급!$AC$5:$AC$13),IF(Q58=예상등급!$AE$1,LOOKUP(R58,예상등급!$AE$5:$AE$13,예상등급!$AF$5:$AF$13),IF(Q58=예상등급!$AH$1,LOOKUP(R58,예상등급!$AH$5:$AH$13,예상등급!$AI$5:$AI$13),IF(Q58=예상등급!$AK$1,LOOKUP(R58,예상등급!$AK$5:$AK$13,예상등급!$AL$5:$AL$13),IF(Q58=예상등급!$AN$1,LOOKUP(R58,예상등급!$AN$5:$AN$13,예상등급!$AO$5:$AO$13),IF(Q58=예상등급!$AQ$1,LOOKUP(R58,예상등급!$AQ$5:$AQ$13,예상등급!$AR$5:$AR$13),IF(Q58=예상등급!$AH$15,LOOKUP(R58,예상등급!$AH$19:$AH$27,예상등급!$AI$19:$AI$27),IF(Q58=예상등급!$AK$15,LOOKUP(R58,예상등급!$AK$19:$AK$27,예상등급!$AL$19:$AL$27),IF(Q58=예상등급!$AN$15,LOOKUP(R58,예상등급!$AN$19:$AN$27,예상등급!$AO$19:$AO$27),IF(Q58=예상등급!$AQ$15,LOOKUP(R58,예상등급!$AQ$19:$AQ$27,예상등급!$AR$19:$AR$27),"")))))))))))))))))</f>
        <v>5</v>
      </c>
      <c r="T58" s="110">
        <v>50</v>
      </c>
      <c r="U58" s="382">
        <f>IF(T58="","",LOOKUP(T58,예상등급!$D$19:$D$27,예상등급!$E$19:$E$27))</f>
        <v>1</v>
      </c>
      <c r="V58" s="402">
        <f>SUM(L58,T58,R58,O58)</f>
        <v>282</v>
      </c>
      <c r="W58" s="278">
        <f>RANK(V58,$V$4:$V$491)</f>
        <v>55</v>
      </c>
    </row>
    <row r="59" spans="1:26" s="7" customFormat="1" ht="24.95" customHeight="1" x14ac:dyDescent="0.15">
      <c r="A59" s="110">
        <v>4</v>
      </c>
      <c r="B59" s="71">
        <v>10</v>
      </c>
      <c r="C59" s="100" t="s">
        <v>863</v>
      </c>
      <c r="D59" s="110" t="s">
        <v>779</v>
      </c>
      <c r="E59" s="71">
        <v>59</v>
      </c>
      <c r="F59" s="382">
        <f>IF(D59=예상등급!$A$1,LOOKUP(E59,예상등급!$A$5:$A$13,예상등급!$B$5:$B$13),IF(D59=예상등급!$A$15,LOOKUP(E59,예상등급!$A$19:$A$27,예상등급!$B$19:$B$27),""))</f>
        <v>4</v>
      </c>
      <c r="G59" s="110" t="s">
        <v>781</v>
      </c>
      <c r="H59" s="71">
        <v>70</v>
      </c>
      <c r="I59" s="382">
        <f>IF(G59=예상등급!$G$15,LOOKUP(H59,예상등급!$G$19:$G$27,예상등급!$H$19:$H$27),IF(G59=예상등급!$J$15,LOOKUP(H59,예상등급!$J$19:$J$27,예상등급!$K$19:$K$27),IF(G59=예상등급!$M$15,LOOKUP(H59,예상등급!$M$19:$M$27,예상등급!$N$19:$N$27),"")))</f>
        <v>3</v>
      </c>
      <c r="J59" s="110">
        <v>83</v>
      </c>
      <c r="K59" s="382">
        <f>IF(J59="","",(LOOKUP(J59,예상등급!$D$5:$D$13,예상등급!$E$5:$E$13)))</f>
        <v>2</v>
      </c>
      <c r="L59" s="301">
        <f>SUM(E59,H59,J59)</f>
        <v>212</v>
      </c>
      <c r="M59" s="398">
        <f>RANK(L59,$L$4:$L$491)</f>
        <v>32</v>
      </c>
      <c r="N59" s="110" t="s">
        <v>762</v>
      </c>
      <c r="O59" s="71">
        <v>28</v>
      </c>
      <c r="P59" s="385">
        <f>IF(N59=예상등급!$G$1,LOOKUP(O59,예상등급!$G$5:$G$13,예상등급!$H$5:$H$13),IF(N59=예상등급!$J$1,LOOKUP(O59,예상등급!$J$5:$J$13,예상등급!$K$5:$K$13),IF(N59=예상등급!$M$1,LOOKUP(O59,예상등급!$M$5:$M$13,예상등급!$N$5:$N$13),IF(N59=예상등급!$P$1,LOOKUP(O59,예상등급!$P$5:$P$13,예상등급!$Q$5:$Q$13),IF(N59=예상등급!$S$1,LOOKUP(O59,예상등급!$S$5:$S$13,예상등급!$T$5:$T$13),IF(N59=예상등급!$V$1,LOOKUP(O59,예상등급!$V$5:$V$13,예상등급!$W$5:$W$13),IF(N59=예상등급!$Y$1,LOOKUP(O59,예상등급!$Y$5:$Y$13,예상등급!$Z$5:$Z$13),IF(N59=예상등급!$AB$1,LOOKUP(O59,예상등급!$AB$5:$AB$13,예상등급!$AC$5:$AC$13),IF(N59=예상등급!$AE$1,LOOKUP(O59,예상등급!$AE$5:$AE$13,예상등급!$AF$5:$AF$13),IF(N59=예상등급!$AH$1,LOOKUP(O59,예상등급!$AH$5:$AH$13,예상등급!$AI$5:$AI$13),IF(N59=예상등급!$AK$1,LOOKUP(O59,예상등급!$AK$5:$AK$13,예상등급!$AL$5:$AL$13),IF(N59=예상등급!$AN$1,LOOKUP(O59,예상등급!$AN$5:$AN$13,예상등급!$AO$5:$AO$13),IF(N59=예상등급!$AQ$1,LOOKUP(O59,예상등급!$AQ$5:$AQ$13,예상등급!$AR$5:$AR$13),IF(N59=예상등급!$AH$15,LOOKUP(O59,예상등급!$AH$19:$AH$27,예상등급!$AI$19:$AI$27),IF(N59=예상등급!$AK$15,LOOKUP(O59,예상등급!$AK$19:$AK$27,예상등급!$AL$19:$AL$27),IF(N59=예상등급!$AN$15,LOOKUP(O59,예상등급!$AN$19:$AN$27,예상등급!$AO$19:$AO$27),IF(N59=예상등급!$AQ$15,LOOKUP(O59,예상등급!$AQ$19:$AQ$27,예상등급!$AR$19:$AR$27),"")))))))))))))))))</f>
        <v>4</v>
      </c>
      <c r="Q59" s="110" t="s">
        <v>771</v>
      </c>
      <c r="R59" s="71">
        <v>9</v>
      </c>
      <c r="S59" s="385">
        <f>IF(Q59=예상등급!$G$1,LOOKUP(R59,예상등급!$G$5:$G$13,예상등급!$H$5:$H$13),IF(Q59=예상등급!$J$1,LOOKUP(R59,예상등급!$J$5:$J$13,예상등급!$K$5:$K$13),IF(Q59=예상등급!$M$1,LOOKUP(R59,예상등급!$M$5:$M$13,예상등급!$N$5:$N$13),IF(Q59=예상등급!$P$1,LOOKUP(R59,예상등급!$P$5:$P$13,예상등급!$Q$5:$Q$13),IF(Q59=예상등급!$S$1,LOOKUP(R59,예상등급!$S$5:$S$13,예상등급!$T$5:$T$13),IF(Q59=예상등급!$V$1,LOOKUP(R59,예상등급!$V$5:$V$13,예상등급!$W$5:$W$13),IF(Q59=예상등급!$Y$1,LOOKUP(R59,예상등급!$Y$5:$Y$13,예상등급!$Z$5:$Z$13),IF(Q59=예상등급!$AB$1,LOOKUP(R59,예상등급!$AB$5:$AB$13,예상등급!$AC$5:$AC$13),IF(Q59=예상등급!$AE$1,LOOKUP(R59,예상등급!$AE$5:$AE$13,예상등급!$AF$5:$AF$13),IF(Q59=예상등급!$AH$1,LOOKUP(R59,예상등급!$AH$5:$AH$13,예상등급!$AI$5:$AI$13),IF(Q59=예상등급!$AK$1,LOOKUP(R59,예상등급!$AK$5:$AK$13,예상등급!$AL$5:$AL$13),IF(Q59=예상등급!$AN$1,LOOKUP(R59,예상등급!$AN$5:$AN$13,예상등급!$AO$5:$AO$13),IF(Q59=예상등급!$AQ$1,LOOKUP(R59,예상등급!$AQ$5:$AQ$13,예상등급!$AR$5:$AR$13),IF(Q59=예상등급!$AH$15,LOOKUP(R59,예상등급!$AH$19:$AH$27,예상등급!$AI$19:$AI$27),IF(Q59=예상등급!$AK$15,LOOKUP(R59,예상등급!$AK$19:$AK$27,예상등급!$AL$19:$AL$27),IF(Q59=예상등급!$AN$15,LOOKUP(R59,예상등급!$AN$19:$AN$27,예상등급!$AO$19:$AO$27),IF(Q59=예상등급!$AQ$15,LOOKUP(R59,예상등급!$AQ$19:$AQ$27,예상등급!$AR$19:$AR$27),"")))))))))))))))))</f>
        <v>7</v>
      </c>
      <c r="T59" s="110">
        <v>32</v>
      </c>
      <c r="U59" s="382">
        <f>IF(T59="","",LOOKUP(T59,예상등급!$D$19:$D$27,예상등급!$E$19:$E$27))</f>
        <v>3</v>
      </c>
      <c r="V59" s="402">
        <f>SUM(L59,T59,R59,O59)</f>
        <v>281</v>
      </c>
      <c r="W59" s="278">
        <f>RANK(V59,$V$4:$V$491)</f>
        <v>56</v>
      </c>
    </row>
    <row r="60" spans="1:26" s="7" customFormat="1" ht="24.95" customHeight="1" x14ac:dyDescent="0.15">
      <c r="A60" s="110">
        <v>4</v>
      </c>
      <c r="B60" s="71">
        <v>19</v>
      </c>
      <c r="C60" s="100" t="s">
        <v>558</v>
      </c>
      <c r="D60" s="110" t="s">
        <v>779</v>
      </c>
      <c r="E60" s="71">
        <v>63</v>
      </c>
      <c r="F60" s="382">
        <f>IF(D60=예상등급!$A$1,LOOKUP(E60,예상등급!$A$5:$A$13,예상등급!$B$5:$B$13),IF(D60=예상등급!$A$15,LOOKUP(E60,예상등급!$A$19:$A$27,예상등급!$B$19:$B$27),""))</f>
        <v>3</v>
      </c>
      <c r="G60" s="110" t="s">
        <v>781</v>
      </c>
      <c r="H60" s="71">
        <v>63</v>
      </c>
      <c r="I60" s="382">
        <f>IF(G60=예상등급!$G$15,LOOKUP(H60,예상등급!$G$19:$G$27,예상등급!$H$19:$H$27),IF(G60=예상등급!$J$15,LOOKUP(H60,예상등급!$J$19:$J$27,예상등급!$K$19:$K$27),IF(G60=예상등급!$M$15,LOOKUP(H60,예상등급!$M$19:$M$27,예상등급!$N$19:$N$27),"")))</f>
        <v>4</v>
      </c>
      <c r="J60" s="110">
        <v>82</v>
      </c>
      <c r="K60" s="382">
        <f>IF(J60="","",(LOOKUP(J60,예상등급!$D$5:$D$13,예상등급!$E$5:$E$13)))</f>
        <v>2</v>
      </c>
      <c r="L60" s="301">
        <f>SUM(E60,H60,J60)</f>
        <v>208</v>
      </c>
      <c r="M60" s="398">
        <f>RANK(L60,$L$4:$L$491)</f>
        <v>39</v>
      </c>
      <c r="N60" s="110" t="s">
        <v>769</v>
      </c>
      <c r="O60" s="71">
        <v>24</v>
      </c>
      <c r="P60" s="385">
        <f>IF(N60=예상등급!$G$1,LOOKUP(O60,예상등급!$G$5:$G$13,예상등급!$H$5:$H$13),IF(N60=예상등급!$J$1,LOOKUP(O60,예상등급!$J$5:$J$13,예상등급!$K$5:$K$13),IF(N60=예상등급!$M$1,LOOKUP(O60,예상등급!$M$5:$M$13,예상등급!$N$5:$N$13),IF(N60=예상등급!$P$1,LOOKUP(O60,예상등급!$P$5:$P$13,예상등급!$Q$5:$Q$13),IF(N60=예상등급!$S$1,LOOKUP(O60,예상등급!$S$5:$S$13,예상등급!$T$5:$T$13),IF(N60=예상등급!$V$1,LOOKUP(O60,예상등급!$V$5:$V$13,예상등급!$W$5:$W$13),IF(N60=예상등급!$Y$1,LOOKUP(O60,예상등급!$Y$5:$Y$13,예상등급!$Z$5:$Z$13),IF(N60=예상등급!$AB$1,LOOKUP(O60,예상등급!$AB$5:$AB$13,예상등급!$AC$5:$AC$13),IF(N60=예상등급!$AE$1,LOOKUP(O60,예상등급!$AE$5:$AE$13,예상등급!$AF$5:$AF$13),IF(N60=예상등급!$AH$1,LOOKUP(O60,예상등급!$AH$5:$AH$13,예상등급!$AI$5:$AI$13),IF(N60=예상등급!$AK$1,LOOKUP(O60,예상등급!$AK$5:$AK$13,예상등급!$AL$5:$AL$13),IF(N60=예상등급!$AN$1,LOOKUP(O60,예상등급!$AN$5:$AN$13,예상등급!$AO$5:$AO$13),IF(N60=예상등급!$AQ$1,LOOKUP(O60,예상등급!$AQ$5:$AQ$13,예상등급!$AR$5:$AR$13),IF(N60=예상등급!$AH$15,LOOKUP(O60,예상등급!$AH$19:$AH$27,예상등급!$AI$19:$AI$27),IF(N60=예상등급!$AK$15,LOOKUP(O60,예상등급!$AK$19:$AK$27,예상등급!$AL$19:$AL$27),IF(N60=예상등급!$AN$15,LOOKUP(O60,예상등급!$AN$19:$AN$27,예상등급!$AO$19:$AO$27),IF(N60=예상등급!$AQ$15,LOOKUP(O60,예상등급!$AQ$19:$AQ$27,예상등급!$AR$19:$AR$27),"")))))))))))))))))</f>
        <v>4</v>
      </c>
      <c r="Q60" s="110" t="s">
        <v>768</v>
      </c>
      <c r="R60" s="71">
        <v>21</v>
      </c>
      <c r="S60" s="385">
        <f>IF(Q60=예상등급!$G$1,LOOKUP(R60,예상등급!$G$5:$G$13,예상등급!$H$5:$H$13),IF(Q60=예상등급!$J$1,LOOKUP(R60,예상등급!$J$5:$J$13,예상등급!$K$5:$K$13),IF(Q60=예상등급!$M$1,LOOKUP(R60,예상등급!$M$5:$M$13,예상등급!$N$5:$N$13),IF(Q60=예상등급!$P$1,LOOKUP(R60,예상등급!$P$5:$P$13,예상등급!$Q$5:$Q$13),IF(Q60=예상등급!$S$1,LOOKUP(R60,예상등급!$S$5:$S$13,예상등급!$T$5:$T$13),IF(Q60=예상등급!$V$1,LOOKUP(R60,예상등급!$V$5:$V$13,예상등급!$W$5:$W$13),IF(Q60=예상등급!$Y$1,LOOKUP(R60,예상등급!$Y$5:$Y$13,예상등급!$Z$5:$Z$13),IF(Q60=예상등급!$AB$1,LOOKUP(R60,예상등급!$AB$5:$AB$13,예상등급!$AC$5:$AC$13),IF(Q60=예상등급!$AE$1,LOOKUP(R60,예상등급!$AE$5:$AE$13,예상등급!$AF$5:$AF$13),IF(Q60=예상등급!$AH$1,LOOKUP(R60,예상등급!$AH$5:$AH$13,예상등급!$AI$5:$AI$13),IF(Q60=예상등급!$AK$1,LOOKUP(R60,예상등급!$AK$5:$AK$13,예상등급!$AL$5:$AL$13),IF(Q60=예상등급!$AN$1,LOOKUP(R60,예상등급!$AN$5:$AN$13,예상등급!$AO$5:$AO$13),IF(Q60=예상등급!$AQ$1,LOOKUP(R60,예상등급!$AQ$5:$AQ$13,예상등급!$AR$5:$AR$13),IF(Q60=예상등급!$AH$15,LOOKUP(R60,예상등급!$AH$19:$AH$27,예상등급!$AI$19:$AI$27),IF(Q60=예상등급!$AK$15,LOOKUP(R60,예상등급!$AK$19:$AK$27,예상등급!$AL$19:$AL$27),IF(Q60=예상등급!$AN$15,LOOKUP(R60,예상등급!$AN$19:$AN$27,예상등급!$AO$19:$AO$27),IF(Q60=예상등급!$AQ$15,LOOKUP(R60,예상등급!$AQ$19:$AQ$27,예상등급!$AR$19:$AR$27),"")))))))))))))))))</f>
        <v>4</v>
      </c>
      <c r="T60" s="110">
        <v>26</v>
      </c>
      <c r="U60" s="382">
        <f>IF(T60="","",LOOKUP(T60,예상등급!$D$19:$D$27,예상등급!$E$19:$E$27))</f>
        <v>4</v>
      </c>
      <c r="V60" s="402">
        <f>SUM(L60,T60,R60,O60)</f>
        <v>279</v>
      </c>
      <c r="W60" s="278">
        <f>RANK(V60,$V$4:$V$491)</f>
        <v>57</v>
      </c>
    </row>
    <row r="61" spans="1:26" s="7" customFormat="1" ht="24.95" customHeight="1" x14ac:dyDescent="0.15">
      <c r="A61" s="110">
        <v>5</v>
      </c>
      <c r="B61" s="71">
        <v>16</v>
      </c>
      <c r="C61" s="100" t="s">
        <v>887</v>
      </c>
      <c r="D61" s="110" t="s">
        <v>779</v>
      </c>
      <c r="E61" s="71">
        <v>65</v>
      </c>
      <c r="F61" s="382">
        <f>IF(D61=예상등급!$A$1,LOOKUP(E61,예상등급!$A$5:$A$13,예상등급!$B$5:$B$13),IF(D61=예상등급!$A$15,LOOKUP(E61,예상등급!$A$19:$A$27,예상등급!$B$19:$B$27),""))</f>
        <v>3</v>
      </c>
      <c r="G61" s="110" t="s">
        <v>780</v>
      </c>
      <c r="H61" s="71">
        <v>38</v>
      </c>
      <c r="I61" s="382">
        <f>IF(G61=예상등급!$G$15,LOOKUP(H61,예상등급!$G$19:$G$27,예상등급!$H$19:$H$27),IF(G61=예상등급!$J$15,LOOKUP(H61,예상등급!$J$19:$J$27,예상등급!$K$19:$K$27),IF(G61=예상등급!$M$15,LOOKUP(H61,예상등급!$M$19:$M$27,예상등급!$N$19:$N$27),"")))</f>
        <v>5</v>
      </c>
      <c r="J61" s="110">
        <v>75</v>
      </c>
      <c r="K61" s="382">
        <f>IF(J61="","",(LOOKUP(J61,예상등급!$D$5:$D$13,예상등급!$E$5:$E$13)))</f>
        <v>3</v>
      </c>
      <c r="L61" s="301">
        <f>SUM(E61,H61,J61)</f>
        <v>178</v>
      </c>
      <c r="M61" s="398">
        <f>RANK(L61,$L$4:$L$491)</f>
        <v>79</v>
      </c>
      <c r="N61" s="110" t="s">
        <v>770</v>
      </c>
      <c r="O61" s="71">
        <v>34</v>
      </c>
      <c r="P61" s="385">
        <f>IF(N61=예상등급!$G$1,LOOKUP(O61,예상등급!$G$5:$G$13,예상등급!$H$5:$H$13),IF(N61=예상등급!$J$1,LOOKUP(O61,예상등급!$J$5:$J$13,예상등급!$K$5:$K$13),IF(N61=예상등급!$M$1,LOOKUP(O61,예상등급!$M$5:$M$13,예상등급!$N$5:$N$13),IF(N61=예상등급!$P$1,LOOKUP(O61,예상등급!$P$5:$P$13,예상등급!$Q$5:$Q$13),IF(N61=예상등급!$S$1,LOOKUP(O61,예상등급!$S$5:$S$13,예상등급!$T$5:$T$13),IF(N61=예상등급!$V$1,LOOKUP(O61,예상등급!$V$5:$V$13,예상등급!$W$5:$W$13),IF(N61=예상등급!$Y$1,LOOKUP(O61,예상등급!$Y$5:$Y$13,예상등급!$Z$5:$Z$13),IF(N61=예상등급!$AB$1,LOOKUP(O61,예상등급!$AB$5:$AB$13,예상등급!$AC$5:$AC$13),IF(N61=예상등급!$AE$1,LOOKUP(O61,예상등급!$AE$5:$AE$13,예상등급!$AF$5:$AF$13),IF(N61=예상등급!$AH$1,LOOKUP(O61,예상등급!$AH$5:$AH$13,예상등급!$AI$5:$AI$13),IF(N61=예상등급!$AK$1,LOOKUP(O61,예상등급!$AK$5:$AK$13,예상등급!$AL$5:$AL$13),IF(N61=예상등급!$AN$1,LOOKUP(O61,예상등급!$AN$5:$AN$13,예상등급!$AO$5:$AO$13),IF(N61=예상등급!$AQ$1,LOOKUP(O61,예상등급!$AQ$5:$AQ$13,예상등급!$AR$5:$AR$13),IF(N61=예상등급!$AH$15,LOOKUP(O61,예상등급!$AH$19:$AH$27,예상등급!$AI$19:$AI$27),IF(N61=예상등급!$AK$15,LOOKUP(O61,예상등급!$AK$19:$AK$27,예상등급!$AL$19:$AL$27),IF(N61=예상등급!$AN$15,LOOKUP(O61,예상등급!$AN$19:$AN$27,예상등급!$AO$19:$AO$27),IF(N61=예상등급!$AQ$15,LOOKUP(O61,예상등급!$AQ$19:$AQ$27,예상등급!$AR$19:$AR$27),"")))))))))))))))))</f>
        <v>3</v>
      </c>
      <c r="Q61" s="110" t="s">
        <v>771</v>
      </c>
      <c r="R61" s="71">
        <v>29</v>
      </c>
      <c r="S61" s="385">
        <f>IF(Q61=예상등급!$G$1,LOOKUP(R61,예상등급!$G$5:$G$13,예상등급!$H$5:$H$13),IF(Q61=예상등급!$J$1,LOOKUP(R61,예상등급!$J$5:$J$13,예상등급!$K$5:$K$13),IF(Q61=예상등급!$M$1,LOOKUP(R61,예상등급!$M$5:$M$13,예상등급!$N$5:$N$13),IF(Q61=예상등급!$P$1,LOOKUP(R61,예상등급!$P$5:$P$13,예상등급!$Q$5:$Q$13),IF(Q61=예상등급!$S$1,LOOKUP(R61,예상등급!$S$5:$S$13,예상등급!$T$5:$T$13),IF(Q61=예상등급!$V$1,LOOKUP(R61,예상등급!$V$5:$V$13,예상등급!$W$5:$W$13),IF(Q61=예상등급!$Y$1,LOOKUP(R61,예상등급!$Y$5:$Y$13,예상등급!$Z$5:$Z$13),IF(Q61=예상등급!$AB$1,LOOKUP(R61,예상등급!$AB$5:$AB$13,예상등급!$AC$5:$AC$13),IF(Q61=예상등급!$AE$1,LOOKUP(R61,예상등급!$AE$5:$AE$13,예상등급!$AF$5:$AF$13),IF(Q61=예상등급!$AH$1,LOOKUP(R61,예상등급!$AH$5:$AH$13,예상등급!$AI$5:$AI$13),IF(Q61=예상등급!$AK$1,LOOKUP(R61,예상등급!$AK$5:$AK$13,예상등급!$AL$5:$AL$13),IF(Q61=예상등급!$AN$1,LOOKUP(R61,예상등급!$AN$5:$AN$13,예상등급!$AO$5:$AO$13),IF(Q61=예상등급!$AQ$1,LOOKUP(R61,예상등급!$AQ$5:$AQ$13,예상등급!$AR$5:$AR$13),IF(Q61=예상등급!$AH$15,LOOKUP(R61,예상등급!$AH$19:$AH$27,예상등급!$AI$19:$AI$27),IF(Q61=예상등급!$AK$15,LOOKUP(R61,예상등급!$AK$19:$AK$27,예상등급!$AL$19:$AL$27),IF(Q61=예상등급!$AN$15,LOOKUP(R61,예상등급!$AN$19:$AN$27,예상등급!$AO$19:$AO$27),IF(Q61=예상등급!$AQ$15,LOOKUP(R61,예상등급!$AQ$19:$AQ$27,예상등급!$AR$19:$AR$27),"")))))))))))))))))</f>
        <v>4</v>
      </c>
      <c r="T61" s="110">
        <v>38</v>
      </c>
      <c r="U61" s="382">
        <f>IF(T61="","",LOOKUP(T61,예상등급!$D$19:$D$27,예상등급!$E$19:$E$27))</f>
        <v>2</v>
      </c>
      <c r="V61" s="402">
        <f>SUM(L61,T61,R61,O61)</f>
        <v>279</v>
      </c>
      <c r="W61" s="278">
        <f>RANK(V61,$V$4:$V$491)</f>
        <v>57</v>
      </c>
      <c r="Y61" s="150"/>
      <c r="Z61" s="150"/>
    </row>
    <row r="62" spans="1:26" s="7" customFormat="1" ht="24.95" customHeight="1" x14ac:dyDescent="0.15">
      <c r="A62" s="110">
        <v>6</v>
      </c>
      <c r="B62" s="71">
        <v>14</v>
      </c>
      <c r="C62" s="100" t="s">
        <v>905</v>
      </c>
      <c r="D62" s="110" t="s">
        <v>779</v>
      </c>
      <c r="E62" s="71">
        <v>60</v>
      </c>
      <c r="F62" s="382">
        <f>IF(D62=예상등급!$A$1,LOOKUP(E62,예상등급!$A$5:$A$13,예상등급!$B$5:$B$13),IF(D62=예상등급!$A$15,LOOKUP(E62,예상등급!$A$19:$A$27,예상등급!$B$19:$B$27),""))</f>
        <v>4</v>
      </c>
      <c r="G62" s="110" t="s">
        <v>781</v>
      </c>
      <c r="H62" s="71">
        <v>44</v>
      </c>
      <c r="I62" s="382">
        <f>IF(G62=예상등급!$G$15,LOOKUP(H62,예상등급!$G$19:$G$27,예상등급!$H$19:$H$27),IF(G62=예상등급!$J$15,LOOKUP(H62,예상등급!$J$19:$J$27,예상등급!$K$19:$K$27),IF(G62=예상등급!$M$15,LOOKUP(H62,예상등급!$M$19:$M$27,예상등급!$N$19:$N$27),"")))</f>
        <v>5</v>
      </c>
      <c r="J62" s="110">
        <v>70</v>
      </c>
      <c r="K62" s="382">
        <f>IF(J62="","",(LOOKUP(J62,예상등급!$D$5:$D$13,예상등급!$E$5:$E$13)))</f>
        <v>3</v>
      </c>
      <c r="L62" s="301">
        <f>SUM(E62,H62,J62)</f>
        <v>174</v>
      </c>
      <c r="M62" s="398">
        <f>RANK(L62,$L$4:$L$491)</f>
        <v>87</v>
      </c>
      <c r="N62" s="110" t="s">
        <v>765</v>
      </c>
      <c r="O62" s="71">
        <v>40</v>
      </c>
      <c r="P62" s="385">
        <f>IF(N62=예상등급!$G$1,LOOKUP(O62,예상등급!$G$5:$G$13,예상등급!$H$5:$H$13),IF(N62=예상등급!$J$1,LOOKUP(O62,예상등급!$J$5:$J$13,예상등급!$K$5:$K$13),IF(N62=예상등급!$M$1,LOOKUP(O62,예상등급!$M$5:$M$13,예상등급!$N$5:$N$13),IF(N62=예상등급!$P$1,LOOKUP(O62,예상등급!$P$5:$P$13,예상등급!$Q$5:$Q$13),IF(N62=예상등급!$S$1,LOOKUP(O62,예상등급!$S$5:$S$13,예상등급!$T$5:$T$13),IF(N62=예상등급!$V$1,LOOKUP(O62,예상등급!$V$5:$V$13,예상등급!$W$5:$W$13),IF(N62=예상등급!$Y$1,LOOKUP(O62,예상등급!$Y$5:$Y$13,예상등급!$Z$5:$Z$13),IF(N62=예상등급!$AB$1,LOOKUP(O62,예상등급!$AB$5:$AB$13,예상등급!$AC$5:$AC$13),IF(N62=예상등급!$AE$1,LOOKUP(O62,예상등급!$AE$5:$AE$13,예상등급!$AF$5:$AF$13),IF(N62=예상등급!$AH$1,LOOKUP(O62,예상등급!$AH$5:$AH$13,예상등급!$AI$5:$AI$13),IF(N62=예상등급!$AK$1,LOOKUP(O62,예상등급!$AK$5:$AK$13,예상등급!$AL$5:$AL$13),IF(N62=예상등급!$AN$1,LOOKUP(O62,예상등급!$AN$5:$AN$13,예상등급!$AO$5:$AO$13),IF(N62=예상등급!$AQ$1,LOOKUP(O62,예상등급!$AQ$5:$AQ$13,예상등급!$AR$5:$AR$13),IF(N62=예상등급!$AH$15,LOOKUP(O62,예상등급!$AH$19:$AH$27,예상등급!$AI$19:$AI$27),IF(N62=예상등급!$AK$15,LOOKUP(O62,예상등급!$AK$19:$AK$27,예상등급!$AL$19:$AL$27),IF(N62=예상등급!$AN$15,LOOKUP(O62,예상등급!$AN$19:$AN$27,예상등급!$AO$19:$AO$27),IF(N62=예상등급!$AQ$15,LOOKUP(O62,예상등급!$AQ$19:$AQ$27,예상등급!$AR$19:$AR$27),"")))))))))))))))))</f>
        <v>2</v>
      </c>
      <c r="Q62" s="110" t="s">
        <v>770</v>
      </c>
      <c r="R62" s="71">
        <v>24</v>
      </c>
      <c r="S62" s="385">
        <f>IF(Q62=예상등급!$G$1,LOOKUP(R62,예상등급!$G$5:$G$13,예상등급!$H$5:$H$13),IF(Q62=예상등급!$J$1,LOOKUP(R62,예상등급!$J$5:$J$13,예상등급!$K$5:$K$13),IF(Q62=예상등급!$M$1,LOOKUP(R62,예상등급!$M$5:$M$13,예상등급!$N$5:$N$13),IF(Q62=예상등급!$P$1,LOOKUP(R62,예상등급!$P$5:$P$13,예상등급!$Q$5:$Q$13),IF(Q62=예상등급!$S$1,LOOKUP(R62,예상등급!$S$5:$S$13,예상등급!$T$5:$T$13),IF(Q62=예상등급!$V$1,LOOKUP(R62,예상등급!$V$5:$V$13,예상등급!$W$5:$W$13),IF(Q62=예상등급!$Y$1,LOOKUP(R62,예상등급!$Y$5:$Y$13,예상등급!$Z$5:$Z$13),IF(Q62=예상등급!$AB$1,LOOKUP(R62,예상등급!$AB$5:$AB$13,예상등급!$AC$5:$AC$13),IF(Q62=예상등급!$AE$1,LOOKUP(R62,예상등급!$AE$5:$AE$13,예상등급!$AF$5:$AF$13),IF(Q62=예상등급!$AH$1,LOOKUP(R62,예상등급!$AH$5:$AH$13,예상등급!$AI$5:$AI$13),IF(Q62=예상등급!$AK$1,LOOKUP(R62,예상등급!$AK$5:$AK$13,예상등급!$AL$5:$AL$13),IF(Q62=예상등급!$AN$1,LOOKUP(R62,예상등급!$AN$5:$AN$13,예상등급!$AO$5:$AO$13),IF(Q62=예상등급!$AQ$1,LOOKUP(R62,예상등급!$AQ$5:$AQ$13,예상등급!$AR$5:$AR$13),IF(Q62=예상등급!$AH$15,LOOKUP(R62,예상등급!$AH$19:$AH$27,예상등급!$AI$19:$AI$27),IF(Q62=예상등급!$AK$15,LOOKUP(R62,예상등급!$AK$19:$AK$27,예상등급!$AL$19:$AL$27),IF(Q62=예상등급!$AN$15,LOOKUP(R62,예상등급!$AN$19:$AN$27,예상등급!$AO$19:$AO$27),IF(Q62=예상등급!$AQ$15,LOOKUP(R62,예상등급!$AQ$19:$AQ$27,예상등급!$AR$19:$AR$27),"")))))))))))))))))</f>
        <v>5</v>
      </c>
      <c r="T62" s="110">
        <v>37</v>
      </c>
      <c r="U62" s="382">
        <f>IF(T62="","",LOOKUP(T62,예상등급!$D$19:$D$27,예상등급!$E$19:$E$27))</f>
        <v>2</v>
      </c>
      <c r="V62" s="402">
        <f>SUM(L62,T62,R62,O62)</f>
        <v>275</v>
      </c>
      <c r="W62" s="278">
        <f>RANK(V62,$V$4:$V$491)</f>
        <v>59</v>
      </c>
      <c r="Y62" s="150"/>
      <c r="Z62" s="150"/>
    </row>
    <row r="63" spans="1:26" s="7" customFormat="1" ht="24.95" customHeight="1" x14ac:dyDescent="0.15">
      <c r="A63" s="110">
        <v>1</v>
      </c>
      <c r="B63" s="71">
        <v>3</v>
      </c>
      <c r="C63" s="100" t="s">
        <v>801</v>
      </c>
      <c r="D63" s="110" t="s">
        <v>779</v>
      </c>
      <c r="E63" s="71">
        <v>53</v>
      </c>
      <c r="F63" s="382">
        <f>IF(D63=예상등급!$A$1,LOOKUP(E63,예상등급!$A$5:$A$13,예상등급!$B$5:$B$13),IF(D63=예상등급!$A$15,LOOKUP(E63,예상등급!$A$19:$A$27,예상등급!$B$19:$B$27),""))</f>
        <v>4</v>
      </c>
      <c r="G63" s="110" t="s">
        <v>780</v>
      </c>
      <c r="H63" s="71">
        <v>48</v>
      </c>
      <c r="I63" s="382">
        <f>IF(G63=예상등급!$G$15,LOOKUP(H63,예상등급!$G$19:$G$27,예상등급!$H$19:$H$27),IF(G63=예상등급!$J$15,LOOKUP(H63,예상등급!$J$19:$J$27,예상등급!$K$19:$K$27),IF(G63=예상등급!$M$15,LOOKUP(H63,예상등급!$M$19:$M$27,예상등급!$N$19:$N$27),"")))</f>
        <v>5</v>
      </c>
      <c r="J63" s="110">
        <v>72</v>
      </c>
      <c r="K63" s="382">
        <f>IF(J63="","",(LOOKUP(J63,예상등급!$D$5:$D$13,예상등급!$E$5:$E$13)))</f>
        <v>3</v>
      </c>
      <c r="L63" s="301">
        <f>SUM(E63,H63,J63)</f>
        <v>173</v>
      </c>
      <c r="M63" s="398">
        <f>RANK(L63,$L$4:$L$491)</f>
        <v>91</v>
      </c>
      <c r="N63" s="110" t="s">
        <v>765</v>
      </c>
      <c r="O63" s="71">
        <v>27</v>
      </c>
      <c r="P63" s="385">
        <f>IF(N63=예상등급!$G$1,LOOKUP(O63,예상등급!$G$5:$G$13,예상등급!$H$5:$H$13),IF(N63=예상등급!$J$1,LOOKUP(O63,예상등급!$J$5:$J$13,예상등급!$K$5:$K$13),IF(N63=예상등급!$M$1,LOOKUP(O63,예상등급!$M$5:$M$13,예상등급!$N$5:$N$13),IF(N63=예상등급!$P$1,LOOKUP(O63,예상등급!$P$5:$P$13,예상등급!$Q$5:$Q$13),IF(N63=예상등급!$S$1,LOOKUP(O63,예상등급!$S$5:$S$13,예상등급!$T$5:$T$13),IF(N63=예상등급!$V$1,LOOKUP(O63,예상등급!$V$5:$V$13,예상등급!$W$5:$W$13),IF(N63=예상등급!$Y$1,LOOKUP(O63,예상등급!$Y$5:$Y$13,예상등급!$Z$5:$Z$13),IF(N63=예상등급!$AB$1,LOOKUP(O63,예상등급!$AB$5:$AB$13,예상등급!$AC$5:$AC$13),IF(N63=예상등급!$AE$1,LOOKUP(O63,예상등급!$AE$5:$AE$13,예상등급!$AF$5:$AF$13),IF(N63=예상등급!$AH$1,LOOKUP(O63,예상등급!$AH$5:$AH$13,예상등급!$AI$5:$AI$13),IF(N63=예상등급!$AK$1,LOOKUP(O63,예상등급!$AK$5:$AK$13,예상등급!$AL$5:$AL$13),IF(N63=예상등급!$AN$1,LOOKUP(O63,예상등급!$AN$5:$AN$13,예상등급!$AO$5:$AO$13),IF(N63=예상등급!$AQ$1,LOOKUP(O63,예상등급!$AQ$5:$AQ$13,예상등급!$AR$5:$AR$13),IF(N63=예상등급!$AH$15,LOOKUP(O63,예상등급!$AH$19:$AH$27,예상등급!$AI$19:$AI$27),IF(N63=예상등급!$AK$15,LOOKUP(O63,예상등급!$AK$19:$AK$27,예상등급!$AL$19:$AL$27),IF(N63=예상등급!$AN$15,LOOKUP(O63,예상등급!$AN$19:$AN$27,예상등급!$AO$19:$AO$27),IF(N63=예상등급!$AQ$15,LOOKUP(O63,예상등급!$AQ$19:$AQ$27,예상등급!$AR$19:$AR$27),"")))))))))))))))))</f>
        <v>4</v>
      </c>
      <c r="Q63" s="110" t="s">
        <v>762</v>
      </c>
      <c r="R63" s="71">
        <v>37</v>
      </c>
      <c r="S63" s="385">
        <f>IF(Q63=예상등급!$G$1,LOOKUP(R63,예상등급!$G$5:$G$13,예상등급!$H$5:$H$13),IF(Q63=예상등급!$J$1,LOOKUP(R63,예상등급!$J$5:$J$13,예상등급!$K$5:$K$13),IF(Q63=예상등급!$M$1,LOOKUP(R63,예상등급!$M$5:$M$13,예상등급!$N$5:$N$13),IF(Q63=예상등급!$P$1,LOOKUP(R63,예상등급!$P$5:$P$13,예상등급!$Q$5:$Q$13),IF(Q63=예상등급!$S$1,LOOKUP(R63,예상등급!$S$5:$S$13,예상등급!$T$5:$T$13),IF(Q63=예상등급!$V$1,LOOKUP(R63,예상등급!$V$5:$V$13,예상등급!$W$5:$W$13),IF(Q63=예상등급!$Y$1,LOOKUP(R63,예상등급!$Y$5:$Y$13,예상등급!$Z$5:$Z$13),IF(Q63=예상등급!$AB$1,LOOKUP(R63,예상등급!$AB$5:$AB$13,예상등급!$AC$5:$AC$13),IF(Q63=예상등급!$AE$1,LOOKUP(R63,예상등급!$AE$5:$AE$13,예상등급!$AF$5:$AF$13),IF(Q63=예상등급!$AH$1,LOOKUP(R63,예상등급!$AH$5:$AH$13,예상등급!$AI$5:$AI$13),IF(Q63=예상등급!$AK$1,LOOKUP(R63,예상등급!$AK$5:$AK$13,예상등급!$AL$5:$AL$13),IF(Q63=예상등급!$AN$1,LOOKUP(R63,예상등급!$AN$5:$AN$13,예상등급!$AO$5:$AO$13),IF(Q63=예상등급!$AQ$1,LOOKUP(R63,예상등급!$AQ$5:$AQ$13,예상등급!$AR$5:$AR$13),IF(Q63=예상등급!$AH$15,LOOKUP(R63,예상등급!$AH$19:$AH$27,예상등급!$AI$19:$AI$27),IF(Q63=예상등급!$AK$15,LOOKUP(R63,예상등급!$AK$19:$AK$27,예상등급!$AL$19:$AL$27),IF(Q63=예상등급!$AN$15,LOOKUP(R63,예상등급!$AN$19:$AN$27,예상등급!$AO$19:$AO$27),IF(Q63=예상등급!$AQ$15,LOOKUP(R63,예상등급!$AQ$19:$AQ$27,예상등급!$AR$19:$AR$27),"")))))))))))))))))</f>
        <v>3</v>
      </c>
      <c r="T63" s="110">
        <v>37</v>
      </c>
      <c r="U63" s="382">
        <f>IF(T63="","",LOOKUP(T63,예상등급!$D$19:$D$27,예상등급!$E$19:$E$27))</f>
        <v>2</v>
      </c>
      <c r="V63" s="402">
        <f>SUM(L63,T63,R63,O63)</f>
        <v>274</v>
      </c>
      <c r="W63" s="278">
        <f>RANK(V63,$V$4:$V$491)</f>
        <v>60</v>
      </c>
    </row>
    <row r="64" spans="1:26" s="7" customFormat="1" ht="24.95" customHeight="1" x14ac:dyDescent="0.15">
      <c r="A64" s="110">
        <v>4</v>
      </c>
      <c r="B64" s="71">
        <v>21</v>
      </c>
      <c r="C64" s="100" t="s">
        <v>872</v>
      </c>
      <c r="D64" s="110" t="s">
        <v>779</v>
      </c>
      <c r="E64" s="71">
        <v>58</v>
      </c>
      <c r="F64" s="382">
        <f>IF(D64=예상등급!$A$1,LOOKUP(E64,예상등급!$A$5:$A$13,예상등급!$B$5:$B$13),IF(D64=예상등급!$A$15,LOOKUP(E64,예상등급!$A$19:$A$27,예상등급!$B$19:$B$27),""))</f>
        <v>4</v>
      </c>
      <c r="G64" s="110" t="s">
        <v>781</v>
      </c>
      <c r="H64" s="71">
        <v>70</v>
      </c>
      <c r="I64" s="382">
        <f>IF(G64=예상등급!$G$15,LOOKUP(H64,예상등급!$G$19:$G$27,예상등급!$H$19:$H$27),IF(G64=예상등급!$J$15,LOOKUP(H64,예상등급!$J$19:$J$27,예상등급!$K$19:$K$27),IF(G64=예상등급!$M$15,LOOKUP(H64,예상등급!$M$19:$M$27,예상등급!$N$19:$N$27),"")))</f>
        <v>3</v>
      </c>
      <c r="J64" s="110">
        <v>62</v>
      </c>
      <c r="K64" s="382">
        <f>IF(J64="","",(LOOKUP(J64,예상등급!$D$5:$D$13,예상등급!$E$5:$E$13)))</f>
        <v>4</v>
      </c>
      <c r="L64" s="301">
        <f>SUM(E64,H64,J64)</f>
        <v>190</v>
      </c>
      <c r="M64" s="398">
        <f>RANK(L64,$L$4:$L$491)</f>
        <v>62</v>
      </c>
      <c r="N64" s="110" t="s">
        <v>761</v>
      </c>
      <c r="O64" s="71">
        <v>28</v>
      </c>
      <c r="P64" s="385">
        <f>IF(N64=예상등급!$G$1,LOOKUP(O64,예상등급!$G$5:$G$13,예상등급!$H$5:$H$13),IF(N64=예상등급!$J$1,LOOKUP(O64,예상등급!$J$5:$J$13,예상등급!$K$5:$K$13),IF(N64=예상등급!$M$1,LOOKUP(O64,예상등급!$M$5:$M$13,예상등급!$N$5:$N$13),IF(N64=예상등급!$P$1,LOOKUP(O64,예상등급!$P$5:$P$13,예상등급!$Q$5:$Q$13),IF(N64=예상등급!$S$1,LOOKUP(O64,예상등급!$S$5:$S$13,예상등급!$T$5:$T$13),IF(N64=예상등급!$V$1,LOOKUP(O64,예상등급!$V$5:$V$13,예상등급!$W$5:$W$13),IF(N64=예상등급!$Y$1,LOOKUP(O64,예상등급!$Y$5:$Y$13,예상등급!$Z$5:$Z$13),IF(N64=예상등급!$AB$1,LOOKUP(O64,예상등급!$AB$5:$AB$13,예상등급!$AC$5:$AC$13),IF(N64=예상등급!$AE$1,LOOKUP(O64,예상등급!$AE$5:$AE$13,예상등급!$AF$5:$AF$13),IF(N64=예상등급!$AH$1,LOOKUP(O64,예상등급!$AH$5:$AH$13,예상등급!$AI$5:$AI$13),IF(N64=예상등급!$AK$1,LOOKUP(O64,예상등급!$AK$5:$AK$13,예상등급!$AL$5:$AL$13),IF(N64=예상등급!$AN$1,LOOKUP(O64,예상등급!$AN$5:$AN$13,예상등급!$AO$5:$AO$13),IF(N64=예상등급!$AQ$1,LOOKUP(O64,예상등급!$AQ$5:$AQ$13,예상등급!$AR$5:$AR$13),IF(N64=예상등급!$AH$15,LOOKUP(O64,예상등급!$AH$19:$AH$27,예상등급!$AI$19:$AI$27),IF(N64=예상등급!$AK$15,LOOKUP(O64,예상등급!$AK$19:$AK$27,예상등급!$AL$19:$AL$27),IF(N64=예상등급!$AN$15,LOOKUP(O64,예상등급!$AN$19:$AN$27,예상등급!$AO$19:$AO$27),IF(N64=예상등급!$AQ$15,LOOKUP(O64,예상등급!$AQ$19:$AQ$27,예상등급!$AR$19:$AR$27),"")))))))))))))))))</f>
        <v>4</v>
      </c>
      <c r="Q64" s="110" t="s">
        <v>772</v>
      </c>
      <c r="R64" s="71">
        <v>47</v>
      </c>
      <c r="S64" s="385">
        <f>IF(Q64=예상등급!$G$1,LOOKUP(R64,예상등급!$G$5:$G$13,예상등급!$H$5:$H$13),IF(Q64=예상등급!$J$1,LOOKUP(R64,예상등급!$J$5:$J$13,예상등급!$K$5:$K$13),IF(Q64=예상등급!$M$1,LOOKUP(R64,예상등급!$M$5:$M$13,예상등급!$N$5:$N$13),IF(Q64=예상등급!$P$1,LOOKUP(R64,예상등급!$P$5:$P$13,예상등급!$Q$5:$Q$13),IF(Q64=예상등급!$S$1,LOOKUP(R64,예상등급!$S$5:$S$13,예상등급!$T$5:$T$13),IF(Q64=예상등급!$V$1,LOOKUP(R64,예상등급!$V$5:$V$13,예상등급!$W$5:$W$13),IF(Q64=예상등급!$Y$1,LOOKUP(R64,예상등급!$Y$5:$Y$13,예상등급!$Z$5:$Z$13),IF(Q64=예상등급!$AB$1,LOOKUP(R64,예상등급!$AB$5:$AB$13,예상등급!$AC$5:$AC$13),IF(Q64=예상등급!$AE$1,LOOKUP(R64,예상등급!$AE$5:$AE$13,예상등급!$AF$5:$AF$13),IF(Q64=예상등급!$AH$1,LOOKUP(R64,예상등급!$AH$5:$AH$13,예상등급!$AI$5:$AI$13),IF(Q64=예상등급!$AK$1,LOOKUP(R64,예상등급!$AK$5:$AK$13,예상등급!$AL$5:$AL$13),IF(Q64=예상등급!$AN$1,LOOKUP(R64,예상등급!$AN$5:$AN$13,예상등급!$AO$5:$AO$13),IF(Q64=예상등급!$AQ$1,LOOKUP(R64,예상등급!$AQ$5:$AQ$13,예상등급!$AR$5:$AR$13),IF(Q64=예상등급!$AH$15,LOOKUP(R64,예상등급!$AH$19:$AH$27,예상등급!$AI$19:$AI$27),IF(Q64=예상등급!$AK$15,LOOKUP(R64,예상등급!$AK$19:$AK$27,예상등급!$AL$19:$AL$27),IF(Q64=예상등급!$AN$15,LOOKUP(R64,예상등급!$AN$19:$AN$27,예상등급!$AO$19:$AO$27),IF(Q64=예상등급!$AQ$15,LOOKUP(R64,예상등급!$AQ$19:$AQ$27,예상등급!$AR$19:$AR$27),"")))))))))))))))))</f>
        <v>1</v>
      </c>
      <c r="T64" s="110">
        <v>9</v>
      </c>
      <c r="U64" s="382">
        <f>IF(T64="","",LOOKUP(T64,예상등급!$D$19:$D$27,예상등급!$E$19:$E$27))</f>
        <v>8</v>
      </c>
      <c r="V64" s="402">
        <f>SUM(L64,T64,R64,O64)</f>
        <v>274</v>
      </c>
      <c r="W64" s="278">
        <f>RANK(V64,$V$4:$V$491)</f>
        <v>60</v>
      </c>
    </row>
    <row r="65" spans="1:28" s="7" customFormat="1" ht="24.95" customHeight="1" x14ac:dyDescent="0.15">
      <c r="A65" s="110">
        <v>7</v>
      </c>
      <c r="B65" s="71">
        <v>7</v>
      </c>
      <c r="C65" s="100" t="s">
        <v>922</v>
      </c>
      <c r="D65" s="110" t="s">
        <v>779</v>
      </c>
      <c r="E65" s="71">
        <v>64</v>
      </c>
      <c r="F65" s="382">
        <f>IF(D65=예상등급!$A$1,LOOKUP(E65,예상등급!$A$5:$A$13,예상등급!$B$5:$B$13),IF(D65=예상등급!$A$15,LOOKUP(E65,예상등급!$A$19:$A$27,예상등급!$B$19:$B$27),""))</f>
        <v>3</v>
      </c>
      <c r="G65" s="110" t="s">
        <v>781</v>
      </c>
      <c r="H65" s="71">
        <v>65</v>
      </c>
      <c r="I65" s="382">
        <f>IF(G65=예상등급!$G$15,LOOKUP(H65,예상등급!$G$19:$G$27,예상등급!$H$19:$H$27),IF(G65=예상등급!$J$15,LOOKUP(H65,예상등급!$J$19:$J$27,예상등급!$K$19:$K$27),IF(G65=예상등급!$M$15,LOOKUP(H65,예상등급!$M$19:$M$27,예상등급!$N$19:$N$27),"")))</f>
        <v>3</v>
      </c>
      <c r="J65" s="110">
        <v>68</v>
      </c>
      <c r="K65" s="382">
        <f>IF(J65="","",(LOOKUP(J65,예상등급!$D$5:$D$13,예상등급!$E$5:$E$13)))</f>
        <v>4</v>
      </c>
      <c r="L65" s="301">
        <f>SUM(E65,H65,J65)</f>
        <v>197</v>
      </c>
      <c r="M65" s="398">
        <f>RANK(L65,$L$4:$L$491)</f>
        <v>52</v>
      </c>
      <c r="N65" s="110" t="s">
        <v>762</v>
      </c>
      <c r="O65" s="71">
        <v>39</v>
      </c>
      <c r="P65" s="385">
        <f>IF(N65=예상등급!$G$1,LOOKUP(O65,예상등급!$G$5:$G$13,예상등급!$H$5:$H$13),IF(N65=예상등급!$J$1,LOOKUP(O65,예상등급!$J$5:$J$13,예상등급!$K$5:$K$13),IF(N65=예상등급!$M$1,LOOKUP(O65,예상등급!$M$5:$M$13,예상등급!$N$5:$N$13),IF(N65=예상등급!$P$1,LOOKUP(O65,예상등급!$P$5:$P$13,예상등급!$Q$5:$Q$13),IF(N65=예상등급!$S$1,LOOKUP(O65,예상등급!$S$5:$S$13,예상등급!$T$5:$T$13),IF(N65=예상등급!$V$1,LOOKUP(O65,예상등급!$V$5:$V$13,예상등급!$W$5:$W$13),IF(N65=예상등급!$Y$1,LOOKUP(O65,예상등급!$Y$5:$Y$13,예상등급!$Z$5:$Z$13),IF(N65=예상등급!$AB$1,LOOKUP(O65,예상등급!$AB$5:$AB$13,예상등급!$AC$5:$AC$13),IF(N65=예상등급!$AE$1,LOOKUP(O65,예상등급!$AE$5:$AE$13,예상등급!$AF$5:$AF$13),IF(N65=예상등급!$AH$1,LOOKUP(O65,예상등급!$AH$5:$AH$13,예상등급!$AI$5:$AI$13),IF(N65=예상등급!$AK$1,LOOKUP(O65,예상등급!$AK$5:$AK$13,예상등급!$AL$5:$AL$13),IF(N65=예상등급!$AN$1,LOOKUP(O65,예상등급!$AN$5:$AN$13,예상등급!$AO$5:$AO$13),IF(N65=예상등급!$AQ$1,LOOKUP(O65,예상등급!$AQ$5:$AQ$13,예상등급!$AR$5:$AR$13),IF(N65=예상등급!$AH$15,LOOKUP(O65,예상등급!$AH$19:$AH$27,예상등급!$AI$19:$AI$27),IF(N65=예상등급!$AK$15,LOOKUP(O65,예상등급!$AK$19:$AK$27,예상등급!$AL$19:$AL$27),IF(N65=예상등급!$AN$15,LOOKUP(O65,예상등급!$AN$19:$AN$27,예상등급!$AO$19:$AO$27),IF(N65=예상등급!$AQ$15,LOOKUP(O65,예상등급!$AQ$19:$AQ$27,예상등급!$AR$19:$AR$27),"")))))))))))))))))</f>
        <v>3</v>
      </c>
      <c r="Q65" s="110" t="s">
        <v>771</v>
      </c>
      <c r="R65" s="71">
        <v>26</v>
      </c>
      <c r="S65" s="385">
        <f>IF(Q65=예상등급!$G$1,LOOKUP(R65,예상등급!$G$5:$G$13,예상등급!$H$5:$H$13),IF(Q65=예상등급!$J$1,LOOKUP(R65,예상등급!$J$5:$J$13,예상등급!$K$5:$K$13),IF(Q65=예상등급!$M$1,LOOKUP(R65,예상등급!$M$5:$M$13,예상등급!$N$5:$N$13),IF(Q65=예상등급!$P$1,LOOKUP(R65,예상등급!$P$5:$P$13,예상등급!$Q$5:$Q$13),IF(Q65=예상등급!$S$1,LOOKUP(R65,예상등급!$S$5:$S$13,예상등급!$T$5:$T$13),IF(Q65=예상등급!$V$1,LOOKUP(R65,예상등급!$V$5:$V$13,예상등급!$W$5:$W$13),IF(Q65=예상등급!$Y$1,LOOKUP(R65,예상등급!$Y$5:$Y$13,예상등급!$Z$5:$Z$13),IF(Q65=예상등급!$AB$1,LOOKUP(R65,예상등급!$AB$5:$AB$13,예상등급!$AC$5:$AC$13),IF(Q65=예상등급!$AE$1,LOOKUP(R65,예상등급!$AE$5:$AE$13,예상등급!$AF$5:$AF$13),IF(Q65=예상등급!$AH$1,LOOKUP(R65,예상등급!$AH$5:$AH$13,예상등급!$AI$5:$AI$13),IF(Q65=예상등급!$AK$1,LOOKUP(R65,예상등급!$AK$5:$AK$13,예상등급!$AL$5:$AL$13),IF(Q65=예상등급!$AN$1,LOOKUP(R65,예상등급!$AN$5:$AN$13,예상등급!$AO$5:$AO$13),IF(Q65=예상등급!$AQ$1,LOOKUP(R65,예상등급!$AQ$5:$AQ$13,예상등급!$AR$5:$AR$13),IF(Q65=예상등급!$AH$15,LOOKUP(R65,예상등급!$AH$19:$AH$27,예상등급!$AI$19:$AI$27),IF(Q65=예상등급!$AK$15,LOOKUP(R65,예상등급!$AK$19:$AK$27,예상등급!$AL$19:$AL$27),IF(Q65=예상등급!$AN$15,LOOKUP(R65,예상등급!$AN$19:$AN$27,예상등급!$AO$19:$AO$27),IF(Q65=예상등급!$AQ$15,LOOKUP(R65,예상등급!$AQ$19:$AQ$27,예상등급!$AR$19:$AR$27),"")))))))))))))))))</f>
        <v>4</v>
      </c>
      <c r="T65" s="110">
        <v>12</v>
      </c>
      <c r="U65" s="382">
        <f>IF(T65="","",LOOKUP(T65,예상등급!$D$19:$D$27,예상등급!$E$19:$E$27))</f>
        <v>7</v>
      </c>
      <c r="V65" s="402">
        <f>SUM(L65,T65,R65,O65)</f>
        <v>274</v>
      </c>
      <c r="W65" s="278">
        <f>RANK(V65,$V$4:$V$491)</f>
        <v>60</v>
      </c>
      <c r="Y65" s="150"/>
      <c r="Z65" s="150"/>
    </row>
    <row r="66" spans="1:28" s="7" customFormat="1" ht="24.95" customHeight="1" x14ac:dyDescent="0.15">
      <c r="A66" s="110">
        <v>1</v>
      </c>
      <c r="B66" s="71">
        <v>2</v>
      </c>
      <c r="C66" s="100" t="s">
        <v>800</v>
      </c>
      <c r="D66" s="110" t="s">
        <v>779</v>
      </c>
      <c r="E66" s="71">
        <v>51</v>
      </c>
      <c r="F66" s="382">
        <f>IF(D66=예상등급!$A$1,LOOKUP(E66,예상등급!$A$5:$A$13,예상등급!$B$5:$B$13),IF(D66=예상등급!$A$15,LOOKUP(E66,예상등급!$A$19:$A$27,예상등급!$B$19:$B$27),""))</f>
        <v>5</v>
      </c>
      <c r="G66" s="110" t="s">
        <v>781</v>
      </c>
      <c r="H66" s="71">
        <v>50</v>
      </c>
      <c r="I66" s="382">
        <f>IF(G66=예상등급!$G$15,LOOKUP(H66,예상등급!$G$19:$G$27,예상등급!$H$19:$H$27),IF(G66=예상등급!$J$15,LOOKUP(H66,예상등급!$J$19:$J$27,예상등급!$K$19:$K$27),IF(G66=예상등급!$M$15,LOOKUP(H66,예상등급!$M$19:$M$27,예상등급!$N$19:$N$27),"")))</f>
        <v>4</v>
      </c>
      <c r="J66" s="110">
        <v>77</v>
      </c>
      <c r="K66" s="382">
        <f>IF(J66="","",(LOOKUP(J66,예상등급!$D$5:$D$13,예상등급!$E$5:$E$13)))</f>
        <v>3</v>
      </c>
      <c r="L66" s="301">
        <f>SUM(E66,H66,J66)</f>
        <v>178</v>
      </c>
      <c r="M66" s="398">
        <f>RANK(L66,$L$4:$L$491)</f>
        <v>79</v>
      </c>
      <c r="N66" s="110" t="s">
        <v>765</v>
      </c>
      <c r="O66" s="71">
        <v>38</v>
      </c>
      <c r="P66" s="385">
        <f>IF(N66=예상등급!$G$1,LOOKUP(O66,예상등급!$G$5:$G$13,예상등급!$H$5:$H$13),IF(N66=예상등급!$J$1,LOOKUP(O66,예상등급!$J$5:$J$13,예상등급!$K$5:$K$13),IF(N66=예상등급!$M$1,LOOKUP(O66,예상등급!$M$5:$M$13,예상등급!$N$5:$N$13),IF(N66=예상등급!$P$1,LOOKUP(O66,예상등급!$P$5:$P$13,예상등급!$Q$5:$Q$13),IF(N66=예상등급!$S$1,LOOKUP(O66,예상등급!$S$5:$S$13,예상등급!$T$5:$T$13),IF(N66=예상등급!$V$1,LOOKUP(O66,예상등급!$V$5:$V$13,예상등급!$W$5:$W$13),IF(N66=예상등급!$Y$1,LOOKUP(O66,예상등급!$Y$5:$Y$13,예상등급!$Z$5:$Z$13),IF(N66=예상등급!$AB$1,LOOKUP(O66,예상등급!$AB$5:$AB$13,예상등급!$AC$5:$AC$13),IF(N66=예상등급!$AE$1,LOOKUP(O66,예상등급!$AE$5:$AE$13,예상등급!$AF$5:$AF$13),IF(N66=예상등급!$AH$1,LOOKUP(O66,예상등급!$AH$5:$AH$13,예상등급!$AI$5:$AI$13),IF(N66=예상등급!$AK$1,LOOKUP(O66,예상등급!$AK$5:$AK$13,예상등급!$AL$5:$AL$13),IF(N66=예상등급!$AN$1,LOOKUP(O66,예상등급!$AN$5:$AN$13,예상등급!$AO$5:$AO$13),IF(N66=예상등급!$AQ$1,LOOKUP(O66,예상등급!$AQ$5:$AQ$13,예상등급!$AR$5:$AR$13),IF(N66=예상등급!$AH$15,LOOKUP(O66,예상등급!$AH$19:$AH$27,예상등급!$AI$19:$AI$27),IF(N66=예상등급!$AK$15,LOOKUP(O66,예상등급!$AK$19:$AK$27,예상등급!$AL$19:$AL$27),IF(N66=예상등급!$AN$15,LOOKUP(O66,예상등급!$AN$19:$AN$27,예상등급!$AO$19:$AO$27),IF(N66=예상등급!$AQ$15,LOOKUP(O66,예상등급!$AQ$19:$AQ$27,예상등급!$AR$19:$AR$27),"")))))))))))))))))</f>
        <v>2</v>
      </c>
      <c r="Q66" s="110" t="s">
        <v>760</v>
      </c>
      <c r="R66" s="71">
        <v>21</v>
      </c>
      <c r="S66" s="385">
        <f>IF(Q66=예상등급!$G$1,LOOKUP(R66,예상등급!$G$5:$G$13,예상등급!$H$5:$H$13),IF(Q66=예상등급!$J$1,LOOKUP(R66,예상등급!$J$5:$J$13,예상등급!$K$5:$K$13),IF(Q66=예상등급!$M$1,LOOKUP(R66,예상등급!$M$5:$M$13,예상등급!$N$5:$N$13),IF(Q66=예상등급!$P$1,LOOKUP(R66,예상등급!$P$5:$P$13,예상등급!$Q$5:$Q$13),IF(Q66=예상등급!$S$1,LOOKUP(R66,예상등급!$S$5:$S$13,예상등급!$T$5:$T$13),IF(Q66=예상등급!$V$1,LOOKUP(R66,예상등급!$V$5:$V$13,예상등급!$W$5:$W$13),IF(Q66=예상등급!$Y$1,LOOKUP(R66,예상등급!$Y$5:$Y$13,예상등급!$Z$5:$Z$13),IF(Q66=예상등급!$AB$1,LOOKUP(R66,예상등급!$AB$5:$AB$13,예상등급!$AC$5:$AC$13),IF(Q66=예상등급!$AE$1,LOOKUP(R66,예상등급!$AE$5:$AE$13,예상등급!$AF$5:$AF$13),IF(Q66=예상등급!$AH$1,LOOKUP(R66,예상등급!$AH$5:$AH$13,예상등급!$AI$5:$AI$13),IF(Q66=예상등급!$AK$1,LOOKUP(R66,예상등급!$AK$5:$AK$13,예상등급!$AL$5:$AL$13),IF(Q66=예상등급!$AN$1,LOOKUP(R66,예상등급!$AN$5:$AN$13,예상등급!$AO$5:$AO$13),IF(Q66=예상등급!$AQ$1,LOOKUP(R66,예상등급!$AQ$5:$AQ$13,예상등급!$AR$5:$AR$13),IF(Q66=예상등급!$AH$15,LOOKUP(R66,예상등급!$AH$19:$AH$27,예상등급!$AI$19:$AI$27),IF(Q66=예상등급!$AK$15,LOOKUP(R66,예상등급!$AK$19:$AK$27,예상등급!$AL$19:$AL$27),IF(Q66=예상등급!$AN$15,LOOKUP(R66,예상등급!$AN$19:$AN$27,예상등급!$AO$19:$AO$27),IF(Q66=예상등급!$AQ$15,LOOKUP(R66,예상등급!$AQ$19:$AQ$27,예상등급!$AR$19:$AR$27),"")))))))))))))))))</f>
        <v>4</v>
      </c>
      <c r="T66" s="110">
        <v>36</v>
      </c>
      <c r="U66" s="382">
        <f>IF(T66="","",LOOKUP(T66,예상등급!$D$19:$D$27,예상등급!$E$19:$E$27))</f>
        <v>2</v>
      </c>
      <c r="V66" s="402">
        <f>SUM(L66,T66,R66,O66)</f>
        <v>273</v>
      </c>
      <c r="W66" s="278">
        <f>RANK(V66,$V$4:$V$491)</f>
        <v>63</v>
      </c>
    </row>
    <row r="67" spans="1:28" s="7" customFormat="1" ht="24.95" customHeight="1" x14ac:dyDescent="0.15">
      <c r="A67" s="110">
        <v>4</v>
      </c>
      <c r="B67" s="71">
        <v>1</v>
      </c>
      <c r="C67" s="100" t="s">
        <v>856</v>
      </c>
      <c r="D67" s="110" t="s">
        <v>779</v>
      </c>
      <c r="E67" s="71">
        <v>60</v>
      </c>
      <c r="F67" s="382">
        <f>IF(D67=예상등급!$A$1,LOOKUP(E67,예상등급!$A$5:$A$13,예상등급!$B$5:$B$13),IF(D67=예상등급!$A$15,LOOKUP(E67,예상등급!$A$19:$A$27,예상등급!$B$19:$B$27),""))</f>
        <v>4</v>
      </c>
      <c r="G67" s="110" t="s">
        <v>781</v>
      </c>
      <c r="H67" s="71">
        <v>77</v>
      </c>
      <c r="I67" s="382">
        <f>IF(G67=예상등급!$G$15,LOOKUP(H67,예상등급!$G$19:$G$27,예상등급!$H$19:$H$27),IF(G67=예상등급!$J$15,LOOKUP(H67,예상등급!$J$19:$J$27,예상등급!$K$19:$K$27),IF(G67=예상등급!$M$15,LOOKUP(H67,예상등급!$M$19:$M$27,예상등급!$N$19:$N$27),"")))</f>
        <v>2</v>
      </c>
      <c r="J67" s="110">
        <v>60</v>
      </c>
      <c r="K67" s="382">
        <f>IF(J67="","",(LOOKUP(J67,예상등급!$D$5:$D$13,예상등급!$E$5:$E$13)))</f>
        <v>4</v>
      </c>
      <c r="L67" s="301">
        <f>SUM(E67,H67,J67)</f>
        <v>197</v>
      </c>
      <c r="M67" s="398">
        <f>RANK(L67,$L$4:$L$491)</f>
        <v>52</v>
      </c>
      <c r="N67" s="110" t="s">
        <v>762</v>
      </c>
      <c r="O67" s="71">
        <v>31</v>
      </c>
      <c r="P67" s="385">
        <f>IF(N67=예상등급!$G$1,LOOKUP(O67,예상등급!$G$5:$G$13,예상등급!$H$5:$H$13),IF(N67=예상등급!$J$1,LOOKUP(O67,예상등급!$J$5:$J$13,예상등급!$K$5:$K$13),IF(N67=예상등급!$M$1,LOOKUP(O67,예상등급!$M$5:$M$13,예상등급!$N$5:$N$13),IF(N67=예상등급!$P$1,LOOKUP(O67,예상등급!$P$5:$P$13,예상등급!$Q$5:$Q$13),IF(N67=예상등급!$S$1,LOOKUP(O67,예상등급!$S$5:$S$13,예상등급!$T$5:$T$13),IF(N67=예상등급!$V$1,LOOKUP(O67,예상등급!$V$5:$V$13,예상등급!$W$5:$W$13),IF(N67=예상등급!$Y$1,LOOKUP(O67,예상등급!$Y$5:$Y$13,예상등급!$Z$5:$Z$13),IF(N67=예상등급!$AB$1,LOOKUP(O67,예상등급!$AB$5:$AB$13,예상등급!$AC$5:$AC$13),IF(N67=예상등급!$AE$1,LOOKUP(O67,예상등급!$AE$5:$AE$13,예상등급!$AF$5:$AF$13),IF(N67=예상등급!$AH$1,LOOKUP(O67,예상등급!$AH$5:$AH$13,예상등급!$AI$5:$AI$13),IF(N67=예상등급!$AK$1,LOOKUP(O67,예상등급!$AK$5:$AK$13,예상등급!$AL$5:$AL$13),IF(N67=예상등급!$AN$1,LOOKUP(O67,예상등급!$AN$5:$AN$13,예상등급!$AO$5:$AO$13),IF(N67=예상등급!$AQ$1,LOOKUP(O67,예상등급!$AQ$5:$AQ$13,예상등급!$AR$5:$AR$13),IF(N67=예상등급!$AH$15,LOOKUP(O67,예상등급!$AH$19:$AH$27,예상등급!$AI$19:$AI$27),IF(N67=예상등급!$AK$15,LOOKUP(O67,예상등급!$AK$19:$AK$27,예상등급!$AL$19:$AL$27),IF(N67=예상등급!$AN$15,LOOKUP(O67,예상등급!$AN$19:$AN$27,예상등급!$AO$19:$AO$27),IF(N67=예상등급!$AQ$15,LOOKUP(O67,예상등급!$AQ$19:$AQ$27,예상등급!$AR$19:$AR$27),"")))))))))))))))))</f>
        <v>4</v>
      </c>
      <c r="Q67" s="110" t="s">
        <v>769</v>
      </c>
      <c r="R67" s="71">
        <v>28</v>
      </c>
      <c r="S67" s="385">
        <f>IF(Q67=예상등급!$G$1,LOOKUP(R67,예상등급!$G$5:$G$13,예상등급!$H$5:$H$13),IF(Q67=예상등급!$J$1,LOOKUP(R67,예상등급!$J$5:$J$13,예상등급!$K$5:$K$13),IF(Q67=예상등급!$M$1,LOOKUP(R67,예상등급!$M$5:$M$13,예상등급!$N$5:$N$13),IF(Q67=예상등급!$P$1,LOOKUP(R67,예상등급!$P$5:$P$13,예상등급!$Q$5:$Q$13),IF(Q67=예상등급!$S$1,LOOKUP(R67,예상등급!$S$5:$S$13,예상등급!$T$5:$T$13),IF(Q67=예상등급!$V$1,LOOKUP(R67,예상등급!$V$5:$V$13,예상등급!$W$5:$W$13),IF(Q67=예상등급!$Y$1,LOOKUP(R67,예상등급!$Y$5:$Y$13,예상등급!$Z$5:$Z$13),IF(Q67=예상등급!$AB$1,LOOKUP(R67,예상등급!$AB$5:$AB$13,예상등급!$AC$5:$AC$13),IF(Q67=예상등급!$AE$1,LOOKUP(R67,예상등급!$AE$5:$AE$13,예상등급!$AF$5:$AF$13),IF(Q67=예상등급!$AH$1,LOOKUP(R67,예상등급!$AH$5:$AH$13,예상등급!$AI$5:$AI$13),IF(Q67=예상등급!$AK$1,LOOKUP(R67,예상등급!$AK$5:$AK$13,예상등급!$AL$5:$AL$13),IF(Q67=예상등급!$AN$1,LOOKUP(R67,예상등급!$AN$5:$AN$13,예상등급!$AO$5:$AO$13),IF(Q67=예상등급!$AQ$1,LOOKUP(R67,예상등급!$AQ$5:$AQ$13,예상등급!$AR$5:$AR$13),IF(Q67=예상등급!$AH$15,LOOKUP(R67,예상등급!$AH$19:$AH$27,예상등급!$AI$19:$AI$27),IF(Q67=예상등급!$AK$15,LOOKUP(R67,예상등급!$AK$19:$AK$27,예상등급!$AL$19:$AL$27),IF(Q67=예상등급!$AN$15,LOOKUP(R67,예상등급!$AN$19:$AN$27,예상등급!$AO$19:$AO$27),IF(Q67=예상등급!$AQ$15,LOOKUP(R67,예상등급!$AQ$19:$AQ$27,예상등급!$AR$19:$AR$27),"")))))))))))))))))</f>
        <v>4</v>
      </c>
      <c r="T67" s="110">
        <v>17</v>
      </c>
      <c r="U67" s="382">
        <f>IF(T67="","",LOOKUP(T67,예상등급!$D$19:$D$27,예상등급!$E$19:$E$27))</f>
        <v>6</v>
      </c>
      <c r="V67" s="402">
        <f>SUM(L67,T67,R67,O67)</f>
        <v>273</v>
      </c>
      <c r="W67" s="278">
        <f>RANK(V67,$V$4:$V$491)</f>
        <v>63</v>
      </c>
    </row>
    <row r="68" spans="1:28" s="7" customFormat="1" ht="24.95" customHeight="1" x14ac:dyDescent="0.15">
      <c r="A68" s="110">
        <v>6</v>
      </c>
      <c r="B68" s="71">
        <v>20</v>
      </c>
      <c r="C68" s="100" t="s">
        <v>911</v>
      </c>
      <c r="D68" s="110" t="s">
        <v>779</v>
      </c>
      <c r="E68" s="71">
        <v>61</v>
      </c>
      <c r="F68" s="382">
        <f>IF(D68=예상등급!$A$1,LOOKUP(E68,예상등급!$A$5:$A$13,예상등급!$B$5:$B$13),IF(D68=예상등급!$A$15,LOOKUP(E68,예상등급!$A$19:$A$27,예상등급!$B$19:$B$27),""))</f>
        <v>4</v>
      </c>
      <c r="G68" s="110" t="s">
        <v>780</v>
      </c>
      <c r="H68" s="71">
        <v>54</v>
      </c>
      <c r="I68" s="382">
        <f>IF(G68=예상등급!$G$15,LOOKUP(H68,예상등급!$G$19:$G$27,예상등급!$H$19:$H$27),IF(G68=예상등급!$J$15,LOOKUP(H68,예상등급!$J$19:$J$27,예상등급!$K$19:$K$27),IF(G68=예상등급!$M$15,LOOKUP(H68,예상등급!$M$19:$M$27,예상등급!$N$19:$N$27),"")))</f>
        <v>5</v>
      </c>
      <c r="J68" s="110">
        <v>67</v>
      </c>
      <c r="K68" s="382">
        <f>IF(J68="","",(LOOKUP(J68,예상등급!$D$5:$D$13,예상등급!$E$5:$E$13)))</f>
        <v>4</v>
      </c>
      <c r="L68" s="301">
        <f>SUM(E68,H68,J68)</f>
        <v>182</v>
      </c>
      <c r="M68" s="398">
        <f>RANK(L68,$L$4:$L$491)</f>
        <v>75</v>
      </c>
      <c r="N68" s="110" t="s">
        <v>761</v>
      </c>
      <c r="O68" s="71">
        <v>34</v>
      </c>
      <c r="P68" s="385">
        <f>IF(N68=예상등급!$G$1,LOOKUP(O68,예상등급!$G$5:$G$13,예상등급!$H$5:$H$13),IF(N68=예상등급!$J$1,LOOKUP(O68,예상등급!$J$5:$J$13,예상등급!$K$5:$K$13),IF(N68=예상등급!$M$1,LOOKUP(O68,예상등급!$M$5:$M$13,예상등급!$N$5:$N$13),IF(N68=예상등급!$P$1,LOOKUP(O68,예상등급!$P$5:$P$13,예상등급!$Q$5:$Q$13),IF(N68=예상등급!$S$1,LOOKUP(O68,예상등급!$S$5:$S$13,예상등급!$T$5:$T$13),IF(N68=예상등급!$V$1,LOOKUP(O68,예상등급!$V$5:$V$13,예상등급!$W$5:$W$13),IF(N68=예상등급!$Y$1,LOOKUP(O68,예상등급!$Y$5:$Y$13,예상등급!$Z$5:$Z$13),IF(N68=예상등급!$AB$1,LOOKUP(O68,예상등급!$AB$5:$AB$13,예상등급!$AC$5:$AC$13),IF(N68=예상등급!$AE$1,LOOKUP(O68,예상등급!$AE$5:$AE$13,예상등급!$AF$5:$AF$13),IF(N68=예상등급!$AH$1,LOOKUP(O68,예상등급!$AH$5:$AH$13,예상등급!$AI$5:$AI$13),IF(N68=예상등급!$AK$1,LOOKUP(O68,예상등급!$AK$5:$AK$13,예상등급!$AL$5:$AL$13),IF(N68=예상등급!$AN$1,LOOKUP(O68,예상등급!$AN$5:$AN$13,예상등급!$AO$5:$AO$13),IF(N68=예상등급!$AQ$1,LOOKUP(O68,예상등급!$AQ$5:$AQ$13,예상등급!$AR$5:$AR$13),IF(N68=예상등급!$AH$15,LOOKUP(O68,예상등급!$AH$19:$AH$27,예상등급!$AI$19:$AI$27),IF(N68=예상등급!$AK$15,LOOKUP(O68,예상등급!$AK$19:$AK$27,예상등급!$AL$19:$AL$27),IF(N68=예상등급!$AN$15,LOOKUP(O68,예상등급!$AN$19:$AN$27,예상등급!$AO$19:$AO$27),IF(N68=예상등급!$AQ$15,LOOKUP(O68,예상등급!$AQ$19:$AQ$27,예상등급!$AR$19:$AR$27),"")))))))))))))))))</f>
        <v>3</v>
      </c>
      <c r="Q68" s="110" t="s">
        <v>772</v>
      </c>
      <c r="R68" s="71">
        <v>28</v>
      </c>
      <c r="S68" s="385">
        <f>IF(Q68=예상등급!$G$1,LOOKUP(R68,예상등급!$G$5:$G$13,예상등급!$H$5:$H$13),IF(Q68=예상등급!$J$1,LOOKUP(R68,예상등급!$J$5:$J$13,예상등급!$K$5:$K$13),IF(Q68=예상등급!$M$1,LOOKUP(R68,예상등급!$M$5:$M$13,예상등급!$N$5:$N$13),IF(Q68=예상등급!$P$1,LOOKUP(R68,예상등급!$P$5:$P$13,예상등급!$Q$5:$Q$13),IF(Q68=예상등급!$S$1,LOOKUP(R68,예상등급!$S$5:$S$13,예상등급!$T$5:$T$13),IF(Q68=예상등급!$V$1,LOOKUP(R68,예상등급!$V$5:$V$13,예상등급!$W$5:$W$13),IF(Q68=예상등급!$Y$1,LOOKUP(R68,예상등급!$Y$5:$Y$13,예상등급!$Z$5:$Z$13),IF(Q68=예상등급!$AB$1,LOOKUP(R68,예상등급!$AB$5:$AB$13,예상등급!$AC$5:$AC$13),IF(Q68=예상등급!$AE$1,LOOKUP(R68,예상등급!$AE$5:$AE$13,예상등급!$AF$5:$AF$13),IF(Q68=예상등급!$AH$1,LOOKUP(R68,예상등급!$AH$5:$AH$13,예상등급!$AI$5:$AI$13),IF(Q68=예상등급!$AK$1,LOOKUP(R68,예상등급!$AK$5:$AK$13,예상등급!$AL$5:$AL$13),IF(Q68=예상등급!$AN$1,LOOKUP(R68,예상등급!$AN$5:$AN$13,예상등급!$AO$5:$AO$13),IF(Q68=예상등급!$AQ$1,LOOKUP(R68,예상등급!$AQ$5:$AQ$13,예상등급!$AR$5:$AR$13),IF(Q68=예상등급!$AH$15,LOOKUP(R68,예상등급!$AH$19:$AH$27,예상등급!$AI$19:$AI$27),IF(Q68=예상등급!$AK$15,LOOKUP(R68,예상등급!$AK$19:$AK$27,예상등급!$AL$19:$AL$27),IF(Q68=예상등급!$AN$15,LOOKUP(R68,예상등급!$AN$19:$AN$27,예상등급!$AO$19:$AO$27),IF(Q68=예상등급!$AQ$15,LOOKUP(R68,예상등급!$AQ$19:$AQ$27,예상등급!$AR$19:$AR$27),"")))))))))))))))))</f>
        <v>3</v>
      </c>
      <c r="T68" s="110">
        <v>28</v>
      </c>
      <c r="U68" s="382">
        <f>IF(T68="","",LOOKUP(T68,예상등급!$D$19:$D$27,예상등급!$E$19:$E$27))</f>
        <v>4</v>
      </c>
      <c r="V68" s="402">
        <f>SUM(L68,T68,R68,O68)</f>
        <v>272</v>
      </c>
      <c r="W68" s="278">
        <f>RANK(V68,$V$4:$V$491)</f>
        <v>65</v>
      </c>
    </row>
    <row r="69" spans="1:28" s="7" customFormat="1" ht="24.95" customHeight="1" x14ac:dyDescent="0.15">
      <c r="A69" s="110">
        <v>8</v>
      </c>
      <c r="B69" s="71">
        <v>8</v>
      </c>
      <c r="C69" s="100" t="s">
        <v>944</v>
      </c>
      <c r="D69" s="110" t="s">
        <v>779</v>
      </c>
      <c r="E69" s="71">
        <v>40</v>
      </c>
      <c r="F69" s="382">
        <f>IF(D69=예상등급!$A$1,LOOKUP(E69,예상등급!$A$5:$A$13,예상등급!$B$5:$B$13),IF(D69=예상등급!$A$15,LOOKUP(E69,예상등급!$A$19:$A$27,예상등급!$B$19:$B$27),""))</f>
        <v>6</v>
      </c>
      <c r="G69" s="110" t="s">
        <v>780</v>
      </c>
      <c r="H69" s="71">
        <v>65</v>
      </c>
      <c r="I69" s="382">
        <f>IF(G69=예상등급!$G$15,LOOKUP(H69,예상등급!$G$19:$G$27,예상등급!$H$19:$H$27),IF(G69=예상등급!$J$15,LOOKUP(H69,예상등급!$J$19:$J$27,예상등급!$K$19:$K$27),IF(G69=예상등급!$M$15,LOOKUP(H69,예상등급!$M$19:$M$27,예상등급!$N$19:$N$27),"")))</f>
        <v>4</v>
      </c>
      <c r="J69" s="110">
        <v>69</v>
      </c>
      <c r="K69" s="382">
        <f>IF(J69="","",(LOOKUP(J69,예상등급!$D$5:$D$13,예상등급!$E$5:$E$13)))</f>
        <v>4</v>
      </c>
      <c r="L69" s="301">
        <f>SUM(E69,H69,J69)</f>
        <v>174</v>
      </c>
      <c r="M69" s="398">
        <f>RANK(L69,$L$4:$L$491)</f>
        <v>87</v>
      </c>
      <c r="N69" s="110" t="s">
        <v>761</v>
      </c>
      <c r="O69" s="71">
        <v>38</v>
      </c>
      <c r="P69" s="385">
        <f>IF(N69=예상등급!$G$1,LOOKUP(O69,예상등급!$G$5:$G$13,예상등급!$H$5:$H$13),IF(N69=예상등급!$J$1,LOOKUP(O69,예상등급!$J$5:$J$13,예상등급!$K$5:$K$13),IF(N69=예상등급!$M$1,LOOKUP(O69,예상등급!$M$5:$M$13,예상등급!$N$5:$N$13),IF(N69=예상등급!$P$1,LOOKUP(O69,예상등급!$P$5:$P$13,예상등급!$Q$5:$Q$13),IF(N69=예상등급!$S$1,LOOKUP(O69,예상등급!$S$5:$S$13,예상등급!$T$5:$T$13),IF(N69=예상등급!$V$1,LOOKUP(O69,예상등급!$V$5:$V$13,예상등급!$W$5:$W$13),IF(N69=예상등급!$Y$1,LOOKUP(O69,예상등급!$Y$5:$Y$13,예상등급!$Z$5:$Z$13),IF(N69=예상등급!$AB$1,LOOKUP(O69,예상등급!$AB$5:$AB$13,예상등급!$AC$5:$AC$13),IF(N69=예상등급!$AE$1,LOOKUP(O69,예상등급!$AE$5:$AE$13,예상등급!$AF$5:$AF$13),IF(N69=예상등급!$AH$1,LOOKUP(O69,예상등급!$AH$5:$AH$13,예상등급!$AI$5:$AI$13),IF(N69=예상등급!$AK$1,LOOKUP(O69,예상등급!$AK$5:$AK$13,예상등급!$AL$5:$AL$13),IF(N69=예상등급!$AN$1,LOOKUP(O69,예상등급!$AN$5:$AN$13,예상등급!$AO$5:$AO$13),IF(N69=예상등급!$AQ$1,LOOKUP(O69,예상등급!$AQ$5:$AQ$13,예상등급!$AR$5:$AR$13),IF(N69=예상등급!$AH$15,LOOKUP(O69,예상등급!$AH$19:$AH$27,예상등급!$AI$19:$AI$27),IF(N69=예상등급!$AK$15,LOOKUP(O69,예상등급!$AK$19:$AK$27,예상등급!$AL$19:$AL$27),IF(N69=예상등급!$AN$15,LOOKUP(O69,예상등급!$AN$19:$AN$27,예상등급!$AO$19:$AO$27),IF(N69=예상등급!$AQ$15,LOOKUP(O69,예상등급!$AQ$19:$AQ$27,예상등급!$AR$19:$AR$27),"")))))))))))))))))</f>
        <v>2</v>
      </c>
      <c r="Q69" s="110" t="s">
        <v>762</v>
      </c>
      <c r="R69" s="71">
        <v>36</v>
      </c>
      <c r="S69" s="385">
        <f>IF(Q69=예상등급!$G$1,LOOKUP(R69,예상등급!$G$5:$G$13,예상등급!$H$5:$H$13),IF(Q69=예상등급!$J$1,LOOKUP(R69,예상등급!$J$5:$J$13,예상등급!$K$5:$K$13),IF(Q69=예상등급!$M$1,LOOKUP(R69,예상등급!$M$5:$M$13,예상등급!$N$5:$N$13),IF(Q69=예상등급!$P$1,LOOKUP(R69,예상등급!$P$5:$P$13,예상등급!$Q$5:$Q$13),IF(Q69=예상등급!$S$1,LOOKUP(R69,예상등급!$S$5:$S$13,예상등급!$T$5:$T$13),IF(Q69=예상등급!$V$1,LOOKUP(R69,예상등급!$V$5:$V$13,예상등급!$W$5:$W$13),IF(Q69=예상등급!$Y$1,LOOKUP(R69,예상등급!$Y$5:$Y$13,예상등급!$Z$5:$Z$13),IF(Q69=예상등급!$AB$1,LOOKUP(R69,예상등급!$AB$5:$AB$13,예상등급!$AC$5:$AC$13),IF(Q69=예상등급!$AE$1,LOOKUP(R69,예상등급!$AE$5:$AE$13,예상등급!$AF$5:$AF$13),IF(Q69=예상등급!$AH$1,LOOKUP(R69,예상등급!$AH$5:$AH$13,예상등급!$AI$5:$AI$13),IF(Q69=예상등급!$AK$1,LOOKUP(R69,예상등급!$AK$5:$AK$13,예상등급!$AL$5:$AL$13),IF(Q69=예상등급!$AN$1,LOOKUP(R69,예상등급!$AN$5:$AN$13,예상등급!$AO$5:$AO$13),IF(Q69=예상등급!$AQ$1,LOOKUP(R69,예상등급!$AQ$5:$AQ$13,예상등급!$AR$5:$AR$13),IF(Q69=예상등급!$AH$15,LOOKUP(R69,예상등급!$AH$19:$AH$27,예상등급!$AI$19:$AI$27),IF(Q69=예상등급!$AK$15,LOOKUP(R69,예상등급!$AK$19:$AK$27,예상등급!$AL$19:$AL$27),IF(Q69=예상등급!$AN$15,LOOKUP(R69,예상등급!$AN$19:$AN$27,예상등급!$AO$19:$AO$27),IF(Q69=예상등급!$AQ$15,LOOKUP(R69,예상등급!$AQ$19:$AQ$27,예상등급!$AR$19:$AR$27),"")))))))))))))))))</f>
        <v>3</v>
      </c>
      <c r="T69" s="110">
        <v>24</v>
      </c>
      <c r="U69" s="382">
        <f>IF(T69="","",LOOKUP(T69,예상등급!$D$19:$D$27,예상등급!$E$19:$E$27))</f>
        <v>5</v>
      </c>
      <c r="V69" s="402">
        <f>SUM(L69,T69,R69,O69)</f>
        <v>272</v>
      </c>
      <c r="W69" s="278">
        <f>RANK(V69,$V$4:$V$491)</f>
        <v>65</v>
      </c>
    </row>
    <row r="70" spans="1:28" s="7" customFormat="1" ht="24.95" customHeight="1" x14ac:dyDescent="0.15">
      <c r="A70" s="110">
        <v>9</v>
      </c>
      <c r="B70" s="71">
        <v>27</v>
      </c>
      <c r="C70" s="100" t="s">
        <v>984</v>
      </c>
      <c r="D70" s="110" t="s">
        <v>779</v>
      </c>
      <c r="E70" s="71">
        <v>67</v>
      </c>
      <c r="F70" s="382">
        <f>IF(D70=예상등급!$A$1,LOOKUP(E70,예상등급!$A$5:$A$13,예상등급!$B$5:$B$13),IF(D70=예상등급!$A$15,LOOKUP(E70,예상등급!$A$19:$A$27,예상등급!$B$19:$B$27),""))</f>
        <v>3</v>
      </c>
      <c r="G70" s="110" t="s">
        <v>780</v>
      </c>
      <c r="H70" s="71">
        <v>41</v>
      </c>
      <c r="I70" s="382">
        <f>IF(G70=예상등급!$G$15,LOOKUP(H70,예상등급!$G$19:$G$27,예상등급!$H$19:$H$27),IF(G70=예상등급!$J$15,LOOKUP(H70,예상등급!$J$19:$J$27,예상등급!$K$19:$K$27),IF(G70=예상등급!$M$15,LOOKUP(H70,예상등급!$M$19:$M$27,예상등급!$N$19:$N$27),"")))</f>
        <v>5</v>
      </c>
      <c r="J70" s="110">
        <v>55</v>
      </c>
      <c r="K70" s="382">
        <f>IF(J70="","",(LOOKUP(J70,예상등급!$D$5:$D$13,예상등급!$E$5:$E$13)))</f>
        <v>5</v>
      </c>
      <c r="L70" s="301">
        <f>SUM(E70,H70,J70)</f>
        <v>163</v>
      </c>
      <c r="M70" s="398">
        <f>RANK(L70,$L$4:$L$491)</f>
        <v>107</v>
      </c>
      <c r="N70" s="110" t="s">
        <v>761</v>
      </c>
      <c r="O70" s="71">
        <v>43</v>
      </c>
      <c r="P70" s="385">
        <f>IF(N70=예상등급!$G$1,LOOKUP(O70,예상등급!$G$5:$G$13,예상등급!$H$5:$H$13),IF(N70=예상등급!$J$1,LOOKUP(O70,예상등급!$J$5:$J$13,예상등급!$K$5:$K$13),IF(N70=예상등급!$M$1,LOOKUP(O70,예상등급!$M$5:$M$13,예상등급!$N$5:$N$13),IF(N70=예상등급!$P$1,LOOKUP(O70,예상등급!$P$5:$P$13,예상등급!$Q$5:$Q$13),IF(N70=예상등급!$S$1,LOOKUP(O70,예상등급!$S$5:$S$13,예상등급!$T$5:$T$13),IF(N70=예상등급!$V$1,LOOKUP(O70,예상등급!$V$5:$V$13,예상등급!$W$5:$W$13),IF(N70=예상등급!$Y$1,LOOKUP(O70,예상등급!$Y$5:$Y$13,예상등급!$Z$5:$Z$13),IF(N70=예상등급!$AB$1,LOOKUP(O70,예상등급!$AB$5:$AB$13,예상등급!$AC$5:$AC$13),IF(N70=예상등급!$AE$1,LOOKUP(O70,예상등급!$AE$5:$AE$13,예상등급!$AF$5:$AF$13),IF(N70=예상등급!$AH$1,LOOKUP(O70,예상등급!$AH$5:$AH$13,예상등급!$AI$5:$AI$13),IF(N70=예상등급!$AK$1,LOOKUP(O70,예상등급!$AK$5:$AK$13,예상등급!$AL$5:$AL$13),IF(N70=예상등급!$AN$1,LOOKUP(O70,예상등급!$AN$5:$AN$13,예상등급!$AO$5:$AO$13),IF(N70=예상등급!$AQ$1,LOOKUP(O70,예상등급!$AQ$5:$AQ$13,예상등급!$AR$5:$AR$13),IF(N70=예상등급!$AH$15,LOOKUP(O70,예상등급!$AH$19:$AH$27,예상등급!$AI$19:$AI$27),IF(N70=예상등급!$AK$15,LOOKUP(O70,예상등급!$AK$19:$AK$27,예상등급!$AL$19:$AL$27),IF(N70=예상등급!$AN$15,LOOKUP(O70,예상등급!$AN$19:$AN$27,예상등급!$AO$19:$AO$27),IF(N70=예상등급!$AQ$15,LOOKUP(O70,예상등급!$AQ$19:$AQ$27,예상등급!$AR$19:$AR$27),"")))))))))))))))))</f>
        <v>2</v>
      </c>
      <c r="Q70" s="110" t="s">
        <v>762</v>
      </c>
      <c r="R70" s="71">
        <v>47</v>
      </c>
      <c r="S70" s="385">
        <f>IF(Q70=예상등급!$G$1,LOOKUP(R70,예상등급!$G$5:$G$13,예상등급!$H$5:$H$13),IF(Q70=예상등급!$J$1,LOOKUP(R70,예상등급!$J$5:$J$13,예상등급!$K$5:$K$13),IF(Q70=예상등급!$M$1,LOOKUP(R70,예상등급!$M$5:$M$13,예상등급!$N$5:$N$13),IF(Q70=예상등급!$P$1,LOOKUP(R70,예상등급!$P$5:$P$13,예상등급!$Q$5:$Q$13),IF(Q70=예상등급!$S$1,LOOKUP(R70,예상등급!$S$5:$S$13,예상등급!$T$5:$T$13),IF(Q70=예상등급!$V$1,LOOKUP(R70,예상등급!$V$5:$V$13,예상등급!$W$5:$W$13),IF(Q70=예상등급!$Y$1,LOOKUP(R70,예상등급!$Y$5:$Y$13,예상등급!$Z$5:$Z$13),IF(Q70=예상등급!$AB$1,LOOKUP(R70,예상등급!$AB$5:$AB$13,예상등급!$AC$5:$AC$13),IF(Q70=예상등급!$AE$1,LOOKUP(R70,예상등급!$AE$5:$AE$13,예상등급!$AF$5:$AF$13),IF(Q70=예상등급!$AH$1,LOOKUP(R70,예상등급!$AH$5:$AH$13,예상등급!$AI$5:$AI$13),IF(Q70=예상등급!$AK$1,LOOKUP(R70,예상등급!$AK$5:$AK$13,예상등급!$AL$5:$AL$13),IF(Q70=예상등급!$AN$1,LOOKUP(R70,예상등급!$AN$5:$AN$13,예상등급!$AO$5:$AO$13),IF(Q70=예상등급!$AQ$1,LOOKUP(R70,예상등급!$AQ$5:$AQ$13,예상등급!$AR$5:$AR$13),IF(Q70=예상등급!$AH$15,LOOKUP(R70,예상등급!$AH$19:$AH$27,예상등급!$AI$19:$AI$27),IF(Q70=예상등급!$AK$15,LOOKUP(R70,예상등급!$AK$19:$AK$27,예상등급!$AL$19:$AL$27),IF(Q70=예상등급!$AN$15,LOOKUP(R70,예상등급!$AN$19:$AN$27,예상등급!$AO$19:$AO$27),IF(Q70=예상등급!$AQ$15,LOOKUP(R70,예상등급!$AQ$19:$AQ$27,예상등급!$AR$19:$AR$27),"")))))))))))))))))</f>
        <v>1</v>
      </c>
      <c r="T70" s="110">
        <v>19</v>
      </c>
      <c r="U70" s="382">
        <f>IF(T70="","",LOOKUP(T70,예상등급!$D$19:$D$27,예상등급!$E$19:$E$27))</f>
        <v>6</v>
      </c>
      <c r="V70" s="402">
        <f>SUM(L70,T70,R70,O70)</f>
        <v>272</v>
      </c>
      <c r="W70" s="278">
        <f>RANK(V70,$V$4:$V$491)</f>
        <v>65</v>
      </c>
    </row>
    <row r="71" spans="1:28" s="7" customFormat="1" ht="24.95" customHeight="1" x14ac:dyDescent="0.15">
      <c r="A71" s="110">
        <v>5</v>
      </c>
      <c r="B71" s="71">
        <v>10</v>
      </c>
      <c r="C71" s="100" t="s">
        <v>847</v>
      </c>
      <c r="D71" s="110" t="s">
        <v>778</v>
      </c>
      <c r="E71" s="71">
        <v>59</v>
      </c>
      <c r="F71" s="382">
        <f>IF(D71=예상등급!$A$1,LOOKUP(E71,예상등급!$A$5:$A$13,예상등급!$B$5:$B$13),IF(D71=예상등급!$A$15,LOOKUP(E71,예상등급!$A$19:$A$27,예상등급!$B$19:$B$27),""))</f>
        <v>4</v>
      </c>
      <c r="G71" s="110" t="s">
        <v>780</v>
      </c>
      <c r="H71" s="71">
        <v>55</v>
      </c>
      <c r="I71" s="382">
        <f>IF(G71=예상등급!$G$15,LOOKUP(H71,예상등급!$G$19:$G$27,예상등급!$H$19:$H$27),IF(G71=예상등급!$J$15,LOOKUP(H71,예상등급!$J$19:$J$27,예상등급!$K$19:$K$27),IF(G71=예상등급!$M$15,LOOKUP(H71,예상등급!$M$19:$M$27,예상등급!$N$19:$N$27),"")))</f>
        <v>5</v>
      </c>
      <c r="J71" s="110">
        <v>72</v>
      </c>
      <c r="K71" s="382">
        <f>IF(J71="","",(LOOKUP(J71,예상등급!$D$5:$D$13,예상등급!$E$5:$E$13)))</f>
        <v>3</v>
      </c>
      <c r="L71" s="301">
        <f>SUM(E71,H71,J71)</f>
        <v>186</v>
      </c>
      <c r="M71" s="398">
        <f>RANK(L71,$L$4:$L$491)</f>
        <v>68</v>
      </c>
      <c r="N71" s="110" t="s">
        <v>761</v>
      </c>
      <c r="O71" s="71">
        <v>25</v>
      </c>
      <c r="P71" s="385">
        <f>IF(N71=예상등급!$G$1,LOOKUP(O71,예상등급!$G$5:$G$13,예상등급!$H$5:$H$13),IF(N71=예상등급!$J$1,LOOKUP(O71,예상등급!$J$5:$J$13,예상등급!$K$5:$K$13),IF(N71=예상등급!$M$1,LOOKUP(O71,예상등급!$M$5:$M$13,예상등급!$N$5:$N$13),IF(N71=예상등급!$P$1,LOOKUP(O71,예상등급!$P$5:$P$13,예상등급!$Q$5:$Q$13),IF(N71=예상등급!$S$1,LOOKUP(O71,예상등급!$S$5:$S$13,예상등급!$T$5:$T$13),IF(N71=예상등급!$V$1,LOOKUP(O71,예상등급!$V$5:$V$13,예상등급!$W$5:$W$13),IF(N71=예상등급!$Y$1,LOOKUP(O71,예상등급!$Y$5:$Y$13,예상등급!$Z$5:$Z$13),IF(N71=예상등급!$AB$1,LOOKUP(O71,예상등급!$AB$5:$AB$13,예상등급!$AC$5:$AC$13),IF(N71=예상등급!$AE$1,LOOKUP(O71,예상등급!$AE$5:$AE$13,예상등급!$AF$5:$AF$13),IF(N71=예상등급!$AH$1,LOOKUP(O71,예상등급!$AH$5:$AH$13,예상등급!$AI$5:$AI$13),IF(N71=예상등급!$AK$1,LOOKUP(O71,예상등급!$AK$5:$AK$13,예상등급!$AL$5:$AL$13),IF(N71=예상등급!$AN$1,LOOKUP(O71,예상등급!$AN$5:$AN$13,예상등급!$AO$5:$AO$13),IF(N71=예상등급!$AQ$1,LOOKUP(O71,예상등급!$AQ$5:$AQ$13,예상등급!$AR$5:$AR$13),IF(N71=예상등급!$AH$15,LOOKUP(O71,예상등급!$AH$19:$AH$27,예상등급!$AI$19:$AI$27),IF(N71=예상등급!$AK$15,LOOKUP(O71,예상등급!$AK$19:$AK$27,예상등급!$AL$19:$AL$27),IF(N71=예상등급!$AN$15,LOOKUP(O71,예상등급!$AN$19:$AN$27,예상등급!$AO$19:$AO$27),IF(N71=예상등급!$AQ$15,LOOKUP(O71,예상등급!$AQ$19:$AQ$27,예상등급!$AR$19:$AR$27),"")))))))))))))))))</f>
        <v>4</v>
      </c>
      <c r="Q71" s="110" t="s">
        <v>767</v>
      </c>
      <c r="R71" s="71">
        <v>33</v>
      </c>
      <c r="S71" s="385">
        <f>IF(Q71=예상등급!$G$1,LOOKUP(R71,예상등급!$G$5:$G$13,예상등급!$H$5:$H$13),IF(Q71=예상등급!$J$1,LOOKUP(R71,예상등급!$J$5:$J$13,예상등급!$K$5:$K$13),IF(Q71=예상등급!$M$1,LOOKUP(R71,예상등급!$M$5:$M$13,예상등급!$N$5:$N$13),IF(Q71=예상등급!$P$1,LOOKUP(R71,예상등급!$P$5:$P$13,예상등급!$Q$5:$Q$13),IF(Q71=예상등급!$S$1,LOOKUP(R71,예상등급!$S$5:$S$13,예상등급!$T$5:$T$13),IF(Q71=예상등급!$V$1,LOOKUP(R71,예상등급!$V$5:$V$13,예상등급!$W$5:$W$13),IF(Q71=예상등급!$Y$1,LOOKUP(R71,예상등급!$Y$5:$Y$13,예상등급!$Z$5:$Z$13),IF(Q71=예상등급!$AB$1,LOOKUP(R71,예상등급!$AB$5:$AB$13,예상등급!$AC$5:$AC$13),IF(Q71=예상등급!$AE$1,LOOKUP(R71,예상등급!$AE$5:$AE$13,예상등급!$AF$5:$AF$13),IF(Q71=예상등급!$AH$1,LOOKUP(R71,예상등급!$AH$5:$AH$13,예상등급!$AI$5:$AI$13),IF(Q71=예상등급!$AK$1,LOOKUP(R71,예상등급!$AK$5:$AK$13,예상등급!$AL$5:$AL$13),IF(Q71=예상등급!$AN$1,LOOKUP(R71,예상등급!$AN$5:$AN$13,예상등급!$AO$5:$AO$13),IF(Q71=예상등급!$AQ$1,LOOKUP(R71,예상등급!$AQ$5:$AQ$13,예상등급!$AR$5:$AR$13),IF(Q71=예상등급!$AH$15,LOOKUP(R71,예상등급!$AH$19:$AH$27,예상등급!$AI$19:$AI$27),IF(Q71=예상등급!$AK$15,LOOKUP(R71,예상등급!$AK$19:$AK$27,예상등급!$AL$19:$AL$27),IF(Q71=예상등급!$AN$15,LOOKUP(R71,예상등급!$AN$19:$AN$27,예상등급!$AO$19:$AO$27),IF(Q71=예상등급!$AQ$15,LOOKUP(R71,예상등급!$AQ$19:$AQ$27,예상등급!$AR$19:$AR$27),"")))))))))))))))))</f>
        <v>3</v>
      </c>
      <c r="T71" s="110">
        <v>27</v>
      </c>
      <c r="U71" s="382">
        <f>IF(T71="","",LOOKUP(T71,예상등급!$D$19:$D$27,예상등급!$E$19:$E$27))</f>
        <v>4</v>
      </c>
      <c r="V71" s="402">
        <f>SUM(L71,T71,R71,O71)</f>
        <v>271</v>
      </c>
      <c r="W71" s="278">
        <f>RANK(V71,$V$4:$V$491)</f>
        <v>68</v>
      </c>
    </row>
    <row r="72" spans="1:28" s="7" customFormat="1" ht="24.95" customHeight="1" x14ac:dyDescent="0.15">
      <c r="A72" s="110">
        <v>6</v>
      </c>
      <c r="B72" s="71">
        <v>8</v>
      </c>
      <c r="C72" s="100" t="s">
        <v>900</v>
      </c>
      <c r="D72" s="110" t="s">
        <v>779</v>
      </c>
      <c r="E72" s="71">
        <v>70</v>
      </c>
      <c r="F72" s="382">
        <f>IF(D72=예상등급!$A$1,LOOKUP(E72,예상등급!$A$5:$A$13,예상등급!$B$5:$B$13),IF(D72=예상등급!$A$15,LOOKUP(E72,예상등급!$A$19:$A$27,예상등급!$B$19:$B$27),""))</f>
        <v>3</v>
      </c>
      <c r="G72" s="110" t="s">
        <v>780</v>
      </c>
      <c r="H72" s="71">
        <v>41</v>
      </c>
      <c r="I72" s="382">
        <f>IF(G72=예상등급!$G$15,LOOKUP(H72,예상등급!$G$19:$G$27,예상등급!$H$19:$H$27),IF(G72=예상등급!$J$15,LOOKUP(H72,예상등급!$J$19:$J$27,예상등급!$K$19:$K$27),IF(G72=예상등급!$M$15,LOOKUP(H72,예상등급!$M$19:$M$27,예상등급!$N$19:$N$27),"")))</f>
        <v>5</v>
      </c>
      <c r="J72" s="110">
        <v>71</v>
      </c>
      <c r="K72" s="382">
        <f>IF(J72="","",(LOOKUP(J72,예상등급!$D$5:$D$13,예상등급!$E$5:$E$13)))</f>
        <v>3</v>
      </c>
      <c r="L72" s="301">
        <f>SUM(E72,H72,J72)</f>
        <v>182</v>
      </c>
      <c r="M72" s="398">
        <f>RANK(L72,$L$4:$L$491)</f>
        <v>75</v>
      </c>
      <c r="N72" s="110" t="s">
        <v>761</v>
      </c>
      <c r="O72" s="71">
        <v>31</v>
      </c>
      <c r="P72" s="385">
        <f>IF(N72=예상등급!$G$1,LOOKUP(O72,예상등급!$G$5:$G$13,예상등급!$H$5:$H$13),IF(N72=예상등급!$J$1,LOOKUP(O72,예상등급!$J$5:$J$13,예상등급!$K$5:$K$13),IF(N72=예상등급!$M$1,LOOKUP(O72,예상등급!$M$5:$M$13,예상등급!$N$5:$N$13),IF(N72=예상등급!$P$1,LOOKUP(O72,예상등급!$P$5:$P$13,예상등급!$Q$5:$Q$13),IF(N72=예상등급!$S$1,LOOKUP(O72,예상등급!$S$5:$S$13,예상등급!$T$5:$T$13),IF(N72=예상등급!$V$1,LOOKUP(O72,예상등급!$V$5:$V$13,예상등급!$W$5:$W$13),IF(N72=예상등급!$Y$1,LOOKUP(O72,예상등급!$Y$5:$Y$13,예상등급!$Z$5:$Z$13),IF(N72=예상등급!$AB$1,LOOKUP(O72,예상등급!$AB$5:$AB$13,예상등급!$AC$5:$AC$13),IF(N72=예상등급!$AE$1,LOOKUP(O72,예상등급!$AE$5:$AE$13,예상등급!$AF$5:$AF$13),IF(N72=예상등급!$AH$1,LOOKUP(O72,예상등급!$AH$5:$AH$13,예상등급!$AI$5:$AI$13),IF(N72=예상등급!$AK$1,LOOKUP(O72,예상등급!$AK$5:$AK$13,예상등급!$AL$5:$AL$13),IF(N72=예상등급!$AN$1,LOOKUP(O72,예상등급!$AN$5:$AN$13,예상등급!$AO$5:$AO$13),IF(N72=예상등급!$AQ$1,LOOKUP(O72,예상등급!$AQ$5:$AQ$13,예상등급!$AR$5:$AR$13),IF(N72=예상등급!$AH$15,LOOKUP(O72,예상등급!$AH$19:$AH$27,예상등급!$AI$19:$AI$27),IF(N72=예상등급!$AK$15,LOOKUP(O72,예상등급!$AK$19:$AK$27,예상등급!$AL$19:$AL$27),IF(N72=예상등급!$AN$15,LOOKUP(O72,예상등급!$AN$19:$AN$27,예상등급!$AO$19:$AO$27),IF(N72=예상등급!$AQ$15,LOOKUP(O72,예상등급!$AQ$19:$AQ$27,예상등급!$AR$19:$AR$27),"")))))))))))))))))</f>
        <v>3</v>
      </c>
      <c r="Q72" s="110" t="s">
        <v>762</v>
      </c>
      <c r="R72" s="71">
        <v>39</v>
      </c>
      <c r="S72" s="385">
        <f>IF(Q72=예상등급!$G$1,LOOKUP(R72,예상등급!$G$5:$G$13,예상등급!$H$5:$H$13),IF(Q72=예상등급!$J$1,LOOKUP(R72,예상등급!$J$5:$J$13,예상등급!$K$5:$K$13),IF(Q72=예상등급!$M$1,LOOKUP(R72,예상등급!$M$5:$M$13,예상등급!$N$5:$N$13),IF(Q72=예상등급!$P$1,LOOKUP(R72,예상등급!$P$5:$P$13,예상등급!$Q$5:$Q$13),IF(Q72=예상등급!$S$1,LOOKUP(R72,예상등급!$S$5:$S$13,예상등급!$T$5:$T$13),IF(Q72=예상등급!$V$1,LOOKUP(R72,예상등급!$V$5:$V$13,예상등급!$W$5:$W$13),IF(Q72=예상등급!$Y$1,LOOKUP(R72,예상등급!$Y$5:$Y$13,예상등급!$Z$5:$Z$13),IF(Q72=예상등급!$AB$1,LOOKUP(R72,예상등급!$AB$5:$AB$13,예상등급!$AC$5:$AC$13),IF(Q72=예상등급!$AE$1,LOOKUP(R72,예상등급!$AE$5:$AE$13,예상등급!$AF$5:$AF$13),IF(Q72=예상등급!$AH$1,LOOKUP(R72,예상등급!$AH$5:$AH$13,예상등급!$AI$5:$AI$13),IF(Q72=예상등급!$AK$1,LOOKUP(R72,예상등급!$AK$5:$AK$13,예상등급!$AL$5:$AL$13),IF(Q72=예상등급!$AN$1,LOOKUP(R72,예상등급!$AN$5:$AN$13,예상등급!$AO$5:$AO$13),IF(Q72=예상등급!$AQ$1,LOOKUP(R72,예상등급!$AQ$5:$AQ$13,예상등급!$AR$5:$AR$13),IF(Q72=예상등급!$AH$15,LOOKUP(R72,예상등급!$AH$19:$AH$27,예상등급!$AI$19:$AI$27),IF(Q72=예상등급!$AK$15,LOOKUP(R72,예상등급!$AK$19:$AK$27,예상등급!$AL$19:$AL$27),IF(Q72=예상등급!$AN$15,LOOKUP(R72,예상등급!$AN$19:$AN$27,예상등급!$AO$19:$AO$27),IF(Q72=예상등급!$AQ$15,LOOKUP(R72,예상등급!$AQ$19:$AQ$27,예상등급!$AR$19:$AR$27),"")))))))))))))))))</f>
        <v>3</v>
      </c>
      <c r="T72" s="110">
        <v>16</v>
      </c>
      <c r="U72" s="382">
        <f>IF(T72="","",LOOKUP(T72,예상등급!$D$19:$D$27,예상등급!$E$19:$E$27))</f>
        <v>6</v>
      </c>
      <c r="V72" s="402">
        <f>SUM(L72,T72,R72,O72)</f>
        <v>268</v>
      </c>
      <c r="W72" s="278">
        <f>RANK(V72,$V$4:$V$491)</f>
        <v>69</v>
      </c>
    </row>
    <row r="73" spans="1:28" s="7" customFormat="1" ht="24.95" customHeight="1" x14ac:dyDescent="0.15">
      <c r="A73" s="110">
        <v>1</v>
      </c>
      <c r="B73" s="71">
        <v>24</v>
      </c>
      <c r="C73" s="100" t="s">
        <v>819</v>
      </c>
      <c r="D73" s="110" t="s">
        <v>778</v>
      </c>
      <c r="E73" s="71">
        <v>57</v>
      </c>
      <c r="F73" s="382">
        <f>IF(D73=예상등급!$A$1,LOOKUP(E73,예상등급!$A$5:$A$13,예상등급!$B$5:$B$13),IF(D73=예상등급!$A$15,LOOKUP(E73,예상등급!$A$19:$A$27,예상등급!$B$19:$B$27),""))</f>
        <v>4</v>
      </c>
      <c r="G73" s="110" t="s">
        <v>781</v>
      </c>
      <c r="H73" s="71">
        <v>74</v>
      </c>
      <c r="I73" s="382">
        <f>IF(G73=예상등급!$G$15,LOOKUP(H73,예상등급!$G$19:$G$27,예상등급!$H$19:$H$27),IF(G73=예상등급!$J$15,LOOKUP(H73,예상등급!$J$19:$J$27,예상등급!$K$19:$K$27),IF(G73=예상등급!$M$15,LOOKUP(H73,예상등급!$M$19:$M$27,예상등급!$N$19:$N$27),"")))</f>
        <v>2</v>
      </c>
      <c r="J73" s="110">
        <v>76</v>
      </c>
      <c r="K73" s="382">
        <f>IF(J73="","",(LOOKUP(J73,예상등급!$D$5:$D$13,예상등급!$E$5:$E$13)))</f>
        <v>3</v>
      </c>
      <c r="L73" s="301">
        <f>SUM(E73,H73,J73)</f>
        <v>207</v>
      </c>
      <c r="M73" s="398">
        <f>RANK(L73,$L$4:$L$491)</f>
        <v>40</v>
      </c>
      <c r="N73" s="110" t="s">
        <v>762</v>
      </c>
      <c r="O73" s="71">
        <v>33</v>
      </c>
      <c r="P73" s="385">
        <f>IF(N73=예상등급!$G$1,LOOKUP(O73,예상등급!$G$5:$G$13,예상등급!$H$5:$H$13),IF(N73=예상등급!$J$1,LOOKUP(O73,예상등급!$J$5:$J$13,예상등급!$K$5:$K$13),IF(N73=예상등급!$M$1,LOOKUP(O73,예상등급!$M$5:$M$13,예상등급!$N$5:$N$13),IF(N73=예상등급!$P$1,LOOKUP(O73,예상등급!$P$5:$P$13,예상등급!$Q$5:$Q$13),IF(N73=예상등급!$S$1,LOOKUP(O73,예상등급!$S$5:$S$13,예상등급!$T$5:$T$13),IF(N73=예상등급!$V$1,LOOKUP(O73,예상등급!$V$5:$V$13,예상등급!$W$5:$W$13),IF(N73=예상등급!$Y$1,LOOKUP(O73,예상등급!$Y$5:$Y$13,예상등급!$Z$5:$Z$13),IF(N73=예상등급!$AB$1,LOOKUP(O73,예상등급!$AB$5:$AB$13,예상등급!$AC$5:$AC$13),IF(N73=예상등급!$AE$1,LOOKUP(O73,예상등급!$AE$5:$AE$13,예상등급!$AF$5:$AF$13),IF(N73=예상등급!$AH$1,LOOKUP(O73,예상등급!$AH$5:$AH$13,예상등급!$AI$5:$AI$13),IF(N73=예상등급!$AK$1,LOOKUP(O73,예상등급!$AK$5:$AK$13,예상등급!$AL$5:$AL$13),IF(N73=예상등급!$AN$1,LOOKUP(O73,예상등급!$AN$5:$AN$13,예상등급!$AO$5:$AO$13),IF(N73=예상등급!$AQ$1,LOOKUP(O73,예상등급!$AQ$5:$AQ$13,예상등급!$AR$5:$AR$13),IF(N73=예상등급!$AH$15,LOOKUP(O73,예상등급!$AH$19:$AH$27,예상등급!$AI$19:$AI$27),IF(N73=예상등급!$AK$15,LOOKUP(O73,예상등급!$AK$19:$AK$27,예상등급!$AL$19:$AL$27),IF(N73=예상등급!$AN$15,LOOKUP(O73,예상등급!$AN$19:$AN$27,예상등급!$AO$19:$AO$27),IF(N73=예상등급!$AQ$15,LOOKUP(O73,예상등급!$AQ$19:$AQ$27,예상등급!$AR$19:$AR$27),"")))))))))))))))))</f>
        <v>3</v>
      </c>
      <c r="Q73" s="110" t="s">
        <v>761</v>
      </c>
      <c r="R73" s="71">
        <v>6</v>
      </c>
      <c r="S73" s="385">
        <f>IF(Q73=예상등급!$G$1,LOOKUP(R73,예상등급!$G$5:$G$13,예상등급!$H$5:$H$13),IF(Q73=예상등급!$J$1,LOOKUP(R73,예상등급!$J$5:$J$13,예상등급!$K$5:$K$13),IF(Q73=예상등급!$M$1,LOOKUP(R73,예상등급!$M$5:$M$13,예상등급!$N$5:$N$13),IF(Q73=예상등급!$P$1,LOOKUP(R73,예상등급!$P$5:$P$13,예상등급!$Q$5:$Q$13),IF(Q73=예상등급!$S$1,LOOKUP(R73,예상등급!$S$5:$S$13,예상등급!$T$5:$T$13),IF(Q73=예상등급!$V$1,LOOKUP(R73,예상등급!$V$5:$V$13,예상등급!$W$5:$W$13),IF(Q73=예상등급!$Y$1,LOOKUP(R73,예상등급!$Y$5:$Y$13,예상등급!$Z$5:$Z$13),IF(Q73=예상등급!$AB$1,LOOKUP(R73,예상등급!$AB$5:$AB$13,예상등급!$AC$5:$AC$13),IF(Q73=예상등급!$AE$1,LOOKUP(R73,예상등급!$AE$5:$AE$13,예상등급!$AF$5:$AF$13),IF(Q73=예상등급!$AH$1,LOOKUP(R73,예상등급!$AH$5:$AH$13,예상등급!$AI$5:$AI$13),IF(Q73=예상등급!$AK$1,LOOKUP(R73,예상등급!$AK$5:$AK$13,예상등급!$AL$5:$AL$13),IF(Q73=예상등급!$AN$1,LOOKUP(R73,예상등급!$AN$5:$AN$13,예상등급!$AO$5:$AO$13),IF(Q73=예상등급!$AQ$1,LOOKUP(R73,예상등급!$AQ$5:$AQ$13,예상등급!$AR$5:$AR$13),IF(Q73=예상등급!$AH$15,LOOKUP(R73,예상등급!$AH$19:$AH$27,예상등급!$AI$19:$AI$27),IF(Q73=예상등급!$AK$15,LOOKUP(R73,예상등급!$AK$19:$AK$27,예상등급!$AL$19:$AL$27),IF(Q73=예상등급!$AN$15,LOOKUP(R73,예상등급!$AN$19:$AN$27,예상등급!$AO$19:$AO$27),IF(Q73=예상등급!$AQ$15,LOOKUP(R73,예상등급!$AQ$19:$AQ$27,예상등급!$AR$19:$AR$27),"")))))))))))))))))</f>
        <v>8</v>
      </c>
      <c r="T73" s="110">
        <v>21</v>
      </c>
      <c r="U73" s="382">
        <f>IF(T73="","",LOOKUP(T73,예상등급!$D$19:$D$27,예상등급!$E$19:$E$27))</f>
        <v>5</v>
      </c>
      <c r="V73" s="402">
        <f>SUM(L73,T73,R73,O73)</f>
        <v>267</v>
      </c>
      <c r="W73" s="278">
        <f>RANK(V73,$V$4:$V$491)</f>
        <v>70</v>
      </c>
    </row>
    <row r="74" spans="1:28" s="7" customFormat="1" ht="24.95" customHeight="1" x14ac:dyDescent="0.15">
      <c r="A74" s="110">
        <v>1</v>
      </c>
      <c r="B74" s="71">
        <v>1</v>
      </c>
      <c r="C74" s="100" t="s">
        <v>799</v>
      </c>
      <c r="D74" s="110" t="s">
        <v>779</v>
      </c>
      <c r="E74" s="71">
        <v>73</v>
      </c>
      <c r="F74" s="382">
        <f>IF(D74=예상등급!$A$1,LOOKUP(E74,예상등급!$A$5:$A$13,예상등급!$B$5:$B$13),IF(D74=예상등급!$A$15,LOOKUP(E74,예상등급!$A$19:$A$27,예상등급!$B$19:$B$27),""))</f>
        <v>2</v>
      </c>
      <c r="G74" s="110" t="s">
        <v>780</v>
      </c>
      <c r="H74" s="71">
        <v>9</v>
      </c>
      <c r="I74" s="382">
        <f>IF(G74=예상등급!$G$15,LOOKUP(H74,예상등급!$G$19:$G$27,예상등급!$H$19:$H$27),IF(G74=예상등급!$J$15,LOOKUP(H74,예상등급!$J$19:$J$27,예상등급!$K$19:$K$27),IF(G74=예상등급!$M$15,LOOKUP(H74,예상등급!$M$19:$M$27,예상등급!$N$19:$N$27),"")))</f>
        <v>9</v>
      </c>
      <c r="J74" s="110">
        <v>76</v>
      </c>
      <c r="K74" s="382">
        <f>IF(J74="","",(LOOKUP(J74,예상등급!$D$5:$D$13,예상등급!$E$5:$E$13)))</f>
        <v>3</v>
      </c>
      <c r="L74" s="301">
        <f>SUM(E74,H74,J74)</f>
        <v>158</v>
      </c>
      <c r="M74" s="398">
        <f>RANK(L74,$L$4:$L$491)</f>
        <v>120</v>
      </c>
      <c r="N74" s="110" t="s">
        <v>764</v>
      </c>
      <c r="O74" s="71">
        <v>27</v>
      </c>
      <c r="P74" s="385">
        <f>IF(N74=예상등급!$G$1,LOOKUP(O74,예상등급!$G$5:$G$13,예상등급!$H$5:$H$13),IF(N74=예상등급!$J$1,LOOKUP(O74,예상등급!$J$5:$J$13,예상등급!$K$5:$K$13),IF(N74=예상등급!$M$1,LOOKUP(O74,예상등급!$M$5:$M$13,예상등급!$N$5:$N$13),IF(N74=예상등급!$P$1,LOOKUP(O74,예상등급!$P$5:$P$13,예상등급!$Q$5:$Q$13),IF(N74=예상등급!$S$1,LOOKUP(O74,예상등급!$S$5:$S$13,예상등급!$T$5:$T$13),IF(N74=예상등급!$V$1,LOOKUP(O74,예상등급!$V$5:$V$13,예상등급!$W$5:$W$13),IF(N74=예상등급!$Y$1,LOOKUP(O74,예상등급!$Y$5:$Y$13,예상등급!$Z$5:$Z$13),IF(N74=예상등급!$AB$1,LOOKUP(O74,예상등급!$AB$5:$AB$13,예상등급!$AC$5:$AC$13),IF(N74=예상등급!$AE$1,LOOKUP(O74,예상등급!$AE$5:$AE$13,예상등급!$AF$5:$AF$13),IF(N74=예상등급!$AH$1,LOOKUP(O74,예상등급!$AH$5:$AH$13,예상등급!$AI$5:$AI$13),IF(N74=예상등급!$AK$1,LOOKUP(O74,예상등급!$AK$5:$AK$13,예상등급!$AL$5:$AL$13),IF(N74=예상등급!$AN$1,LOOKUP(O74,예상등급!$AN$5:$AN$13,예상등급!$AO$5:$AO$13),IF(N74=예상등급!$AQ$1,LOOKUP(O74,예상등급!$AQ$5:$AQ$13,예상등급!$AR$5:$AR$13),IF(N74=예상등급!$AH$15,LOOKUP(O74,예상등급!$AH$19:$AH$27,예상등급!$AI$19:$AI$27),IF(N74=예상등급!$AK$15,LOOKUP(O74,예상등급!$AK$19:$AK$27,예상등급!$AL$19:$AL$27),IF(N74=예상등급!$AN$15,LOOKUP(O74,예상등급!$AN$19:$AN$27,예상등급!$AO$19:$AO$27),IF(N74=예상등급!$AQ$15,LOOKUP(O74,예상등급!$AQ$19:$AQ$27,예상등급!$AR$19:$AR$27),"")))))))))))))))))</f>
        <v>3</v>
      </c>
      <c r="Q74" s="110" t="s">
        <v>763</v>
      </c>
      <c r="R74" s="71">
        <v>41</v>
      </c>
      <c r="S74" s="385">
        <f>IF(Q74=예상등급!$G$1,LOOKUP(R74,예상등급!$G$5:$G$13,예상등급!$H$5:$H$13),IF(Q74=예상등급!$J$1,LOOKUP(R74,예상등급!$J$5:$J$13,예상등급!$K$5:$K$13),IF(Q74=예상등급!$M$1,LOOKUP(R74,예상등급!$M$5:$M$13,예상등급!$N$5:$N$13),IF(Q74=예상등급!$P$1,LOOKUP(R74,예상등급!$P$5:$P$13,예상등급!$Q$5:$Q$13),IF(Q74=예상등급!$S$1,LOOKUP(R74,예상등급!$S$5:$S$13,예상등급!$T$5:$T$13),IF(Q74=예상등급!$V$1,LOOKUP(R74,예상등급!$V$5:$V$13,예상등급!$W$5:$W$13),IF(Q74=예상등급!$Y$1,LOOKUP(R74,예상등급!$Y$5:$Y$13,예상등급!$Z$5:$Z$13),IF(Q74=예상등급!$AB$1,LOOKUP(R74,예상등급!$AB$5:$AB$13,예상등급!$AC$5:$AC$13),IF(Q74=예상등급!$AE$1,LOOKUP(R74,예상등급!$AE$5:$AE$13,예상등급!$AF$5:$AF$13),IF(Q74=예상등급!$AH$1,LOOKUP(R74,예상등급!$AH$5:$AH$13,예상등급!$AI$5:$AI$13),IF(Q74=예상등급!$AK$1,LOOKUP(R74,예상등급!$AK$5:$AK$13,예상등급!$AL$5:$AL$13),IF(Q74=예상등급!$AN$1,LOOKUP(R74,예상등급!$AN$5:$AN$13,예상등급!$AO$5:$AO$13),IF(Q74=예상등급!$AQ$1,LOOKUP(R74,예상등급!$AQ$5:$AQ$13,예상등급!$AR$5:$AR$13),IF(Q74=예상등급!$AH$15,LOOKUP(R74,예상등급!$AH$19:$AH$27,예상등급!$AI$19:$AI$27),IF(Q74=예상등급!$AK$15,LOOKUP(R74,예상등급!$AK$19:$AK$27,예상등급!$AL$19:$AL$27),IF(Q74=예상등급!$AN$15,LOOKUP(R74,예상등급!$AN$19:$AN$27,예상등급!$AO$19:$AO$27),IF(Q74=예상등급!$AQ$15,LOOKUP(R74,예상등급!$AQ$19:$AQ$27,예상등급!$AR$19:$AR$27),"")))))))))))))))))</f>
        <v>3</v>
      </c>
      <c r="T74" s="110">
        <v>40</v>
      </c>
      <c r="U74" s="382">
        <f>IF(T74="","",LOOKUP(T74,예상등급!$D$19:$D$27,예상등급!$E$19:$E$27))</f>
        <v>1</v>
      </c>
      <c r="V74" s="402">
        <f>SUM(L74,T74,R74,O74)</f>
        <v>266</v>
      </c>
      <c r="W74" s="278">
        <f>RANK(V74,$V$4:$V$491)</f>
        <v>71</v>
      </c>
    </row>
    <row r="75" spans="1:28" s="7" customFormat="1" ht="24.95" customHeight="1" x14ac:dyDescent="0.15">
      <c r="A75" s="110">
        <v>3</v>
      </c>
      <c r="B75" s="71">
        <v>3</v>
      </c>
      <c r="C75" s="100" t="s">
        <v>581</v>
      </c>
      <c r="D75" s="110" t="s">
        <v>779</v>
      </c>
      <c r="E75" s="71">
        <v>59</v>
      </c>
      <c r="F75" s="382">
        <f>IF(D75=예상등급!$A$1,LOOKUP(E75,예상등급!$A$5:$A$13,예상등급!$B$5:$B$13),IF(D75=예상등급!$A$15,LOOKUP(E75,예상등급!$A$19:$A$27,예상등급!$B$19:$B$27),""))</f>
        <v>4</v>
      </c>
      <c r="G75" s="110" t="s">
        <v>781</v>
      </c>
      <c r="H75" s="71">
        <v>62</v>
      </c>
      <c r="I75" s="382">
        <f>IF(G75=예상등급!$G$15,LOOKUP(H75,예상등급!$G$19:$G$27,예상등급!$H$19:$H$27),IF(G75=예상등급!$J$15,LOOKUP(H75,예상등급!$J$19:$J$27,예상등급!$K$19:$K$27),IF(G75=예상등급!$M$15,LOOKUP(H75,예상등급!$M$19:$M$27,예상등급!$N$19:$N$27),"")))</f>
        <v>4</v>
      </c>
      <c r="J75" s="110">
        <v>76</v>
      </c>
      <c r="K75" s="382">
        <f>IF(J75="","",(LOOKUP(J75,예상등급!$D$5:$D$13,예상등급!$E$5:$E$13)))</f>
        <v>3</v>
      </c>
      <c r="L75" s="301">
        <f>SUM(E75,H75,J75)</f>
        <v>197</v>
      </c>
      <c r="M75" s="398">
        <f>RANK(L75,$L$4:$L$491)</f>
        <v>52</v>
      </c>
      <c r="N75" s="110" t="s">
        <v>771</v>
      </c>
      <c r="O75" s="71">
        <v>20</v>
      </c>
      <c r="P75" s="385">
        <f>IF(N75=예상등급!$G$1,LOOKUP(O75,예상등급!$G$5:$G$13,예상등급!$H$5:$H$13),IF(N75=예상등급!$J$1,LOOKUP(O75,예상등급!$J$5:$J$13,예상등급!$K$5:$K$13),IF(N75=예상등급!$M$1,LOOKUP(O75,예상등급!$M$5:$M$13,예상등급!$N$5:$N$13),IF(N75=예상등급!$P$1,LOOKUP(O75,예상등급!$P$5:$P$13,예상등급!$Q$5:$Q$13),IF(N75=예상등급!$S$1,LOOKUP(O75,예상등급!$S$5:$S$13,예상등급!$T$5:$T$13),IF(N75=예상등급!$V$1,LOOKUP(O75,예상등급!$V$5:$V$13,예상등급!$W$5:$W$13),IF(N75=예상등급!$Y$1,LOOKUP(O75,예상등급!$Y$5:$Y$13,예상등급!$Z$5:$Z$13),IF(N75=예상등급!$AB$1,LOOKUP(O75,예상등급!$AB$5:$AB$13,예상등급!$AC$5:$AC$13),IF(N75=예상등급!$AE$1,LOOKUP(O75,예상등급!$AE$5:$AE$13,예상등급!$AF$5:$AF$13),IF(N75=예상등급!$AH$1,LOOKUP(O75,예상등급!$AH$5:$AH$13,예상등급!$AI$5:$AI$13),IF(N75=예상등급!$AK$1,LOOKUP(O75,예상등급!$AK$5:$AK$13,예상등급!$AL$5:$AL$13),IF(N75=예상등급!$AN$1,LOOKUP(O75,예상등급!$AN$5:$AN$13,예상등급!$AO$5:$AO$13),IF(N75=예상등급!$AQ$1,LOOKUP(O75,예상등급!$AQ$5:$AQ$13,예상등급!$AR$5:$AR$13),IF(N75=예상등급!$AH$15,LOOKUP(O75,예상등급!$AH$19:$AH$27,예상등급!$AI$19:$AI$27),IF(N75=예상등급!$AK$15,LOOKUP(O75,예상등급!$AK$19:$AK$27,예상등급!$AL$19:$AL$27),IF(N75=예상등급!$AN$15,LOOKUP(O75,예상등급!$AN$19:$AN$27,예상등급!$AO$19:$AO$27),IF(N75=예상등급!$AQ$15,LOOKUP(O75,예상등급!$AQ$19:$AQ$27,예상등급!$AR$19:$AR$27),"")))))))))))))))))</f>
        <v>5</v>
      </c>
      <c r="Q75" s="110" t="s">
        <v>769</v>
      </c>
      <c r="R75" s="71">
        <v>25</v>
      </c>
      <c r="S75" s="385">
        <f>IF(Q75=예상등급!$G$1,LOOKUP(R75,예상등급!$G$5:$G$13,예상등급!$H$5:$H$13),IF(Q75=예상등급!$J$1,LOOKUP(R75,예상등급!$J$5:$J$13,예상등급!$K$5:$K$13),IF(Q75=예상등급!$M$1,LOOKUP(R75,예상등급!$M$5:$M$13,예상등급!$N$5:$N$13),IF(Q75=예상등급!$P$1,LOOKUP(R75,예상등급!$P$5:$P$13,예상등급!$Q$5:$Q$13),IF(Q75=예상등급!$S$1,LOOKUP(R75,예상등급!$S$5:$S$13,예상등급!$T$5:$T$13),IF(Q75=예상등급!$V$1,LOOKUP(R75,예상등급!$V$5:$V$13,예상등급!$W$5:$W$13),IF(Q75=예상등급!$Y$1,LOOKUP(R75,예상등급!$Y$5:$Y$13,예상등급!$Z$5:$Z$13),IF(Q75=예상등급!$AB$1,LOOKUP(R75,예상등급!$AB$5:$AB$13,예상등급!$AC$5:$AC$13),IF(Q75=예상등급!$AE$1,LOOKUP(R75,예상등급!$AE$5:$AE$13,예상등급!$AF$5:$AF$13),IF(Q75=예상등급!$AH$1,LOOKUP(R75,예상등급!$AH$5:$AH$13,예상등급!$AI$5:$AI$13),IF(Q75=예상등급!$AK$1,LOOKUP(R75,예상등급!$AK$5:$AK$13,예상등급!$AL$5:$AL$13),IF(Q75=예상등급!$AN$1,LOOKUP(R75,예상등급!$AN$5:$AN$13,예상등급!$AO$5:$AO$13),IF(Q75=예상등급!$AQ$1,LOOKUP(R75,예상등급!$AQ$5:$AQ$13,예상등급!$AR$5:$AR$13),IF(Q75=예상등급!$AH$15,LOOKUP(R75,예상등급!$AH$19:$AH$27,예상등급!$AI$19:$AI$27),IF(Q75=예상등급!$AK$15,LOOKUP(R75,예상등급!$AK$19:$AK$27,예상등급!$AL$19:$AL$27),IF(Q75=예상등급!$AN$15,LOOKUP(R75,예상등급!$AN$19:$AN$27,예상등급!$AO$19:$AO$27),IF(Q75=예상등급!$AQ$15,LOOKUP(R75,예상등급!$AQ$19:$AQ$27,예상등급!$AR$19:$AR$27),"")))))))))))))))))</f>
        <v>4</v>
      </c>
      <c r="T75" s="110">
        <v>24</v>
      </c>
      <c r="U75" s="382">
        <f>IF(T75="","",LOOKUP(T75,예상등급!$D$19:$D$27,예상등급!$E$19:$E$27))</f>
        <v>5</v>
      </c>
      <c r="V75" s="402">
        <f>SUM(L75,T75,R75,O75)</f>
        <v>266</v>
      </c>
      <c r="W75" s="278">
        <f>RANK(V75,$V$4:$V$491)</f>
        <v>71</v>
      </c>
    </row>
    <row r="76" spans="1:28" s="7" customFormat="1" ht="24.95" customHeight="1" x14ac:dyDescent="0.15">
      <c r="A76" s="110">
        <v>5</v>
      </c>
      <c r="B76" s="71">
        <v>7</v>
      </c>
      <c r="C76" s="100" t="s">
        <v>879</v>
      </c>
      <c r="D76" s="110" t="s">
        <v>779</v>
      </c>
      <c r="E76" s="71">
        <v>71</v>
      </c>
      <c r="F76" s="382">
        <f>IF(D76=예상등급!$A$1,LOOKUP(E76,예상등급!$A$5:$A$13,예상등급!$B$5:$B$13),IF(D76=예상등급!$A$15,LOOKUP(E76,예상등급!$A$19:$A$27,예상등급!$B$19:$B$27),""))</f>
        <v>3</v>
      </c>
      <c r="G76" s="110" t="s">
        <v>780</v>
      </c>
      <c r="H76" s="71">
        <v>49</v>
      </c>
      <c r="I76" s="382">
        <f>IF(G76=예상등급!$G$15,LOOKUP(H76,예상등급!$G$19:$G$27,예상등급!$H$19:$H$27),IF(G76=예상등급!$J$15,LOOKUP(H76,예상등급!$J$19:$J$27,예상등급!$K$19:$K$27),IF(G76=예상등급!$M$15,LOOKUP(H76,예상등급!$M$19:$M$27,예상등급!$N$19:$N$27),"")))</f>
        <v>5</v>
      </c>
      <c r="J76" s="110">
        <v>66</v>
      </c>
      <c r="K76" s="382">
        <f>IF(J76="","",(LOOKUP(J76,예상등급!$D$5:$D$13,예상등급!$E$5:$E$13)))</f>
        <v>4</v>
      </c>
      <c r="L76" s="301">
        <f>SUM(E76,H76,J76)</f>
        <v>186</v>
      </c>
      <c r="M76" s="398">
        <f>RANK(L76,$L$4:$L$491)</f>
        <v>68</v>
      </c>
      <c r="N76" s="110" t="s">
        <v>761</v>
      </c>
      <c r="O76" s="71">
        <v>21</v>
      </c>
      <c r="P76" s="385">
        <f>IF(N76=예상등급!$G$1,LOOKUP(O76,예상등급!$G$5:$G$13,예상등급!$H$5:$H$13),IF(N76=예상등급!$J$1,LOOKUP(O76,예상등급!$J$5:$J$13,예상등급!$K$5:$K$13),IF(N76=예상등급!$M$1,LOOKUP(O76,예상등급!$M$5:$M$13,예상등급!$N$5:$N$13),IF(N76=예상등급!$P$1,LOOKUP(O76,예상등급!$P$5:$P$13,예상등급!$Q$5:$Q$13),IF(N76=예상등급!$S$1,LOOKUP(O76,예상등급!$S$5:$S$13,예상등급!$T$5:$T$13),IF(N76=예상등급!$V$1,LOOKUP(O76,예상등급!$V$5:$V$13,예상등급!$W$5:$W$13),IF(N76=예상등급!$Y$1,LOOKUP(O76,예상등급!$Y$5:$Y$13,예상등급!$Z$5:$Z$13),IF(N76=예상등급!$AB$1,LOOKUP(O76,예상등급!$AB$5:$AB$13,예상등급!$AC$5:$AC$13),IF(N76=예상등급!$AE$1,LOOKUP(O76,예상등급!$AE$5:$AE$13,예상등급!$AF$5:$AF$13),IF(N76=예상등급!$AH$1,LOOKUP(O76,예상등급!$AH$5:$AH$13,예상등급!$AI$5:$AI$13),IF(N76=예상등급!$AK$1,LOOKUP(O76,예상등급!$AK$5:$AK$13,예상등급!$AL$5:$AL$13),IF(N76=예상등급!$AN$1,LOOKUP(O76,예상등급!$AN$5:$AN$13,예상등급!$AO$5:$AO$13),IF(N76=예상등급!$AQ$1,LOOKUP(O76,예상등급!$AQ$5:$AQ$13,예상등급!$AR$5:$AR$13),IF(N76=예상등급!$AH$15,LOOKUP(O76,예상등급!$AH$19:$AH$27,예상등급!$AI$19:$AI$27),IF(N76=예상등급!$AK$15,LOOKUP(O76,예상등급!$AK$19:$AK$27,예상등급!$AL$19:$AL$27),IF(N76=예상등급!$AN$15,LOOKUP(O76,예상등급!$AN$19:$AN$27,예상등급!$AO$19:$AO$27),IF(N76=예상등급!$AQ$15,LOOKUP(O76,예상등급!$AQ$19:$AQ$27,예상등급!$AR$19:$AR$27),"")))))))))))))))))</f>
        <v>5</v>
      </c>
      <c r="Q76" s="110" t="s">
        <v>762</v>
      </c>
      <c r="R76" s="71">
        <v>24</v>
      </c>
      <c r="S76" s="385">
        <f>IF(Q76=예상등급!$G$1,LOOKUP(R76,예상등급!$G$5:$G$13,예상등급!$H$5:$H$13),IF(Q76=예상등급!$J$1,LOOKUP(R76,예상등급!$J$5:$J$13,예상등급!$K$5:$K$13),IF(Q76=예상등급!$M$1,LOOKUP(R76,예상등급!$M$5:$M$13,예상등급!$N$5:$N$13),IF(Q76=예상등급!$P$1,LOOKUP(R76,예상등급!$P$5:$P$13,예상등급!$Q$5:$Q$13),IF(Q76=예상등급!$S$1,LOOKUP(R76,예상등급!$S$5:$S$13,예상등급!$T$5:$T$13),IF(Q76=예상등급!$V$1,LOOKUP(R76,예상등급!$V$5:$V$13,예상등급!$W$5:$W$13),IF(Q76=예상등급!$Y$1,LOOKUP(R76,예상등급!$Y$5:$Y$13,예상등급!$Z$5:$Z$13),IF(Q76=예상등급!$AB$1,LOOKUP(R76,예상등급!$AB$5:$AB$13,예상등급!$AC$5:$AC$13),IF(Q76=예상등급!$AE$1,LOOKUP(R76,예상등급!$AE$5:$AE$13,예상등급!$AF$5:$AF$13),IF(Q76=예상등급!$AH$1,LOOKUP(R76,예상등급!$AH$5:$AH$13,예상등급!$AI$5:$AI$13),IF(Q76=예상등급!$AK$1,LOOKUP(R76,예상등급!$AK$5:$AK$13,예상등급!$AL$5:$AL$13),IF(Q76=예상등급!$AN$1,LOOKUP(R76,예상등급!$AN$5:$AN$13,예상등급!$AO$5:$AO$13),IF(Q76=예상등급!$AQ$1,LOOKUP(R76,예상등급!$AQ$5:$AQ$13,예상등급!$AR$5:$AR$13),IF(Q76=예상등급!$AH$15,LOOKUP(R76,예상등급!$AH$19:$AH$27,예상등급!$AI$19:$AI$27),IF(Q76=예상등급!$AK$15,LOOKUP(R76,예상등급!$AK$19:$AK$27,예상등급!$AL$19:$AL$27),IF(Q76=예상등급!$AN$15,LOOKUP(R76,예상등급!$AN$19:$AN$27,예상등급!$AO$19:$AO$27),IF(Q76=예상등급!$AQ$15,LOOKUP(R76,예상등급!$AQ$19:$AQ$27,예상등급!$AR$19:$AR$27),"")))))))))))))))))</f>
        <v>5</v>
      </c>
      <c r="T76" s="110">
        <v>34</v>
      </c>
      <c r="U76" s="382">
        <f>IF(T76="","",LOOKUP(T76,예상등급!$D$19:$D$27,예상등급!$E$19:$E$27))</f>
        <v>3</v>
      </c>
      <c r="V76" s="402">
        <f>SUM(L76,T76,R76,O76)</f>
        <v>265</v>
      </c>
      <c r="W76" s="278">
        <f>RANK(V76,$V$4:$V$491)</f>
        <v>73</v>
      </c>
    </row>
    <row r="77" spans="1:28" s="7" customFormat="1" ht="24.95" customHeight="1" x14ac:dyDescent="0.15">
      <c r="A77" s="110">
        <v>2</v>
      </c>
      <c r="B77" s="71">
        <v>13</v>
      </c>
      <c r="C77" s="100" t="s">
        <v>830</v>
      </c>
      <c r="D77" s="110" t="s">
        <v>779</v>
      </c>
      <c r="E77" s="71">
        <v>62</v>
      </c>
      <c r="F77" s="382">
        <f>IF(D77=예상등급!$A$1,LOOKUP(E77,예상등급!$A$5:$A$13,예상등급!$B$5:$B$13),IF(D77=예상등급!$A$15,LOOKUP(E77,예상등급!$A$19:$A$27,예상등급!$B$19:$B$27),""))</f>
        <v>4</v>
      </c>
      <c r="G77" s="110" t="s">
        <v>780</v>
      </c>
      <c r="H77" s="71">
        <v>76</v>
      </c>
      <c r="I77" s="382">
        <f>IF(G77=예상등급!$G$15,LOOKUP(H77,예상등급!$G$19:$G$27,예상등급!$H$19:$H$27),IF(G77=예상등급!$J$15,LOOKUP(H77,예상등급!$J$19:$J$27,예상등급!$K$19:$K$27),IF(G77=예상등급!$M$15,LOOKUP(H77,예상등급!$M$19:$M$27,예상등급!$N$19:$N$27),"")))</f>
        <v>3</v>
      </c>
      <c r="J77" s="110">
        <v>47</v>
      </c>
      <c r="K77" s="382">
        <f>IF(J77="","",(LOOKUP(J77,예상등급!$D$5:$D$13,예상등급!$E$5:$E$13)))</f>
        <v>6</v>
      </c>
      <c r="L77" s="301">
        <f>SUM(E77,H77,J77)</f>
        <v>185</v>
      </c>
      <c r="M77" s="398">
        <f>RANK(L77,$L$4:$L$491)</f>
        <v>74</v>
      </c>
      <c r="N77" s="110" t="s">
        <v>765</v>
      </c>
      <c r="O77" s="71">
        <v>47</v>
      </c>
      <c r="P77" s="385">
        <f>IF(N77=예상등급!$G$1,LOOKUP(O77,예상등급!$G$5:$G$13,예상등급!$H$5:$H$13),IF(N77=예상등급!$J$1,LOOKUP(O77,예상등급!$J$5:$J$13,예상등급!$K$5:$K$13),IF(N77=예상등급!$M$1,LOOKUP(O77,예상등급!$M$5:$M$13,예상등급!$N$5:$N$13),IF(N77=예상등급!$P$1,LOOKUP(O77,예상등급!$P$5:$P$13,예상등급!$Q$5:$Q$13),IF(N77=예상등급!$S$1,LOOKUP(O77,예상등급!$S$5:$S$13,예상등급!$T$5:$T$13),IF(N77=예상등급!$V$1,LOOKUP(O77,예상등급!$V$5:$V$13,예상등급!$W$5:$W$13),IF(N77=예상등급!$Y$1,LOOKUP(O77,예상등급!$Y$5:$Y$13,예상등급!$Z$5:$Z$13),IF(N77=예상등급!$AB$1,LOOKUP(O77,예상등급!$AB$5:$AB$13,예상등급!$AC$5:$AC$13),IF(N77=예상등급!$AE$1,LOOKUP(O77,예상등급!$AE$5:$AE$13,예상등급!$AF$5:$AF$13),IF(N77=예상등급!$AH$1,LOOKUP(O77,예상등급!$AH$5:$AH$13,예상등급!$AI$5:$AI$13),IF(N77=예상등급!$AK$1,LOOKUP(O77,예상등급!$AK$5:$AK$13,예상등급!$AL$5:$AL$13),IF(N77=예상등급!$AN$1,LOOKUP(O77,예상등급!$AN$5:$AN$13,예상등급!$AO$5:$AO$13),IF(N77=예상등급!$AQ$1,LOOKUP(O77,예상등급!$AQ$5:$AQ$13,예상등급!$AR$5:$AR$13),IF(N77=예상등급!$AH$15,LOOKUP(O77,예상등급!$AH$19:$AH$27,예상등급!$AI$19:$AI$27),IF(N77=예상등급!$AK$15,LOOKUP(O77,예상등급!$AK$19:$AK$27,예상등급!$AL$19:$AL$27),IF(N77=예상등급!$AN$15,LOOKUP(O77,예상등급!$AN$19:$AN$27,예상등급!$AO$19:$AO$27),IF(N77=예상등급!$AQ$15,LOOKUP(O77,예상등급!$AQ$19:$AQ$27,예상등급!$AR$19:$AR$27),"")))))))))))))))))</f>
        <v>1</v>
      </c>
      <c r="Q77" s="110" t="s">
        <v>761</v>
      </c>
      <c r="R77" s="71">
        <v>11</v>
      </c>
      <c r="S77" s="385">
        <f>IF(Q77=예상등급!$G$1,LOOKUP(R77,예상등급!$G$5:$G$13,예상등급!$H$5:$H$13),IF(Q77=예상등급!$J$1,LOOKUP(R77,예상등급!$J$5:$J$13,예상등급!$K$5:$K$13),IF(Q77=예상등급!$M$1,LOOKUP(R77,예상등급!$M$5:$M$13,예상등급!$N$5:$N$13),IF(Q77=예상등급!$P$1,LOOKUP(R77,예상등급!$P$5:$P$13,예상등급!$Q$5:$Q$13),IF(Q77=예상등급!$S$1,LOOKUP(R77,예상등급!$S$5:$S$13,예상등급!$T$5:$T$13),IF(Q77=예상등급!$V$1,LOOKUP(R77,예상등급!$V$5:$V$13,예상등급!$W$5:$W$13),IF(Q77=예상등급!$Y$1,LOOKUP(R77,예상등급!$Y$5:$Y$13,예상등급!$Z$5:$Z$13),IF(Q77=예상등급!$AB$1,LOOKUP(R77,예상등급!$AB$5:$AB$13,예상등급!$AC$5:$AC$13),IF(Q77=예상등급!$AE$1,LOOKUP(R77,예상등급!$AE$5:$AE$13,예상등급!$AF$5:$AF$13),IF(Q77=예상등급!$AH$1,LOOKUP(R77,예상등급!$AH$5:$AH$13,예상등급!$AI$5:$AI$13),IF(Q77=예상등급!$AK$1,LOOKUP(R77,예상등급!$AK$5:$AK$13,예상등급!$AL$5:$AL$13),IF(Q77=예상등급!$AN$1,LOOKUP(R77,예상등급!$AN$5:$AN$13,예상등급!$AO$5:$AO$13),IF(Q77=예상등급!$AQ$1,LOOKUP(R77,예상등급!$AQ$5:$AQ$13,예상등급!$AR$5:$AR$13),IF(Q77=예상등급!$AH$15,LOOKUP(R77,예상등급!$AH$19:$AH$27,예상등급!$AI$19:$AI$27),IF(Q77=예상등급!$AK$15,LOOKUP(R77,예상등급!$AK$19:$AK$27,예상등급!$AL$19:$AL$27),IF(Q77=예상등급!$AN$15,LOOKUP(R77,예상등급!$AN$19:$AN$27,예상등급!$AO$19:$AO$27),IF(Q77=예상등급!$AQ$15,LOOKUP(R77,예상등급!$AQ$19:$AQ$27,예상등급!$AR$19:$AR$27),"")))))))))))))))))</f>
        <v>7</v>
      </c>
      <c r="T77" s="110">
        <v>20</v>
      </c>
      <c r="U77" s="382">
        <f>IF(T77="","",LOOKUP(T77,예상등급!$D$19:$D$27,예상등급!$E$19:$E$27))</f>
        <v>5</v>
      </c>
      <c r="V77" s="402">
        <f>SUM(L77,T77,R77,O77)</f>
        <v>263</v>
      </c>
      <c r="W77" s="278">
        <f>RANK(V77,$V$4:$V$491)</f>
        <v>74</v>
      </c>
    </row>
    <row r="78" spans="1:28" s="7" customFormat="1" ht="24.95" customHeight="1" x14ac:dyDescent="0.15">
      <c r="A78" s="110">
        <v>7</v>
      </c>
      <c r="B78" s="71">
        <v>13</v>
      </c>
      <c r="C78" s="100" t="s">
        <v>927</v>
      </c>
      <c r="D78" s="110" t="s">
        <v>779</v>
      </c>
      <c r="E78" s="71">
        <v>78</v>
      </c>
      <c r="F78" s="382">
        <f>IF(D78=예상등급!$A$1,LOOKUP(E78,예상등급!$A$5:$A$13,예상등급!$B$5:$B$13),IF(D78=예상등급!$A$15,LOOKUP(E78,예상등급!$A$19:$A$27,예상등급!$B$19:$B$27),""))</f>
        <v>2</v>
      </c>
      <c r="G78" s="110" t="s">
        <v>781</v>
      </c>
      <c r="H78" s="71">
        <v>69</v>
      </c>
      <c r="I78" s="382">
        <f>IF(G78=예상등급!$G$15,LOOKUP(H78,예상등급!$G$19:$G$27,예상등급!$H$19:$H$27),IF(G78=예상등급!$J$15,LOOKUP(H78,예상등급!$J$19:$J$27,예상등급!$K$19:$K$27),IF(G78=예상등급!$M$15,LOOKUP(H78,예상등급!$M$19:$M$27,예상등급!$N$19:$N$27),"")))</f>
        <v>3</v>
      </c>
      <c r="J78" s="110">
        <v>74</v>
      </c>
      <c r="K78" s="382">
        <f>IF(J78="","",(LOOKUP(J78,예상등급!$D$5:$D$13,예상등급!$E$5:$E$13)))</f>
        <v>3</v>
      </c>
      <c r="L78" s="301">
        <f>SUM(E78,H78,J78)</f>
        <v>221</v>
      </c>
      <c r="M78" s="398">
        <f>RANK(L78,$L$4:$L$491)</f>
        <v>18</v>
      </c>
      <c r="N78" s="110" t="s">
        <v>769</v>
      </c>
      <c r="O78" s="71">
        <v>14</v>
      </c>
      <c r="P78" s="385">
        <f>IF(N78=예상등급!$G$1,LOOKUP(O78,예상등급!$G$5:$G$13,예상등급!$H$5:$H$13),IF(N78=예상등급!$J$1,LOOKUP(O78,예상등급!$J$5:$J$13,예상등급!$K$5:$K$13),IF(N78=예상등급!$M$1,LOOKUP(O78,예상등급!$M$5:$M$13,예상등급!$N$5:$N$13),IF(N78=예상등급!$P$1,LOOKUP(O78,예상등급!$P$5:$P$13,예상등급!$Q$5:$Q$13),IF(N78=예상등급!$S$1,LOOKUP(O78,예상등급!$S$5:$S$13,예상등급!$T$5:$T$13),IF(N78=예상등급!$V$1,LOOKUP(O78,예상등급!$V$5:$V$13,예상등급!$W$5:$W$13),IF(N78=예상등급!$Y$1,LOOKUP(O78,예상등급!$Y$5:$Y$13,예상등급!$Z$5:$Z$13),IF(N78=예상등급!$AB$1,LOOKUP(O78,예상등급!$AB$5:$AB$13,예상등급!$AC$5:$AC$13),IF(N78=예상등급!$AE$1,LOOKUP(O78,예상등급!$AE$5:$AE$13,예상등급!$AF$5:$AF$13),IF(N78=예상등급!$AH$1,LOOKUP(O78,예상등급!$AH$5:$AH$13,예상등급!$AI$5:$AI$13),IF(N78=예상등급!$AK$1,LOOKUP(O78,예상등급!$AK$5:$AK$13,예상등급!$AL$5:$AL$13),IF(N78=예상등급!$AN$1,LOOKUP(O78,예상등급!$AN$5:$AN$13,예상등급!$AO$5:$AO$13),IF(N78=예상등급!$AQ$1,LOOKUP(O78,예상등급!$AQ$5:$AQ$13,예상등급!$AR$5:$AR$13),IF(N78=예상등급!$AH$15,LOOKUP(O78,예상등급!$AH$19:$AH$27,예상등급!$AI$19:$AI$27),IF(N78=예상등급!$AK$15,LOOKUP(O78,예상등급!$AK$19:$AK$27,예상등급!$AL$19:$AL$27),IF(N78=예상등급!$AN$15,LOOKUP(O78,예상등급!$AN$19:$AN$27,예상등급!$AO$19:$AO$27),IF(N78=예상등급!$AQ$15,LOOKUP(O78,예상등급!$AQ$19:$AQ$27,예상등급!$AR$19:$AR$27),"")))))))))))))))))</f>
        <v>6</v>
      </c>
      <c r="Q78" s="110" t="s">
        <v>771</v>
      </c>
      <c r="R78" s="71">
        <v>15</v>
      </c>
      <c r="S78" s="385">
        <f>IF(Q78=예상등급!$G$1,LOOKUP(R78,예상등급!$G$5:$G$13,예상등급!$H$5:$H$13),IF(Q78=예상등급!$J$1,LOOKUP(R78,예상등급!$J$5:$J$13,예상등급!$K$5:$K$13),IF(Q78=예상등급!$M$1,LOOKUP(R78,예상등급!$M$5:$M$13,예상등급!$N$5:$N$13),IF(Q78=예상등급!$P$1,LOOKUP(R78,예상등급!$P$5:$P$13,예상등급!$Q$5:$Q$13),IF(Q78=예상등급!$S$1,LOOKUP(R78,예상등급!$S$5:$S$13,예상등급!$T$5:$T$13),IF(Q78=예상등급!$V$1,LOOKUP(R78,예상등급!$V$5:$V$13,예상등급!$W$5:$W$13),IF(Q78=예상등급!$Y$1,LOOKUP(R78,예상등급!$Y$5:$Y$13,예상등급!$Z$5:$Z$13),IF(Q78=예상등급!$AB$1,LOOKUP(R78,예상등급!$AB$5:$AB$13,예상등급!$AC$5:$AC$13),IF(Q78=예상등급!$AE$1,LOOKUP(R78,예상등급!$AE$5:$AE$13,예상등급!$AF$5:$AF$13),IF(Q78=예상등급!$AH$1,LOOKUP(R78,예상등급!$AH$5:$AH$13,예상등급!$AI$5:$AI$13),IF(Q78=예상등급!$AK$1,LOOKUP(R78,예상등급!$AK$5:$AK$13,예상등급!$AL$5:$AL$13),IF(Q78=예상등급!$AN$1,LOOKUP(R78,예상등급!$AN$5:$AN$13,예상등급!$AO$5:$AO$13),IF(Q78=예상등급!$AQ$1,LOOKUP(R78,예상등급!$AQ$5:$AQ$13,예상등급!$AR$5:$AR$13),IF(Q78=예상등급!$AH$15,LOOKUP(R78,예상등급!$AH$19:$AH$27,예상등급!$AI$19:$AI$27),IF(Q78=예상등급!$AK$15,LOOKUP(R78,예상등급!$AK$19:$AK$27,예상등급!$AL$19:$AL$27),IF(Q78=예상등급!$AN$15,LOOKUP(R78,예상등급!$AN$19:$AN$27,예상등급!$AO$19:$AO$27),IF(Q78=예상등급!$AQ$15,LOOKUP(R78,예상등급!$AQ$19:$AQ$27,예상등급!$AR$19:$AR$27),"")))))))))))))))))</f>
        <v>6</v>
      </c>
      <c r="T78" s="110">
        <v>13</v>
      </c>
      <c r="U78" s="382">
        <f>IF(T78="","",LOOKUP(T78,예상등급!$D$19:$D$27,예상등급!$E$19:$E$27))</f>
        <v>7</v>
      </c>
      <c r="V78" s="402">
        <f>SUM(L78,T78,R78,O78)</f>
        <v>263</v>
      </c>
      <c r="W78" s="278">
        <f>RANK(V78,$V$4:$V$491)</f>
        <v>74</v>
      </c>
    </row>
    <row r="79" spans="1:28" ht="24.95" customHeight="1" x14ac:dyDescent="0.15">
      <c r="A79" s="110">
        <v>1</v>
      </c>
      <c r="B79" s="71">
        <v>12</v>
      </c>
      <c r="C79" s="100" t="s">
        <v>808</v>
      </c>
      <c r="D79" s="110" t="s">
        <v>779</v>
      </c>
      <c r="E79" s="71">
        <v>63</v>
      </c>
      <c r="F79" s="382">
        <f>IF(D79=예상등급!$A$1,LOOKUP(E79,예상등급!$A$5:$A$13,예상등급!$B$5:$B$13),IF(D79=예상등급!$A$15,LOOKUP(E79,예상등급!$A$19:$A$27,예상등급!$B$19:$B$27),""))</f>
        <v>3</v>
      </c>
      <c r="G79" s="110" t="s">
        <v>780</v>
      </c>
      <c r="H79" s="71">
        <v>58</v>
      </c>
      <c r="I79" s="382">
        <f>IF(G79=예상등급!$G$15,LOOKUP(H79,예상등급!$G$19:$G$27,예상등급!$H$19:$H$27),IF(G79=예상등급!$J$15,LOOKUP(H79,예상등급!$J$19:$J$27,예상등급!$K$19:$K$27),IF(G79=예상등급!$M$15,LOOKUP(H79,예상등급!$M$19:$M$27,예상등급!$N$19:$N$27),"")))</f>
        <v>5</v>
      </c>
      <c r="J79" s="110">
        <v>73</v>
      </c>
      <c r="K79" s="382">
        <f>IF(J79="","",(LOOKUP(J79,예상등급!$D$5:$D$13,예상등급!$E$5:$E$13)))</f>
        <v>3</v>
      </c>
      <c r="L79" s="301">
        <f>SUM(E79,H79,J79)</f>
        <v>194</v>
      </c>
      <c r="M79" s="398">
        <f>RANK(L79,$L$4:$L$491)</f>
        <v>60</v>
      </c>
      <c r="N79" s="110" t="s">
        <v>761</v>
      </c>
      <c r="O79" s="71">
        <v>28</v>
      </c>
      <c r="P79" s="385">
        <f>IF(N79=예상등급!$G$1,LOOKUP(O79,예상등급!$G$5:$G$13,예상등급!$H$5:$H$13),IF(N79=예상등급!$J$1,LOOKUP(O79,예상등급!$J$5:$J$13,예상등급!$K$5:$K$13),IF(N79=예상등급!$M$1,LOOKUP(O79,예상등급!$M$5:$M$13,예상등급!$N$5:$N$13),IF(N79=예상등급!$P$1,LOOKUP(O79,예상등급!$P$5:$P$13,예상등급!$Q$5:$Q$13),IF(N79=예상등급!$S$1,LOOKUP(O79,예상등급!$S$5:$S$13,예상등급!$T$5:$T$13),IF(N79=예상등급!$V$1,LOOKUP(O79,예상등급!$V$5:$V$13,예상등급!$W$5:$W$13),IF(N79=예상등급!$Y$1,LOOKUP(O79,예상등급!$Y$5:$Y$13,예상등급!$Z$5:$Z$13),IF(N79=예상등급!$AB$1,LOOKUP(O79,예상등급!$AB$5:$AB$13,예상등급!$AC$5:$AC$13),IF(N79=예상등급!$AE$1,LOOKUP(O79,예상등급!$AE$5:$AE$13,예상등급!$AF$5:$AF$13),IF(N79=예상등급!$AH$1,LOOKUP(O79,예상등급!$AH$5:$AH$13,예상등급!$AI$5:$AI$13),IF(N79=예상등급!$AK$1,LOOKUP(O79,예상등급!$AK$5:$AK$13,예상등급!$AL$5:$AL$13),IF(N79=예상등급!$AN$1,LOOKUP(O79,예상등급!$AN$5:$AN$13,예상등급!$AO$5:$AO$13),IF(N79=예상등급!$AQ$1,LOOKUP(O79,예상등급!$AQ$5:$AQ$13,예상등급!$AR$5:$AR$13),IF(N79=예상등급!$AH$15,LOOKUP(O79,예상등급!$AH$19:$AH$27,예상등급!$AI$19:$AI$27),IF(N79=예상등급!$AK$15,LOOKUP(O79,예상등급!$AK$19:$AK$27,예상등급!$AL$19:$AL$27),IF(N79=예상등급!$AN$15,LOOKUP(O79,예상등급!$AN$19:$AN$27,예상등급!$AO$19:$AO$27),IF(N79=예상등급!$AQ$15,LOOKUP(O79,예상등급!$AQ$19:$AQ$27,예상등급!$AR$19:$AR$27),"")))))))))))))))))</f>
        <v>4</v>
      </c>
      <c r="Q79" s="110" t="s">
        <v>762</v>
      </c>
      <c r="R79" s="71">
        <v>21</v>
      </c>
      <c r="S79" s="385">
        <f>IF(Q79=예상등급!$G$1,LOOKUP(R79,예상등급!$G$5:$G$13,예상등급!$H$5:$H$13),IF(Q79=예상등급!$J$1,LOOKUP(R79,예상등급!$J$5:$J$13,예상등급!$K$5:$K$13),IF(Q79=예상등급!$M$1,LOOKUP(R79,예상등급!$M$5:$M$13,예상등급!$N$5:$N$13),IF(Q79=예상등급!$P$1,LOOKUP(R79,예상등급!$P$5:$P$13,예상등급!$Q$5:$Q$13),IF(Q79=예상등급!$S$1,LOOKUP(R79,예상등급!$S$5:$S$13,예상등급!$T$5:$T$13),IF(Q79=예상등급!$V$1,LOOKUP(R79,예상등급!$V$5:$V$13,예상등급!$W$5:$W$13),IF(Q79=예상등급!$Y$1,LOOKUP(R79,예상등급!$Y$5:$Y$13,예상등급!$Z$5:$Z$13),IF(Q79=예상등급!$AB$1,LOOKUP(R79,예상등급!$AB$5:$AB$13,예상등급!$AC$5:$AC$13),IF(Q79=예상등급!$AE$1,LOOKUP(R79,예상등급!$AE$5:$AE$13,예상등급!$AF$5:$AF$13),IF(Q79=예상등급!$AH$1,LOOKUP(R79,예상등급!$AH$5:$AH$13,예상등급!$AI$5:$AI$13),IF(Q79=예상등급!$AK$1,LOOKUP(R79,예상등급!$AK$5:$AK$13,예상등급!$AL$5:$AL$13),IF(Q79=예상등급!$AN$1,LOOKUP(R79,예상등급!$AN$5:$AN$13,예상등급!$AO$5:$AO$13),IF(Q79=예상등급!$AQ$1,LOOKUP(R79,예상등급!$AQ$5:$AQ$13,예상등급!$AR$5:$AR$13),IF(Q79=예상등급!$AH$15,LOOKUP(R79,예상등급!$AH$19:$AH$27,예상등급!$AI$19:$AI$27),IF(Q79=예상등급!$AK$15,LOOKUP(R79,예상등급!$AK$19:$AK$27,예상등급!$AL$19:$AL$27),IF(Q79=예상등급!$AN$15,LOOKUP(R79,예상등급!$AN$19:$AN$27,예상등급!$AO$19:$AO$27),IF(Q79=예상등급!$AQ$15,LOOKUP(R79,예상등급!$AQ$19:$AQ$27,예상등급!$AR$19:$AR$27),"")))))))))))))))))</f>
        <v>5</v>
      </c>
      <c r="T79" s="110">
        <v>17</v>
      </c>
      <c r="U79" s="382">
        <f>IF(T79="","",LOOKUP(T79,예상등급!$D$19:$D$27,예상등급!$E$19:$E$27))</f>
        <v>6</v>
      </c>
      <c r="V79" s="402">
        <f>SUM(L79,T79,R79,O79)</f>
        <v>260</v>
      </c>
      <c r="W79" s="278">
        <f>RANK(V79,$V$4:$V$491)</f>
        <v>76</v>
      </c>
      <c r="X79" s="7"/>
      <c r="Y79" s="7"/>
      <c r="Z79" s="7"/>
      <c r="AA79" s="7"/>
      <c r="AB79" s="7"/>
    </row>
    <row r="80" spans="1:28" ht="24.95" customHeight="1" x14ac:dyDescent="0.15">
      <c r="A80" s="110">
        <v>10</v>
      </c>
      <c r="B80" s="71">
        <v>13</v>
      </c>
      <c r="C80" s="100" t="s">
        <v>996</v>
      </c>
      <c r="D80" s="110" t="s">
        <v>779</v>
      </c>
      <c r="E80" s="71">
        <v>59</v>
      </c>
      <c r="F80" s="382">
        <f>IF(D80=예상등급!$A$1,LOOKUP(E80,예상등급!$A$5:$A$13,예상등급!$B$5:$B$13),IF(D80=예상등급!$A$15,LOOKUP(E80,예상등급!$A$19:$A$27,예상등급!$B$19:$B$27),""))</f>
        <v>4</v>
      </c>
      <c r="G80" s="110" t="s">
        <v>780</v>
      </c>
      <c r="H80" s="71">
        <v>32</v>
      </c>
      <c r="I80" s="382">
        <f>IF(G80=예상등급!$G$15,LOOKUP(H80,예상등급!$G$19:$G$27,예상등급!$H$19:$H$27),IF(G80=예상등급!$J$15,LOOKUP(H80,예상등급!$J$19:$J$27,예상등급!$K$19:$K$27),IF(G80=예상등급!$M$15,LOOKUP(H80,예상등급!$M$19:$M$27,예상등급!$N$19:$N$27),"")))</f>
        <v>6</v>
      </c>
      <c r="J80" s="110">
        <v>76</v>
      </c>
      <c r="K80" s="382">
        <f>IF(J80="","",(LOOKUP(J80,예상등급!$D$5:$D$13,예상등급!$E$5:$E$13)))</f>
        <v>3</v>
      </c>
      <c r="L80" s="301">
        <f>SUM(E80,H80,J80)</f>
        <v>167</v>
      </c>
      <c r="M80" s="398">
        <f>RANK(L80,$L$4:$L$491)</f>
        <v>100</v>
      </c>
      <c r="N80" s="110" t="s">
        <v>761</v>
      </c>
      <c r="O80" s="71">
        <v>31</v>
      </c>
      <c r="P80" s="385">
        <f>IF(N80=예상등급!$G$1,LOOKUP(O80,예상등급!$G$5:$G$13,예상등급!$H$5:$H$13),IF(N80=예상등급!$J$1,LOOKUP(O80,예상등급!$J$5:$J$13,예상등급!$K$5:$K$13),IF(N80=예상등급!$M$1,LOOKUP(O80,예상등급!$M$5:$M$13,예상등급!$N$5:$N$13),IF(N80=예상등급!$P$1,LOOKUP(O80,예상등급!$P$5:$P$13,예상등급!$Q$5:$Q$13),IF(N80=예상등급!$S$1,LOOKUP(O80,예상등급!$S$5:$S$13,예상등급!$T$5:$T$13),IF(N80=예상등급!$V$1,LOOKUP(O80,예상등급!$V$5:$V$13,예상등급!$W$5:$W$13),IF(N80=예상등급!$Y$1,LOOKUP(O80,예상등급!$Y$5:$Y$13,예상등급!$Z$5:$Z$13),IF(N80=예상등급!$AB$1,LOOKUP(O80,예상등급!$AB$5:$AB$13,예상등급!$AC$5:$AC$13),IF(N80=예상등급!$AE$1,LOOKUP(O80,예상등급!$AE$5:$AE$13,예상등급!$AF$5:$AF$13),IF(N80=예상등급!$AH$1,LOOKUP(O80,예상등급!$AH$5:$AH$13,예상등급!$AI$5:$AI$13),IF(N80=예상등급!$AK$1,LOOKUP(O80,예상등급!$AK$5:$AK$13,예상등급!$AL$5:$AL$13),IF(N80=예상등급!$AN$1,LOOKUP(O80,예상등급!$AN$5:$AN$13,예상등급!$AO$5:$AO$13),IF(N80=예상등급!$AQ$1,LOOKUP(O80,예상등급!$AQ$5:$AQ$13,예상등급!$AR$5:$AR$13),IF(N80=예상등급!$AH$15,LOOKUP(O80,예상등급!$AH$19:$AH$27,예상등급!$AI$19:$AI$27),IF(N80=예상등급!$AK$15,LOOKUP(O80,예상등급!$AK$19:$AK$27,예상등급!$AL$19:$AL$27),IF(N80=예상등급!$AN$15,LOOKUP(O80,예상등급!$AN$19:$AN$27,예상등급!$AO$19:$AO$27),IF(N80=예상등급!$AQ$15,LOOKUP(O80,예상등급!$AQ$19:$AQ$27,예상등급!$AR$19:$AR$27),"")))))))))))))))))</f>
        <v>3</v>
      </c>
      <c r="Q80" s="110" t="s">
        <v>762</v>
      </c>
      <c r="R80" s="71">
        <v>34</v>
      </c>
      <c r="S80" s="385">
        <f>IF(Q80=예상등급!$G$1,LOOKUP(R80,예상등급!$G$5:$G$13,예상등급!$H$5:$H$13),IF(Q80=예상등급!$J$1,LOOKUP(R80,예상등급!$J$5:$J$13,예상등급!$K$5:$K$13),IF(Q80=예상등급!$M$1,LOOKUP(R80,예상등급!$M$5:$M$13,예상등급!$N$5:$N$13),IF(Q80=예상등급!$P$1,LOOKUP(R80,예상등급!$P$5:$P$13,예상등급!$Q$5:$Q$13),IF(Q80=예상등급!$S$1,LOOKUP(R80,예상등급!$S$5:$S$13,예상등급!$T$5:$T$13),IF(Q80=예상등급!$V$1,LOOKUP(R80,예상등급!$V$5:$V$13,예상등급!$W$5:$W$13),IF(Q80=예상등급!$Y$1,LOOKUP(R80,예상등급!$Y$5:$Y$13,예상등급!$Z$5:$Z$13),IF(Q80=예상등급!$AB$1,LOOKUP(R80,예상등급!$AB$5:$AB$13,예상등급!$AC$5:$AC$13),IF(Q80=예상등급!$AE$1,LOOKUP(R80,예상등급!$AE$5:$AE$13,예상등급!$AF$5:$AF$13),IF(Q80=예상등급!$AH$1,LOOKUP(R80,예상등급!$AH$5:$AH$13,예상등급!$AI$5:$AI$13),IF(Q80=예상등급!$AK$1,LOOKUP(R80,예상등급!$AK$5:$AK$13,예상등급!$AL$5:$AL$13),IF(Q80=예상등급!$AN$1,LOOKUP(R80,예상등급!$AN$5:$AN$13,예상등급!$AO$5:$AO$13),IF(Q80=예상등급!$AQ$1,LOOKUP(R80,예상등급!$AQ$5:$AQ$13,예상등급!$AR$5:$AR$13),IF(Q80=예상등급!$AH$15,LOOKUP(R80,예상등급!$AH$19:$AH$27,예상등급!$AI$19:$AI$27),IF(Q80=예상등급!$AK$15,LOOKUP(R80,예상등급!$AK$19:$AK$27,예상등급!$AL$19:$AL$27),IF(Q80=예상등급!$AN$15,LOOKUP(R80,예상등급!$AN$19:$AN$27,예상등급!$AO$19:$AO$27),IF(Q80=예상등급!$AQ$15,LOOKUP(R80,예상등급!$AQ$19:$AQ$27,예상등급!$AR$19:$AR$27),"")))))))))))))))))</f>
        <v>3</v>
      </c>
      <c r="T80" s="110">
        <v>28</v>
      </c>
      <c r="U80" s="382">
        <f>IF(T80="","",LOOKUP(T80,예상등급!$D$19:$D$27,예상등급!$E$19:$E$27))</f>
        <v>4</v>
      </c>
      <c r="V80" s="402">
        <f>SUM(L80,T80,R80,O80)</f>
        <v>260</v>
      </c>
      <c r="W80" s="278">
        <f>RANK(V80,$V$4:$V$491)</f>
        <v>76</v>
      </c>
      <c r="Y80" s="7"/>
      <c r="Z80" s="7"/>
      <c r="AA80" s="7"/>
      <c r="AB80" s="7"/>
    </row>
    <row r="81" spans="1:28" ht="24.95" customHeight="1" x14ac:dyDescent="0.15">
      <c r="A81" s="110">
        <v>4</v>
      </c>
      <c r="B81" s="71">
        <v>8</v>
      </c>
      <c r="C81" s="100" t="s">
        <v>861</v>
      </c>
      <c r="D81" s="110" t="s">
        <v>779</v>
      </c>
      <c r="E81" s="71">
        <v>41</v>
      </c>
      <c r="F81" s="382">
        <f>IF(D81=예상등급!$A$1,LOOKUP(E81,예상등급!$A$5:$A$13,예상등급!$B$5:$B$13),IF(D81=예상등급!$A$15,LOOKUP(E81,예상등급!$A$19:$A$27,예상등급!$B$19:$B$27),""))</f>
        <v>5</v>
      </c>
      <c r="G81" s="110" t="s">
        <v>781</v>
      </c>
      <c r="H81" s="71">
        <v>61</v>
      </c>
      <c r="I81" s="382">
        <f>IF(G81=예상등급!$G$15,LOOKUP(H81,예상등급!$G$19:$G$27,예상등급!$H$19:$H$27),IF(G81=예상등급!$J$15,LOOKUP(H81,예상등급!$J$19:$J$27,예상등급!$K$19:$K$27),IF(G81=예상등급!$M$15,LOOKUP(H81,예상등급!$M$19:$M$27,예상등급!$N$19:$N$27),"")))</f>
        <v>4</v>
      </c>
      <c r="J81" s="110">
        <v>58</v>
      </c>
      <c r="K81" s="382">
        <f>IF(J81="","",(LOOKUP(J81,예상등급!$D$5:$D$13,예상등급!$E$5:$E$13)))</f>
        <v>5</v>
      </c>
      <c r="L81" s="301">
        <f>SUM(E81,H81,J81)</f>
        <v>160</v>
      </c>
      <c r="M81" s="398">
        <f>RANK(L81,$L$4:$L$491)</f>
        <v>112</v>
      </c>
      <c r="N81" s="110" t="s">
        <v>771</v>
      </c>
      <c r="O81" s="71">
        <v>38</v>
      </c>
      <c r="P81" s="385">
        <f>IF(N81=예상등급!$G$1,LOOKUP(O81,예상등급!$G$5:$G$13,예상등급!$H$5:$H$13),IF(N81=예상등급!$J$1,LOOKUP(O81,예상등급!$J$5:$J$13,예상등급!$K$5:$K$13),IF(N81=예상등급!$M$1,LOOKUP(O81,예상등급!$M$5:$M$13,예상등급!$N$5:$N$13),IF(N81=예상등급!$P$1,LOOKUP(O81,예상등급!$P$5:$P$13,예상등급!$Q$5:$Q$13),IF(N81=예상등급!$S$1,LOOKUP(O81,예상등급!$S$5:$S$13,예상등급!$T$5:$T$13),IF(N81=예상등급!$V$1,LOOKUP(O81,예상등급!$V$5:$V$13,예상등급!$W$5:$W$13),IF(N81=예상등급!$Y$1,LOOKUP(O81,예상등급!$Y$5:$Y$13,예상등급!$Z$5:$Z$13),IF(N81=예상등급!$AB$1,LOOKUP(O81,예상등급!$AB$5:$AB$13,예상등급!$AC$5:$AC$13),IF(N81=예상등급!$AE$1,LOOKUP(O81,예상등급!$AE$5:$AE$13,예상등급!$AF$5:$AF$13),IF(N81=예상등급!$AH$1,LOOKUP(O81,예상등급!$AH$5:$AH$13,예상등급!$AI$5:$AI$13),IF(N81=예상등급!$AK$1,LOOKUP(O81,예상등급!$AK$5:$AK$13,예상등급!$AL$5:$AL$13),IF(N81=예상등급!$AN$1,LOOKUP(O81,예상등급!$AN$5:$AN$13,예상등급!$AO$5:$AO$13),IF(N81=예상등급!$AQ$1,LOOKUP(O81,예상등급!$AQ$5:$AQ$13,예상등급!$AR$5:$AR$13),IF(N81=예상등급!$AH$15,LOOKUP(O81,예상등급!$AH$19:$AH$27,예상등급!$AI$19:$AI$27),IF(N81=예상등급!$AK$15,LOOKUP(O81,예상등급!$AK$19:$AK$27,예상등급!$AL$19:$AL$27),IF(N81=예상등급!$AN$15,LOOKUP(O81,예상등급!$AN$19:$AN$27,예상등급!$AO$19:$AO$27),IF(N81=예상등급!$AQ$15,LOOKUP(O81,예상등급!$AQ$19:$AQ$27,예상등급!$AR$19:$AR$27),"")))))))))))))))))</f>
        <v>2</v>
      </c>
      <c r="Q81" s="110" t="s">
        <v>762</v>
      </c>
      <c r="R81" s="71">
        <v>41</v>
      </c>
      <c r="S81" s="385">
        <f>IF(Q81=예상등급!$G$1,LOOKUP(R81,예상등급!$G$5:$G$13,예상등급!$H$5:$H$13),IF(Q81=예상등급!$J$1,LOOKUP(R81,예상등급!$J$5:$J$13,예상등급!$K$5:$K$13),IF(Q81=예상등급!$M$1,LOOKUP(R81,예상등급!$M$5:$M$13,예상등급!$N$5:$N$13),IF(Q81=예상등급!$P$1,LOOKUP(R81,예상등급!$P$5:$P$13,예상등급!$Q$5:$Q$13),IF(Q81=예상등급!$S$1,LOOKUP(R81,예상등급!$S$5:$S$13,예상등급!$T$5:$T$13),IF(Q81=예상등급!$V$1,LOOKUP(R81,예상등급!$V$5:$V$13,예상등급!$W$5:$W$13),IF(Q81=예상등급!$Y$1,LOOKUP(R81,예상등급!$Y$5:$Y$13,예상등급!$Z$5:$Z$13),IF(Q81=예상등급!$AB$1,LOOKUP(R81,예상등급!$AB$5:$AB$13,예상등급!$AC$5:$AC$13),IF(Q81=예상등급!$AE$1,LOOKUP(R81,예상등급!$AE$5:$AE$13,예상등급!$AF$5:$AF$13),IF(Q81=예상등급!$AH$1,LOOKUP(R81,예상등급!$AH$5:$AH$13,예상등급!$AI$5:$AI$13),IF(Q81=예상등급!$AK$1,LOOKUP(R81,예상등급!$AK$5:$AK$13,예상등급!$AL$5:$AL$13),IF(Q81=예상등급!$AN$1,LOOKUP(R81,예상등급!$AN$5:$AN$13,예상등급!$AO$5:$AO$13),IF(Q81=예상등급!$AQ$1,LOOKUP(R81,예상등급!$AQ$5:$AQ$13,예상등급!$AR$5:$AR$13),IF(Q81=예상등급!$AH$15,LOOKUP(R81,예상등급!$AH$19:$AH$27,예상등급!$AI$19:$AI$27),IF(Q81=예상등급!$AK$15,LOOKUP(R81,예상등급!$AK$19:$AK$27,예상등급!$AL$19:$AL$27),IF(Q81=예상등급!$AN$15,LOOKUP(R81,예상등급!$AN$19:$AN$27,예상등급!$AO$19:$AO$27),IF(Q81=예상등급!$AQ$15,LOOKUP(R81,예상등급!$AQ$19:$AQ$27,예상등급!$AR$19:$AR$27),"")))))))))))))))))</f>
        <v>2</v>
      </c>
      <c r="T81" s="110">
        <v>19</v>
      </c>
      <c r="U81" s="382">
        <f>IF(T81="","",LOOKUP(T81,예상등급!$D$19:$D$27,예상등급!$E$19:$E$27))</f>
        <v>6</v>
      </c>
      <c r="V81" s="402">
        <f>SUM(L81,T81,R81,O81)</f>
        <v>258</v>
      </c>
      <c r="W81" s="278">
        <f>RANK(V81,$V$4:$V$491)</f>
        <v>78</v>
      </c>
      <c r="Y81" s="7"/>
      <c r="Z81" s="7"/>
      <c r="AA81" s="7"/>
      <c r="AB81" s="7"/>
    </row>
    <row r="82" spans="1:28" ht="24.95" customHeight="1" x14ac:dyDescent="0.15">
      <c r="A82" s="110">
        <v>10</v>
      </c>
      <c r="B82" s="71">
        <v>4</v>
      </c>
      <c r="C82" s="100" t="s">
        <v>988</v>
      </c>
      <c r="D82" s="110" t="s">
        <v>779</v>
      </c>
      <c r="E82" s="71">
        <v>56</v>
      </c>
      <c r="F82" s="382">
        <f>IF(D82=예상등급!$A$1,LOOKUP(E82,예상등급!$A$5:$A$13,예상등급!$B$5:$B$13),IF(D82=예상등급!$A$15,LOOKUP(E82,예상등급!$A$19:$A$27,예상등급!$B$19:$B$27),""))</f>
        <v>4</v>
      </c>
      <c r="G82" s="110" t="s">
        <v>780</v>
      </c>
      <c r="H82" s="71">
        <v>38</v>
      </c>
      <c r="I82" s="382">
        <f>IF(G82=예상등급!$G$15,LOOKUP(H82,예상등급!$G$19:$G$27,예상등급!$H$19:$H$27),IF(G82=예상등급!$J$15,LOOKUP(H82,예상등급!$J$19:$J$27,예상등급!$K$19:$K$27),IF(G82=예상등급!$M$15,LOOKUP(H82,예상등급!$M$19:$M$27,예상등급!$N$19:$N$27),"")))</f>
        <v>5</v>
      </c>
      <c r="J82" s="110">
        <v>65</v>
      </c>
      <c r="K82" s="382">
        <f>IF(J82="","",(LOOKUP(J82,예상등급!$D$5:$D$13,예상등급!$E$5:$E$13)))</f>
        <v>4</v>
      </c>
      <c r="L82" s="301">
        <f>SUM(E82,H82,J82)</f>
        <v>159</v>
      </c>
      <c r="M82" s="398">
        <f>RANK(L82,$L$4:$L$491)</f>
        <v>116</v>
      </c>
      <c r="N82" s="110" t="s">
        <v>761</v>
      </c>
      <c r="O82" s="71">
        <v>38</v>
      </c>
      <c r="P82" s="385">
        <f>IF(N82=예상등급!$G$1,LOOKUP(O82,예상등급!$G$5:$G$13,예상등급!$H$5:$H$13),IF(N82=예상등급!$J$1,LOOKUP(O82,예상등급!$J$5:$J$13,예상등급!$K$5:$K$13),IF(N82=예상등급!$M$1,LOOKUP(O82,예상등급!$M$5:$M$13,예상등급!$N$5:$N$13),IF(N82=예상등급!$P$1,LOOKUP(O82,예상등급!$P$5:$P$13,예상등급!$Q$5:$Q$13),IF(N82=예상등급!$S$1,LOOKUP(O82,예상등급!$S$5:$S$13,예상등급!$T$5:$T$13),IF(N82=예상등급!$V$1,LOOKUP(O82,예상등급!$V$5:$V$13,예상등급!$W$5:$W$13),IF(N82=예상등급!$Y$1,LOOKUP(O82,예상등급!$Y$5:$Y$13,예상등급!$Z$5:$Z$13),IF(N82=예상등급!$AB$1,LOOKUP(O82,예상등급!$AB$5:$AB$13,예상등급!$AC$5:$AC$13),IF(N82=예상등급!$AE$1,LOOKUP(O82,예상등급!$AE$5:$AE$13,예상등급!$AF$5:$AF$13),IF(N82=예상등급!$AH$1,LOOKUP(O82,예상등급!$AH$5:$AH$13,예상등급!$AI$5:$AI$13),IF(N82=예상등급!$AK$1,LOOKUP(O82,예상등급!$AK$5:$AK$13,예상등급!$AL$5:$AL$13),IF(N82=예상등급!$AN$1,LOOKUP(O82,예상등급!$AN$5:$AN$13,예상등급!$AO$5:$AO$13),IF(N82=예상등급!$AQ$1,LOOKUP(O82,예상등급!$AQ$5:$AQ$13,예상등급!$AR$5:$AR$13),IF(N82=예상등급!$AH$15,LOOKUP(O82,예상등급!$AH$19:$AH$27,예상등급!$AI$19:$AI$27),IF(N82=예상등급!$AK$15,LOOKUP(O82,예상등급!$AK$19:$AK$27,예상등급!$AL$19:$AL$27),IF(N82=예상등급!$AN$15,LOOKUP(O82,예상등급!$AN$19:$AN$27,예상등급!$AO$19:$AO$27),IF(N82=예상등급!$AQ$15,LOOKUP(O82,예상등급!$AQ$19:$AQ$27,예상등급!$AR$19:$AR$27),"")))))))))))))))))</f>
        <v>2</v>
      </c>
      <c r="Q82" s="110" t="s">
        <v>772</v>
      </c>
      <c r="R82" s="71">
        <v>28</v>
      </c>
      <c r="S82" s="385">
        <f>IF(Q82=예상등급!$G$1,LOOKUP(R82,예상등급!$G$5:$G$13,예상등급!$H$5:$H$13),IF(Q82=예상등급!$J$1,LOOKUP(R82,예상등급!$J$5:$J$13,예상등급!$K$5:$K$13),IF(Q82=예상등급!$M$1,LOOKUP(R82,예상등급!$M$5:$M$13,예상등급!$N$5:$N$13),IF(Q82=예상등급!$P$1,LOOKUP(R82,예상등급!$P$5:$P$13,예상등급!$Q$5:$Q$13),IF(Q82=예상등급!$S$1,LOOKUP(R82,예상등급!$S$5:$S$13,예상등급!$T$5:$T$13),IF(Q82=예상등급!$V$1,LOOKUP(R82,예상등급!$V$5:$V$13,예상등급!$W$5:$W$13),IF(Q82=예상등급!$Y$1,LOOKUP(R82,예상등급!$Y$5:$Y$13,예상등급!$Z$5:$Z$13),IF(Q82=예상등급!$AB$1,LOOKUP(R82,예상등급!$AB$5:$AB$13,예상등급!$AC$5:$AC$13),IF(Q82=예상등급!$AE$1,LOOKUP(R82,예상등급!$AE$5:$AE$13,예상등급!$AF$5:$AF$13),IF(Q82=예상등급!$AH$1,LOOKUP(R82,예상등급!$AH$5:$AH$13,예상등급!$AI$5:$AI$13),IF(Q82=예상등급!$AK$1,LOOKUP(R82,예상등급!$AK$5:$AK$13,예상등급!$AL$5:$AL$13),IF(Q82=예상등급!$AN$1,LOOKUP(R82,예상등급!$AN$5:$AN$13,예상등급!$AO$5:$AO$13),IF(Q82=예상등급!$AQ$1,LOOKUP(R82,예상등급!$AQ$5:$AQ$13,예상등급!$AR$5:$AR$13),IF(Q82=예상등급!$AH$15,LOOKUP(R82,예상등급!$AH$19:$AH$27,예상등급!$AI$19:$AI$27),IF(Q82=예상등급!$AK$15,LOOKUP(R82,예상등급!$AK$19:$AK$27,예상등급!$AL$19:$AL$27),IF(Q82=예상등급!$AN$15,LOOKUP(R82,예상등급!$AN$19:$AN$27,예상등급!$AO$19:$AO$27),IF(Q82=예상등급!$AQ$15,LOOKUP(R82,예상등급!$AQ$19:$AQ$27,예상등급!$AR$19:$AR$27),"")))))))))))))))))</f>
        <v>3</v>
      </c>
      <c r="T82" s="110">
        <v>33</v>
      </c>
      <c r="U82" s="382">
        <f>IF(T82="","",LOOKUP(T82,예상등급!$D$19:$D$27,예상등급!$E$19:$E$27))</f>
        <v>3</v>
      </c>
      <c r="V82" s="402">
        <f>SUM(L82,T82,R82,O82)</f>
        <v>258</v>
      </c>
      <c r="W82" s="278">
        <f>RANK(V82,$V$4:$V$491)</f>
        <v>78</v>
      </c>
      <c r="Y82" s="150"/>
      <c r="Z82" s="150"/>
      <c r="AA82" s="7"/>
      <c r="AB82" s="7"/>
    </row>
    <row r="83" spans="1:28" ht="24.95" customHeight="1" x14ac:dyDescent="0.15">
      <c r="A83" s="110">
        <v>3</v>
      </c>
      <c r="B83" s="71">
        <v>11</v>
      </c>
      <c r="C83" s="100" t="s">
        <v>845</v>
      </c>
      <c r="D83" s="110" t="s">
        <v>779</v>
      </c>
      <c r="E83" s="71">
        <v>54</v>
      </c>
      <c r="F83" s="382">
        <f>IF(D83=예상등급!$A$1,LOOKUP(E83,예상등급!$A$5:$A$13,예상등급!$B$5:$B$13),IF(D83=예상등급!$A$15,LOOKUP(E83,예상등급!$A$19:$A$27,예상등급!$B$19:$B$27),""))</f>
        <v>4</v>
      </c>
      <c r="G83" s="110" t="s">
        <v>781</v>
      </c>
      <c r="H83" s="71">
        <v>80</v>
      </c>
      <c r="I83" s="382">
        <f>IF(G83=예상등급!$G$15,LOOKUP(H83,예상등급!$G$19:$G$27,예상등급!$H$19:$H$27),IF(G83=예상등급!$J$15,LOOKUP(H83,예상등급!$J$19:$J$27,예상등급!$K$19:$K$27),IF(G83=예상등급!$M$15,LOOKUP(H83,예상등급!$M$19:$M$27,예상등급!$N$19:$N$27),"")))</f>
        <v>2</v>
      </c>
      <c r="J83" s="110">
        <v>65</v>
      </c>
      <c r="K83" s="382">
        <f>IF(J83="","",(LOOKUP(J83,예상등급!$D$5:$D$13,예상등급!$E$5:$E$13)))</f>
        <v>4</v>
      </c>
      <c r="L83" s="301">
        <f>SUM(E83,H83,J83)</f>
        <v>199</v>
      </c>
      <c r="M83" s="398">
        <f>RANK(L83,$L$4:$L$491)</f>
        <v>48</v>
      </c>
      <c r="N83" s="110" t="s">
        <v>769</v>
      </c>
      <c r="O83" s="71">
        <v>19</v>
      </c>
      <c r="P83" s="385">
        <f>IF(N83=예상등급!$G$1,LOOKUP(O83,예상등급!$G$5:$G$13,예상등급!$H$5:$H$13),IF(N83=예상등급!$J$1,LOOKUP(O83,예상등급!$J$5:$J$13,예상등급!$K$5:$K$13),IF(N83=예상등급!$M$1,LOOKUP(O83,예상등급!$M$5:$M$13,예상등급!$N$5:$N$13),IF(N83=예상등급!$P$1,LOOKUP(O83,예상등급!$P$5:$P$13,예상등급!$Q$5:$Q$13),IF(N83=예상등급!$S$1,LOOKUP(O83,예상등급!$S$5:$S$13,예상등급!$T$5:$T$13),IF(N83=예상등급!$V$1,LOOKUP(O83,예상등급!$V$5:$V$13,예상등급!$W$5:$W$13),IF(N83=예상등급!$Y$1,LOOKUP(O83,예상등급!$Y$5:$Y$13,예상등급!$Z$5:$Z$13),IF(N83=예상등급!$AB$1,LOOKUP(O83,예상등급!$AB$5:$AB$13,예상등급!$AC$5:$AC$13),IF(N83=예상등급!$AE$1,LOOKUP(O83,예상등급!$AE$5:$AE$13,예상등급!$AF$5:$AF$13),IF(N83=예상등급!$AH$1,LOOKUP(O83,예상등급!$AH$5:$AH$13,예상등급!$AI$5:$AI$13),IF(N83=예상등급!$AK$1,LOOKUP(O83,예상등급!$AK$5:$AK$13,예상등급!$AL$5:$AL$13),IF(N83=예상등급!$AN$1,LOOKUP(O83,예상등급!$AN$5:$AN$13,예상등급!$AO$5:$AO$13),IF(N83=예상등급!$AQ$1,LOOKUP(O83,예상등급!$AQ$5:$AQ$13,예상등급!$AR$5:$AR$13),IF(N83=예상등급!$AH$15,LOOKUP(O83,예상등급!$AH$19:$AH$27,예상등급!$AI$19:$AI$27),IF(N83=예상등급!$AK$15,LOOKUP(O83,예상등급!$AK$19:$AK$27,예상등급!$AL$19:$AL$27),IF(N83=예상등급!$AN$15,LOOKUP(O83,예상등급!$AN$19:$AN$27,예상등급!$AO$19:$AO$27),IF(N83=예상등급!$AQ$15,LOOKUP(O83,예상등급!$AQ$19:$AQ$27,예상등급!$AR$19:$AR$27),"")))))))))))))))))</f>
        <v>5</v>
      </c>
      <c r="Q83" s="110" t="s">
        <v>762</v>
      </c>
      <c r="R83" s="71">
        <v>25</v>
      </c>
      <c r="S83" s="385">
        <f>IF(Q83=예상등급!$G$1,LOOKUP(R83,예상등급!$G$5:$G$13,예상등급!$H$5:$H$13),IF(Q83=예상등급!$J$1,LOOKUP(R83,예상등급!$J$5:$J$13,예상등급!$K$5:$K$13),IF(Q83=예상등급!$M$1,LOOKUP(R83,예상등급!$M$5:$M$13,예상등급!$N$5:$N$13),IF(Q83=예상등급!$P$1,LOOKUP(R83,예상등급!$P$5:$P$13,예상등급!$Q$5:$Q$13),IF(Q83=예상등급!$S$1,LOOKUP(R83,예상등급!$S$5:$S$13,예상등급!$T$5:$T$13),IF(Q83=예상등급!$V$1,LOOKUP(R83,예상등급!$V$5:$V$13,예상등급!$W$5:$W$13),IF(Q83=예상등급!$Y$1,LOOKUP(R83,예상등급!$Y$5:$Y$13,예상등급!$Z$5:$Z$13),IF(Q83=예상등급!$AB$1,LOOKUP(R83,예상등급!$AB$5:$AB$13,예상등급!$AC$5:$AC$13),IF(Q83=예상등급!$AE$1,LOOKUP(R83,예상등급!$AE$5:$AE$13,예상등급!$AF$5:$AF$13),IF(Q83=예상등급!$AH$1,LOOKUP(R83,예상등급!$AH$5:$AH$13,예상등급!$AI$5:$AI$13),IF(Q83=예상등급!$AK$1,LOOKUP(R83,예상등급!$AK$5:$AK$13,예상등급!$AL$5:$AL$13),IF(Q83=예상등급!$AN$1,LOOKUP(R83,예상등급!$AN$5:$AN$13,예상등급!$AO$5:$AO$13),IF(Q83=예상등급!$AQ$1,LOOKUP(R83,예상등급!$AQ$5:$AQ$13,예상등급!$AR$5:$AR$13),IF(Q83=예상등급!$AH$15,LOOKUP(R83,예상등급!$AH$19:$AH$27,예상등급!$AI$19:$AI$27),IF(Q83=예상등급!$AK$15,LOOKUP(R83,예상등급!$AK$19:$AK$27,예상등급!$AL$19:$AL$27),IF(Q83=예상등급!$AN$15,LOOKUP(R83,예상등급!$AN$19:$AN$27,예상등급!$AO$19:$AO$27),IF(Q83=예상등급!$AQ$15,LOOKUP(R83,예상등급!$AQ$19:$AQ$27,예상등급!$AR$19:$AR$27),"")))))))))))))))))</f>
        <v>5</v>
      </c>
      <c r="T83" s="110">
        <v>14</v>
      </c>
      <c r="U83" s="382">
        <f>IF(T83="","",LOOKUP(T83,예상등급!$D$19:$D$27,예상등급!$E$19:$E$27))</f>
        <v>7</v>
      </c>
      <c r="V83" s="402">
        <f>SUM(L83,T83,R83,O83)</f>
        <v>257</v>
      </c>
      <c r="W83" s="278">
        <f>RANK(V83,$V$4:$V$491)</f>
        <v>80</v>
      </c>
      <c r="Y83" s="7"/>
      <c r="Z83" s="7"/>
      <c r="AA83" s="7"/>
      <c r="AB83" s="7"/>
    </row>
    <row r="84" spans="1:28" ht="24.95" customHeight="1" x14ac:dyDescent="0.15">
      <c r="A84" s="110">
        <v>4</v>
      </c>
      <c r="B84" s="71">
        <v>2</v>
      </c>
      <c r="C84" s="100" t="s">
        <v>857</v>
      </c>
      <c r="D84" s="110" t="s">
        <v>779</v>
      </c>
      <c r="E84" s="71">
        <v>61</v>
      </c>
      <c r="F84" s="382">
        <f>IF(D84=예상등급!$A$1,LOOKUP(E84,예상등급!$A$5:$A$13,예상등급!$B$5:$B$13),IF(D84=예상등급!$A$15,LOOKUP(E84,예상등급!$A$19:$A$27,예상등급!$B$19:$B$27),""))</f>
        <v>4</v>
      </c>
      <c r="G84" s="110" t="s">
        <v>781</v>
      </c>
      <c r="H84" s="71">
        <v>53</v>
      </c>
      <c r="I84" s="382">
        <f>IF(G84=예상등급!$G$15,LOOKUP(H84,예상등급!$G$19:$G$27,예상등급!$H$19:$H$27),IF(G84=예상등급!$J$15,LOOKUP(H84,예상등급!$J$19:$J$27,예상등급!$K$19:$K$27),IF(G84=예상등급!$M$15,LOOKUP(H84,예상등급!$M$19:$M$27,예상등급!$N$19:$N$27),"")))</f>
        <v>4</v>
      </c>
      <c r="J84" s="110">
        <v>73</v>
      </c>
      <c r="K84" s="382">
        <f>IF(J84="","",(LOOKUP(J84,예상등급!$D$5:$D$13,예상등급!$E$5:$E$13)))</f>
        <v>3</v>
      </c>
      <c r="L84" s="301">
        <f>SUM(E84,H84,J84)</f>
        <v>187</v>
      </c>
      <c r="M84" s="398">
        <f>RANK(L84,$L$4:$L$491)</f>
        <v>65</v>
      </c>
      <c r="N84" s="110" t="s">
        <v>760</v>
      </c>
      <c r="O84" s="71">
        <v>18</v>
      </c>
      <c r="P84" s="385">
        <f>IF(N84=예상등급!$G$1,LOOKUP(O84,예상등급!$G$5:$G$13,예상등급!$H$5:$H$13),IF(N84=예상등급!$J$1,LOOKUP(O84,예상등급!$J$5:$J$13,예상등급!$K$5:$K$13),IF(N84=예상등급!$M$1,LOOKUP(O84,예상등급!$M$5:$M$13,예상등급!$N$5:$N$13),IF(N84=예상등급!$P$1,LOOKUP(O84,예상등급!$P$5:$P$13,예상등급!$Q$5:$Q$13),IF(N84=예상등급!$S$1,LOOKUP(O84,예상등급!$S$5:$S$13,예상등급!$T$5:$T$13),IF(N84=예상등급!$V$1,LOOKUP(O84,예상등급!$V$5:$V$13,예상등급!$W$5:$W$13),IF(N84=예상등급!$Y$1,LOOKUP(O84,예상등급!$Y$5:$Y$13,예상등급!$Z$5:$Z$13),IF(N84=예상등급!$AB$1,LOOKUP(O84,예상등급!$AB$5:$AB$13,예상등급!$AC$5:$AC$13),IF(N84=예상등급!$AE$1,LOOKUP(O84,예상등급!$AE$5:$AE$13,예상등급!$AF$5:$AF$13),IF(N84=예상등급!$AH$1,LOOKUP(O84,예상등급!$AH$5:$AH$13,예상등급!$AI$5:$AI$13),IF(N84=예상등급!$AK$1,LOOKUP(O84,예상등급!$AK$5:$AK$13,예상등급!$AL$5:$AL$13),IF(N84=예상등급!$AN$1,LOOKUP(O84,예상등급!$AN$5:$AN$13,예상등급!$AO$5:$AO$13),IF(N84=예상등급!$AQ$1,LOOKUP(O84,예상등급!$AQ$5:$AQ$13,예상등급!$AR$5:$AR$13),IF(N84=예상등급!$AH$15,LOOKUP(O84,예상등급!$AH$19:$AH$27,예상등급!$AI$19:$AI$27),IF(N84=예상등급!$AK$15,LOOKUP(O84,예상등급!$AK$19:$AK$27,예상등급!$AL$19:$AL$27),IF(N84=예상등급!$AN$15,LOOKUP(O84,예상등급!$AN$19:$AN$27,예상등급!$AO$19:$AO$27),IF(N84=예상등급!$AQ$15,LOOKUP(O84,예상등급!$AQ$19:$AQ$27,예상등급!$AR$19:$AR$27),"")))))))))))))))))</f>
        <v>4</v>
      </c>
      <c r="Q84" s="110" t="s">
        <v>771</v>
      </c>
      <c r="R84" s="71">
        <v>25</v>
      </c>
      <c r="S84" s="385">
        <f>IF(Q84=예상등급!$G$1,LOOKUP(R84,예상등급!$G$5:$G$13,예상등급!$H$5:$H$13),IF(Q84=예상등급!$J$1,LOOKUP(R84,예상등급!$J$5:$J$13,예상등급!$K$5:$K$13),IF(Q84=예상등급!$M$1,LOOKUP(R84,예상등급!$M$5:$M$13,예상등급!$N$5:$N$13),IF(Q84=예상등급!$P$1,LOOKUP(R84,예상등급!$P$5:$P$13,예상등급!$Q$5:$Q$13),IF(Q84=예상등급!$S$1,LOOKUP(R84,예상등급!$S$5:$S$13,예상등급!$T$5:$T$13),IF(Q84=예상등급!$V$1,LOOKUP(R84,예상등급!$V$5:$V$13,예상등급!$W$5:$W$13),IF(Q84=예상등급!$Y$1,LOOKUP(R84,예상등급!$Y$5:$Y$13,예상등급!$Z$5:$Z$13),IF(Q84=예상등급!$AB$1,LOOKUP(R84,예상등급!$AB$5:$AB$13,예상등급!$AC$5:$AC$13),IF(Q84=예상등급!$AE$1,LOOKUP(R84,예상등급!$AE$5:$AE$13,예상등급!$AF$5:$AF$13),IF(Q84=예상등급!$AH$1,LOOKUP(R84,예상등급!$AH$5:$AH$13,예상등급!$AI$5:$AI$13),IF(Q84=예상등급!$AK$1,LOOKUP(R84,예상등급!$AK$5:$AK$13,예상등급!$AL$5:$AL$13),IF(Q84=예상등급!$AN$1,LOOKUP(R84,예상등급!$AN$5:$AN$13,예상등급!$AO$5:$AO$13),IF(Q84=예상등급!$AQ$1,LOOKUP(R84,예상등급!$AQ$5:$AQ$13,예상등급!$AR$5:$AR$13),IF(Q84=예상등급!$AH$15,LOOKUP(R84,예상등급!$AH$19:$AH$27,예상등급!$AI$19:$AI$27),IF(Q84=예상등급!$AK$15,LOOKUP(R84,예상등급!$AK$19:$AK$27,예상등급!$AL$19:$AL$27),IF(Q84=예상등급!$AN$15,LOOKUP(R84,예상등급!$AN$19:$AN$27,예상등급!$AO$19:$AO$27),IF(Q84=예상등급!$AQ$15,LOOKUP(R84,예상등급!$AQ$19:$AQ$27,예상등급!$AR$19:$AR$27),"")))))))))))))))))</f>
        <v>4</v>
      </c>
      <c r="T84" s="110">
        <v>27</v>
      </c>
      <c r="U84" s="382">
        <f>IF(T84="","",LOOKUP(T84,예상등급!$D$19:$D$27,예상등급!$E$19:$E$27))</f>
        <v>4</v>
      </c>
      <c r="V84" s="402">
        <f>SUM(L84,T84,R84,O84)</f>
        <v>257</v>
      </c>
      <c r="W84" s="278">
        <f>RANK(V84,$V$4:$V$491)</f>
        <v>80</v>
      </c>
      <c r="Y84" s="149"/>
      <c r="Z84" s="149"/>
      <c r="AA84" s="7"/>
      <c r="AB84" s="7"/>
    </row>
    <row r="85" spans="1:28" ht="24.95" customHeight="1" x14ac:dyDescent="0.15">
      <c r="A85" s="110">
        <v>10</v>
      </c>
      <c r="B85" s="71">
        <v>2</v>
      </c>
      <c r="C85" s="100" t="s">
        <v>986</v>
      </c>
      <c r="D85" s="110" t="s">
        <v>779</v>
      </c>
      <c r="E85" s="71">
        <v>65</v>
      </c>
      <c r="F85" s="382">
        <f>IF(D85=예상등급!$A$1,LOOKUP(E85,예상등급!$A$5:$A$13,예상등급!$B$5:$B$13),IF(D85=예상등급!$A$15,LOOKUP(E85,예상등급!$A$19:$A$27,예상등급!$B$19:$B$27),""))</f>
        <v>3</v>
      </c>
      <c r="G85" s="110" t="s">
        <v>780</v>
      </c>
      <c r="H85" s="71">
        <v>16</v>
      </c>
      <c r="I85" s="382">
        <f>IF(G85=예상등급!$G$15,LOOKUP(H85,예상등급!$G$19:$G$27,예상등급!$H$19:$H$27),IF(G85=예상등급!$J$15,LOOKUP(H85,예상등급!$J$19:$J$27,예상등급!$K$19:$K$27),IF(G85=예상등급!$M$15,LOOKUP(H85,예상등급!$M$19:$M$27,예상등급!$N$19:$N$27),"")))</f>
        <v>8</v>
      </c>
      <c r="J85" s="110">
        <v>79</v>
      </c>
      <c r="K85" s="382">
        <f>IF(J85="","",(LOOKUP(J85,예상등급!$D$5:$D$13,예상등급!$E$5:$E$13)))</f>
        <v>3</v>
      </c>
      <c r="L85" s="301">
        <f>SUM(E85,H85,J85)</f>
        <v>160</v>
      </c>
      <c r="M85" s="398">
        <f>RANK(L85,$L$4:$L$491)</f>
        <v>112</v>
      </c>
      <c r="N85" s="110" t="s">
        <v>761</v>
      </c>
      <c r="O85" s="71">
        <v>39</v>
      </c>
      <c r="P85" s="385">
        <f>IF(N85=예상등급!$G$1,LOOKUP(O85,예상등급!$G$5:$G$13,예상등급!$H$5:$H$13),IF(N85=예상등급!$J$1,LOOKUP(O85,예상등급!$J$5:$J$13,예상등급!$K$5:$K$13),IF(N85=예상등급!$M$1,LOOKUP(O85,예상등급!$M$5:$M$13,예상등급!$N$5:$N$13),IF(N85=예상등급!$P$1,LOOKUP(O85,예상등급!$P$5:$P$13,예상등급!$Q$5:$Q$13),IF(N85=예상등급!$S$1,LOOKUP(O85,예상등급!$S$5:$S$13,예상등급!$T$5:$T$13),IF(N85=예상등급!$V$1,LOOKUP(O85,예상등급!$V$5:$V$13,예상등급!$W$5:$W$13),IF(N85=예상등급!$Y$1,LOOKUP(O85,예상등급!$Y$5:$Y$13,예상등급!$Z$5:$Z$13),IF(N85=예상등급!$AB$1,LOOKUP(O85,예상등급!$AB$5:$AB$13,예상등급!$AC$5:$AC$13),IF(N85=예상등급!$AE$1,LOOKUP(O85,예상등급!$AE$5:$AE$13,예상등급!$AF$5:$AF$13),IF(N85=예상등급!$AH$1,LOOKUP(O85,예상등급!$AH$5:$AH$13,예상등급!$AI$5:$AI$13),IF(N85=예상등급!$AK$1,LOOKUP(O85,예상등급!$AK$5:$AK$13,예상등급!$AL$5:$AL$13),IF(N85=예상등급!$AN$1,LOOKUP(O85,예상등급!$AN$5:$AN$13,예상등급!$AO$5:$AO$13),IF(N85=예상등급!$AQ$1,LOOKUP(O85,예상등급!$AQ$5:$AQ$13,예상등급!$AR$5:$AR$13),IF(N85=예상등급!$AH$15,LOOKUP(O85,예상등급!$AH$19:$AH$27,예상등급!$AI$19:$AI$27),IF(N85=예상등급!$AK$15,LOOKUP(O85,예상등급!$AK$19:$AK$27,예상등급!$AL$19:$AL$27),IF(N85=예상등급!$AN$15,LOOKUP(O85,예상등급!$AN$19:$AN$27,예상등급!$AO$19:$AO$27),IF(N85=예상등급!$AQ$15,LOOKUP(O85,예상등급!$AQ$19:$AQ$27,예상등급!$AR$19:$AR$27),"")))))))))))))))))</f>
        <v>2</v>
      </c>
      <c r="Q85" s="110" t="s">
        <v>762</v>
      </c>
      <c r="R85" s="71">
        <v>44</v>
      </c>
      <c r="S85" s="385">
        <f>IF(Q85=예상등급!$G$1,LOOKUP(R85,예상등급!$G$5:$G$13,예상등급!$H$5:$H$13),IF(Q85=예상등급!$J$1,LOOKUP(R85,예상등급!$J$5:$J$13,예상등급!$K$5:$K$13),IF(Q85=예상등급!$M$1,LOOKUP(R85,예상등급!$M$5:$M$13,예상등급!$N$5:$N$13),IF(Q85=예상등급!$P$1,LOOKUP(R85,예상등급!$P$5:$P$13,예상등급!$Q$5:$Q$13),IF(Q85=예상등급!$S$1,LOOKUP(R85,예상등급!$S$5:$S$13,예상등급!$T$5:$T$13),IF(Q85=예상등급!$V$1,LOOKUP(R85,예상등급!$V$5:$V$13,예상등급!$W$5:$W$13),IF(Q85=예상등급!$Y$1,LOOKUP(R85,예상등급!$Y$5:$Y$13,예상등급!$Z$5:$Z$13),IF(Q85=예상등급!$AB$1,LOOKUP(R85,예상등급!$AB$5:$AB$13,예상등급!$AC$5:$AC$13),IF(Q85=예상등급!$AE$1,LOOKUP(R85,예상등급!$AE$5:$AE$13,예상등급!$AF$5:$AF$13),IF(Q85=예상등급!$AH$1,LOOKUP(R85,예상등급!$AH$5:$AH$13,예상등급!$AI$5:$AI$13),IF(Q85=예상등급!$AK$1,LOOKUP(R85,예상등급!$AK$5:$AK$13,예상등급!$AL$5:$AL$13),IF(Q85=예상등급!$AN$1,LOOKUP(R85,예상등급!$AN$5:$AN$13,예상등급!$AO$5:$AO$13),IF(Q85=예상등급!$AQ$1,LOOKUP(R85,예상등급!$AQ$5:$AQ$13,예상등급!$AR$5:$AR$13),IF(Q85=예상등급!$AH$15,LOOKUP(R85,예상등급!$AH$19:$AH$27,예상등급!$AI$19:$AI$27),IF(Q85=예상등급!$AK$15,LOOKUP(R85,예상등급!$AK$19:$AK$27,예상등급!$AL$19:$AL$27),IF(Q85=예상등급!$AN$15,LOOKUP(R85,예상등급!$AN$19:$AN$27,예상등급!$AO$19:$AO$27),IF(Q85=예상등급!$AQ$15,LOOKUP(R85,예상등급!$AQ$19:$AQ$27,예상등급!$AR$19:$AR$27),"")))))))))))))))))</f>
        <v>1</v>
      </c>
      <c r="T85" s="110">
        <v>14</v>
      </c>
      <c r="U85" s="382">
        <f>IF(T85="","",LOOKUP(T85,예상등급!$D$19:$D$27,예상등급!$E$19:$E$27))</f>
        <v>7</v>
      </c>
      <c r="V85" s="402">
        <f>SUM(L85,T85,R85,O85)</f>
        <v>257</v>
      </c>
      <c r="W85" s="278">
        <f>RANK(V85,$V$4:$V$491)</f>
        <v>80</v>
      </c>
      <c r="AA85" s="7"/>
      <c r="AB85" s="7"/>
    </row>
    <row r="86" spans="1:28" ht="24.95" customHeight="1" x14ac:dyDescent="0.15">
      <c r="A86" s="110">
        <v>10</v>
      </c>
      <c r="B86" s="71">
        <v>8</v>
      </c>
      <c r="C86" s="100" t="s">
        <v>991</v>
      </c>
      <c r="D86" s="110" t="s">
        <v>779</v>
      </c>
      <c r="E86" s="71">
        <v>41</v>
      </c>
      <c r="F86" s="382">
        <f>IF(D86=예상등급!$A$1,LOOKUP(E86,예상등급!$A$5:$A$13,예상등급!$B$5:$B$13),IF(D86=예상등급!$A$15,LOOKUP(E86,예상등급!$A$19:$A$27,예상등급!$B$19:$B$27),""))</f>
        <v>5</v>
      </c>
      <c r="G86" s="110" t="s">
        <v>780</v>
      </c>
      <c r="H86" s="71">
        <v>48</v>
      </c>
      <c r="I86" s="382">
        <f>IF(G86=예상등급!$G$15,LOOKUP(H86,예상등급!$G$19:$G$27,예상등급!$H$19:$H$27),IF(G86=예상등급!$J$15,LOOKUP(H86,예상등급!$J$19:$J$27,예상등급!$K$19:$K$27),IF(G86=예상등급!$M$15,LOOKUP(H86,예상등급!$M$19:$M$27,예상등급!$N$19:$N$27),"")))</f>
        <v>5</v>
      </c>
      <c r="J86" s="110">
        <v>70</v>
      </c>
      <c r="K86" s="382">
        <f>IF(J86="","",(LOOKUP(J86,예상등급!$D$5:$D$13,예상등급!$E$5:$E$13)))</f>
        <v>3</v>
      </c>
      <c r="L86" s="301">
        <f>SUM(E86,H86,J86)</f>
        <v>159</v>
      </c>
      <c r="M86" s="398">
        <f>RANK(L86,$L$4:$L$491)</f>
        <v>116</v>
      </c>
      <c r="N86" s="110" t="s">
        <v>761</v>
      </c>
      <c r="O86" s="71">
        <v>32</v>
      </c>
      <c r="P86" s="385">
        <f>IF(N86=예상등급!$G$1,LOOKUP(O86,예상등급!$G$5:$G$13,예상등급!$H$5:$H$13),IF(N86=예상등급!$J$1,LOOKUP(O86,예상등급!$J$5:$J$13,예상등급!$K$5:$K$13),IF(N86=예상등급!$M$1,LOOKUP(O86,예상등급!$M$5:$M$13,예상등급!$N$5:$N$13),IF(N86=예상등급!$P$1,LOOKUP(O86,예상등급!$P$5:$P$13,예상등급!$Q$5:$Q$13),IF(N86=예상등급!$S$1,LOOKUP(O86,예상등급!$S$5:$S$13,예상등급!$T$5:$T$13),IF(N86=예상등급!$V$1,LOOKUP(O86,예상등급!$V$5:$V$13,예상등급!$W$5:$W$13),IF(N86=예상등급!$Y$1,LOOKUP(O86,예상등급!$Y$5:$Y$13,예상등급!$Z$5:$Z$13),IF(N86=예상등급!$AB$1,LOOKUP(O86,예상등급!$AB$5:$AB$13,예상등급!$AC$5:$AC$13),IF(N86=예상등급!$AE$1,LOOKUP(O86,예상등급!$AE$5:$AE$13,예상등급!$AF$5:$AF$13),IF(N86=예상등급!$AH$1,LOOKUP(O86,예상등급!$AH$5:$AH$13,예상등급!$AI$5:$AI$13),IF(N86=예상등급!$AK$1,LOOKUP(O86,예상등급!$AK$5:$AK$13,예상등급!$AL$5:$AL$13),IF(N86=예상등급!$AN$1,LOOKUP(O86,예상등급!$AN$5:$AN$13,예상등급!$AO$5:$AO$13),IF(N86=예상등급!$AQ$1,LOOKUP(O86,예상등급!$AQ$5:$AQ$13,예상등급!$AR$5:$AR$13),IF(N86=예상등급!$AH$15,LOOKUP(O86,예상등급!$AH$19:$AH$27,예상등급!$AI$19:$AI$27),IF(N86=예상등급!$AK$15,LOOKUP(O86,예상등급!$AK$19:$AK$27,예상등급!$AL$19:$AL$27),IF(N86=예상등급!$AN$15,LOOKUP(O86,예상등급!$AN$19:$AN$27,예상등급!$AO$19:$AO$27),IF(N86=예상등급!$AQ$15,LOOKUP(O86,예상등급!$AQ$19:$AQ$27,예상등급!$AR$19:$AR$27),"")))))))))))))))))</f>
        <v>3</v>
      </c>
      <c r="Q86" s="110" t="s">
        <v>762</v>
      </c>
      <c r="R86" s="71">
        <v>41</v>
      </c>
      <c r="S86" s="385">
        <f>IF(Q86=예상등급!$G$1,LOOKUP(R86,예상등급!$G$5:$G$13,예상등급!$H$5:$H$13),IF(Q86=예상등급!$J$1,LOOKUP(R86,예상등급!$J$5:$J$13,예상등급!$K$5:$K$13),IF(Q86=예상등급!$M$1,LOOKUP(R86,예상등급!$M$5:$M$13,예상등급!$N$5:$N$13),IF(Q86=예상등급!$P$1,LOOKUP(R86,예상등급!$P$5:$P$13,예상등급!$Q$5:$Q$13),IF(Q86=예상등급!$S$1,LOOKUP(R86,예상등급!$S$5:$S$13,예상등급!$T$5:$T$13),IF(Q86=예상등급!$V$1,LOOKUP(R86,예상등급!$V$5:$V$13,예상등급!$W$5:$W$13),IF(Q86=예상등급!$Y$1,LOOKUP(R86,예상등급!$Y$5:$Y$13,예상등급!$Z$5:$Z$13),IF(Q86=예상등급!$AB$1,LOOKUP(R86,예상등급!$AB$5:$AB$13,예상등급!$AC$5:$AC$13),IF(Q86=예상등급!$AE$1,LOOKUP(R86,예상등급!$AE$5:$AE$13,예상등급!$AF$5:$AF$13),IF(Q86=예상등급!$AH$1,LOOKUP(R86,예상등급!$AH$5:$AH$13,예상등급!$AI$5:$AI$13),IF(Q86=예상등급!$AK$1,LOOKUP(R86,예상등급!$AK$5:$AK$13,예상등급!$AL$5:$AL$13),IF(Q86=예상등급!$AN$1,LOOKUP(R86,예상등급!$AN$5:$AN$13,예상등급!$AO$5:$AO$13),IF(Q86=예상등급!$AQ$1,LOOKUP(R86,예상등급!$AQ$5:$AQ$13,예상등급!$AR$5:$AR$13),IF(Q86=예상등급!$AH$15,LOOKUP(R86,예상등급!$AH$19:$AH$27,예상등급!$AI$19:$AI$27),IF(Q86=예상등급!$AK$15,LOOKUP(R86,예상등급!$AK$19:$AK$27,예상등급!$AL$19:$AL$27),IF(Q86=예상등급!$AN$15,LOOKUP(R86,예상등급!$AN$19:$AN$27,예상등급!$AO$19:$AO$27),IF(Q86=예상등급!$AQ$15,LOOKUP(R86,예상등급!$AQ$19:$AQ$27,예상등급!$AR$19:$AR$27),"")))))))))))))))))</f>
        <v>2</v>
      </c>
      <c r="T86" s="110">
        <v>23</v>
      </c>
      <c r="U86" s="382">
        <f>IF(T86="","",LOOKUP(T86,예상등급!$D$19:$D$27,예상등급!$E$19:$E$27))</f>
        <v>5</v>
      </c>
      <c r="V86" s="402">
        <f>SUM(L86,T86,R86,O86)</f>
        <v>255</v>
      </c>
      <c r="W86" s="278">
        <f>RANK(V86,$V$4:$V$491)</f>
        <v>83</v>
      </c>
      <c r="AA86" s="7"/>
      <c r="AB86" s="7"/>
    </row>
    <row r="87" spans="1:28" ht="24.95" customHeight="1" x14ac:dyDescent="0.15">
      <c r="A87" s="110">
        <v>9</v>
      </c>
      <c r="B87" s="71">
        <v>9</v>
      </c>
      <c r="C87" s="100" t="s">
        <v>517</v>
      </c>
      <c r="D87" s="110" t="s">
        <v>779</v>
      </c>
      <c r="E87" s="71">
        <v>67</v>
      </c>
      <c r="F87" s="382">
        <f>IF(D87=예상등급!$A$1,LOOKUP(E87,예상등급!$A$5:$A$13,예상등급!$B$5:$B$13),IF(D87=예상등급!$A$15,LOOKUP(E87,예상등급!$A$19:$A$27,예상등급!$B$19:$B$27),""))</f>
        <v>3</v>
      </c>
      <c r="G87" s="110" t="s">
        <v>780</v>
      </c>
      <c r="H87" s="71">
        <v>48</v>
      </c>
      <c r="I87" s="382">
        <f>IF(G87=예상등급!$G$15,LOOKUP(H87,예상등급!$G$19:$G$27,예상등급!$H$19:$H$27),IF(G87=예상등급!$J$15,LOOKUP(H87,예상등급!$J$19:$J$27,예상등급!$K$19:$K$27),IF(G87=예상등급!$M$15,LOOKUP(H87,예상등급!$M$19:$M$27,예상등급!$N$19:$N$27),"")))</f>
        <v>5</v>
      </c>
      <c r="J87" s="110">
        <v>63</v>
      </c>
      <c r="K87" s="382">
        <f>IF(J87="","",(LOOKUP(J87,예상등급!$D$5:$D$13,예상등급!$E$5:$E$13)))</f>
        <v>4</v>
      </c>
      <c r="L87" s="301">
        <f>SUM(E87,H87,J87)</f>
        <v>178</v>
      </c>
      <c r="M87" s="398">
        <f>RANK(L87,$L$4:$L$491)</f>
        <v>79</v>
      </c>
      <c r="N87" s="110" t="s">
        <v>761</v>
      </c>
      <c r="O87" s="71">
        <v>30</v>
      </c>
      <c r="P87" s="385">
        <f>IF(N87=예상등급!$G$1,LOOKUP(O87,예상등급!$G$5:$G$13,예상등급!$H$5:$H$13),IF(N87=예상등급!$J$1,LOOKUP(O87,예상등급!$J$5:$J$13,예상등급!$K$5:$K$13),IF(N87=예상등급!$M$1,LOOKUP(O87,예상등급!$M$5:$M$13,예상등급!$N$5:$N$13),IF(N87=예상등급!$P$1,LOOKUP(O87,예상등급!$P$5:$P$13,예상등급!$Q$5:$Q$13),IF(N87=예상등급!$S$1,LOOKUP(O87,예상등급!$S$5:$S$13,예상등급!$T$5:$T$13),IF(N87=예상등급!$V$1,LOOKUP(O87,예상등급!$V$5:$V$13,예상등급!$W$5:$W$13),IF(N87=예상등급!$Y$1,LOOKUP(O87,예상등급!$Y$5:$Y$13,예상등급!$Z$5:$Z$13),IF(N87=예상등급!$AB$1,LOOKUP(O87,예상등급!$AB$5:$AB$13,예상등급!$AC$5:$AC$13),IF(N87=예상등급!$AE$1,LOOKUP(O87,예상등급!$AE$5:$AE$13,예상등급!$AF$5:$AF$13),IF(N87=예상등급!$AH$1,LOOKUP(O87,예상등급!$AH$5:$AH$13,예상등급!$AI$5:$AI$13),IF(N87=예상등급!$AK$1,LOOKUP(O87,예상등급!$AK$5:$AK$13,예상등급!$AL$5:$AL$13),IF(N87=예상등급!$AN$1,LOOKUP(O87,예상등급!$AN$5:$AN$13,예상등급!$AO$5:$AO$13),IF(N87=예상등급!$AQ$1,LOOKUP(O87,예상등급!$AQ$5:$AQ$13,예상등급!$AR$5:$AR$13),IF(N87=예상등급!$AH$15,LOOKUP(O87,예상등급!$AH$19:$AH$27,예상등급!$AI$19:$AI$27),IF(N87=예상등급!$AK$15,LOOKUP(O87,예상등급!$AK$19:$AK$27,예상등급!$AL$19:$AL$27),IF(N87=예상등급!$AN$15,LOOKUP(O87,예상등급!$AN$19:$AN$27,예상등급!$AO$19:$AO$27),IF(N87=예상등급!$AQ$15,LOOKUP(O87,예상등급!$AQ$19:$AQ$27,예상등급!$AR$19:$AR$27),"")))))))))))))))))</f>
        <v>3</v>
      </c>
      <c r="Q87" s="110" t="s">
        <v>762</v>
      </c>
      <c r="R87" s="71">
        <v>26</v>
      </c>
      <c r="S87" s="385">
        <f>IF(Q87=예상등급!$G$1,LOOKUP(R87,예상등급!$G$5:$G$13,예상등급!$H$5:$H$13),IF(Q87=예상등급!$J$1,LOOKUP(R87,예상등급!$J$5:$J$13,예상등급!$K$5:$K$13),IF(Q87=예상등급!$M$1,LOOKUP(R87,예상등급!$M$5:$M$13,예상등급!$N$5:$N$13),IF(Q87=예상등급!$P$1,LOOKUP(R87,예상등급!$P$5:$P$13,예상등급!$Q$5:$Q$13),IF(Q87=예상등급!$S$1,LOOKUP(R87,예상등급!$S$5:$S$13,예상등급!$T$5:$T$13),IF(Q87=예상등급!$V$1,LOOKUP(R87,예상등급!$V$5:$V$13,예상등급!$W$5:$W$13),IF(Q87=예상등급!$Y$1,LOOKUP(R87,예상등급!$Y$5:$Y$13,예상등급!$Z$5:$Z$13),IF(Q87=예상등급!$AB$1,LOOKUP(R87,예상등급!$AB$5:$AB$13,예상등급!$AC$5:$AC$13),IF(Q87=예상등급!$AE$1,LOOKUP(R87,예상등급!$AE$5:$AE$13,예상등급!$AF$5:$AF$13),IF(Q87=예상등급!$AH$1,LOOKUP(R87,예상등급!$AH$5:$AH$13,예상등급!$AI$5:$AI$13),IF(Q87=예상등급!$AK$1,LOOKUP(R87,예상등급!$AK$5:$AK$13,예상등급!$AL$5:$AL$13),IF(Q87=예상등급!$AN$1,LOOKUP(R87,예상등급!$AN$5:$AN$13,예상등급!$AO$5:$AO$13),IF(Q87=예상등급!$AQ$1,LOOKUP(R87,예상등급!$AQ$5:$AQ$13,예상등급!$AR$5:$AR$13),IF(Q87=예상등급!$AH$15,LOOKUP(R87,예상등급!$AH$19:$AH$27,예상등급!$AI$19:$AI$27),IF(Q87=예상등급!$AK$15,LOOKUP(R87,예상등급!$AK$19:$AK$27,예상등급!$AL$19:$AL$27),IF(Q87=예상등급!$AN$15,LOOKUP(R87,예상등급!$AN$19:$AN$27,예상등급!$AO$19:$AO$27),IF(Q87=예상등급!$AQ$15,LOOKUP(R87,예상등급!$AQ$19:$AQ$27,예상등급!$AR$19:$AR$27),"")))))))))))))))))</f>
        <v>5</v>
      </c>
      <c r="T87" s="110">
        <v>20</v>
      </c>
      <c r="U87" s="382">
        <f>IF(T87="","",LOOKUP(T87,예상등급!$D$19:$D$27,예상등급!$E$19:$E$27))</f>
        <v>5</v>
      </c>
      <c r="V87" s="402">
        <f>SUM(L87,T87,R87,O87)</f>
        <v>254</v>
      </c>
      <c r="W87" s="278">
        <f>RANK(V87,$V$4:$V$491)</f>
        <v>84</v>
      </c>
      <c r="AA87" s="7"/>
      <c r="AB87" s="7"/>
    </row>
    <row r="88" spans="1:28" ht="24.95" customHeight="1" x14ac:dyDescent="0.15">
      <c r="A88" s="110">
        <v>8</v>
      </c>
      <c r="B88" s="71">
        <v>24</v>
      </c>
      <c r="C88" s="100" t="s">
        <v>958</v>
      </c>
      <c r="D88" s="110" t="s">
        <v>779</v>
      </c>
      <c r="E88" s="71">
        <v>48</v>
      </c>
      <c r="F88" s="382">
        <f>IF(D88=예상등급!$A$1,LOOKUP(E88,예상등급!$A$5:$A$13,예상등급!$B$5:$B$13),IF(D88=예상등급!$A$15,LOOKUP(E88,예상등급!$A$19:$A$27,예상등급!$B$19:$B$27),""))</f>
        <v>5</v>
      </c>
      <c r="G88" s="110" t="s">
        <v>780</v>
      </c>
      <c r="H88" s="71">
        <v>50</v>
      </c>
      <c r="I88" s="382">
        <f>IF(G88=예상등급!$G$15,LOOKUP(H88,예상등급!$G$19:$G$27,예상등급!$H$19:$H$27),IF(G88=예상등급!$J$15,LOOKUP(H88,예상등급!$J$19:$J$27,예상등급!$K$19:$K$27),IF(G88=예상등급!$M$15,LOOKUP(H88,예상등급!$M$19:$M$27,예상등급!$N$19:$N$27),"")))</f>
        <v>5</v>
      </c>
      <c r="J88" s="110">
        <v>56</v>
      </c>
      <c r="K88" s="382">
        <f>IF(J88="","",(LOOKUP(J88,예상등급!$D$5:$D$13,예상등급!$E$5:$E$13)))</f>
        <v>5</v>
      </c>
      <c r="L88" s="301">
        <f>SUM(E88,H88,J88)</f>
        <v>154</v>
      </c>
      <c r="M88" s="398">
        <f>RANK(L88,$L$4:$L$491)</f>
        <v>126</v>
      </c>
      <c r="N88" s="110" t="s">
        <v>762</v>
      </c>
      <c r="O88" s="71">
        <v>30</v>
      </c>
      <c r="P88" s="385">
        <f>IF(N88=예상등급!$G$1,LOOKUP(O88,예상등급!$G$5:$G$13,예상등급!$H$5:$H$13),IF(N88=예상등급!$J$1,LOOKUP(O88,예상등급!$J$5:$J$13,예상등급!$K$5:$K$13),IF(N88=예상등급!$M$1,LOOKUP(O88,예상등급!$M$5:$M$13,예상등급!$N$5:$N$13),IF(N88=예상등급!$P$1,LOOKUP(O88,예상등급!$P$5:$P$13,예상등급!$Q$5:$Q$13),IF(N88=예상등급!$S$1,LOOKUP(O88,예상등급!$S$5:$S$13,예상등급!$T$5:$T$13),IF(N88=예상등급!$V$1,LOOKUP(O88,예상등급!$V$5:$V$13,예상등급!$W$5:$W$13),IF(N88=예상등급!$Y$1,LOOKUP(O88,예상등급!$Y$5:$Y$13,예상등급!$Z$5:$Z$13),IF(N88=예상등급!$AB$1,LOOKUP(O88,예상등급!$AB$5:$AB$13,예상등급!$AC$5:$AC$13),IF(N88=예상등급!$AE$1,LOOKUP(O88,예상등급!$AE$5:$AE$13,예상등급!$AF$5:$AF$13),IF(N88=예상등급!$AH$1,LOOKUP(O88,예상등급!$AH$5:$AH$13,예상등급!$AI$5:$AI$13),IF(N88=예상등급!$AK$1,LOOKUP(O88,예상등급!$AK$5:$AK$13,예상등급!$AL$5:$AL$13),IF(N88=예상등급!$AN$1,LOOKUP(O88,예상등급!$AN$5:$AN$13,예상등급!$AO$5:$AO$13),IF(N88=예상등급!$AQ$1,LOOKUP(O88,예상등급!$AQ$5:$AQ$13,예상등급!$AR$5:$AR$13),IF(N88=예상등급!$AH$15,LOOKUP(O88,예상등급!$AH$19:$AH$27,예상등급!$AI$19:$AI$27),IF(N88=예상등급!$AK$15,LOOKUP(O88,예상등급!$AK$19:$AK$27,예상등급!$AL$19:$AL$27),IF(N88=예상등급!$AN$15,LOOKUP(O88,예상등급!$AN$19:$AN$27,예상등급!$AO$19:$AO$27),IF(N88=예상등급!$AQ$15,LOOKUP(O88,예상등급!$AQ$19:$AQ$27,예상등급!$AR$19:$AR$27),"")))))))))))))))))</f>
        <v>4</v>
      </c>
      <c r="Q88" s="110" t="s">
        <v>765</v>
      </c>
      <c r="R88" s="71">
        <v>39</v>
      </c>
      <c r="S88" s="385">
        <f>IF(Q88=예상등급!$G$1,LOOKUP(R88,예상등급!$G$5:$G$13,예상등급!$H$5:$H$13),IF(Q88=예상등급!$J$1,LOOKUP(R88,예상등급!$J$5:$J$13,예상등급!$K$5:$K$13),IF(Q88=예상등급!$M$1,LOOKUP(R88,예상등급!$M$5:$M$13,예상등급!$N$5:$N$13),IF(Q88=예상등급!$P$1,LOOKUP(R88,예상등급!$P$5:$P$13,예상등급!$Q$5:$Q$13),IF(Q88=예상등급!$S$1,LOOKUP(R88,예상등급!$S$5:$S$13,예상등급!$T$5:$T$13),IF(Q88=예상등급!$V$1,LOOKUP(R88,예상등급!$V$5:$V$13,예상등급!$W$5:$W$13),IF(Q88=예상등급!$Y$1,LOOKUP(R88,예상등급!$Y$5:$Y$13,예상등급!$Z$5:$Z$13),IF(Q88=예상등급!$AB$1,LOOKUP(R88,예상등급!$AB$5:$AB$13,예상등급!$AC$5:$AC$13),IF(Q88=예상등급!$AE$1,LOOKUP(R88,예상등급!$AE$5:$AE$13,예상등급!$AF$5:$AF$13),IF(Q88=예상등급!$AH$1,LOOKUP(R88,예상등급!$AH$5:$AH$13,예상등급!$AI$5:$AI$13),IF(Q88=예상등급!$AK$1,LOOKUP(R88,예상등급!$AK$5:$AK$13,예상등급!$AL$5:$AL$13),IF(Q88=예상등급!$AN$1,LOOKUP(R88,예상등급!$AN$5:$AN$13,예상등급!$AO$5:$AO$13),IF(Q88=예상등급!$AQ$1,LOOKUP(R88,예상등급!$AQ$5:$AQ$13,예상등급!$AR$5:$AR$13),IF(Q88=예상등급!$AH$15,LOOKUP(R88,예상등급!$AH$19:$AH$27,예상등급!$AI$19:$AI$27),IF(Q88=예상등급!$AK$15,LOOKUP(R88,예상등급!$AK$19:$AK$27,예상등급!$AL$19:$AL$27),IF(Q88=예상등급!$AN$15,LOOKUP(R88,예상등급!$AN$19:$AN$27,예상등급!$AO$19:$AO$27),IF(Q88=예상등급!$AQ$15,LOOKUP(R88,예상등급!$AQ$19:$AQ$27,예상등급!$AR$19:$AR$27),"")))))))))))))))))</f>
        <v>2</v>
      </c>
      <c r="T88" s="110">
        <v>30</v>
      </c>
      <c r="U88" s="382">
        <f>IF(T88="","",LOOKUP(T88,예상등급!$D$19:$D$27,예상등급!$E$19:$E$27))</f>
        <v>3</v>
      </c>
      <c r="V88" s="402">
        <f>SUM(L88,T88,R88,O88)</f>
        <v>253</v>
      </c>
      <c r="W88" s="278">
        <f>RANK(V88,$V$4:$V$491)</f>
        <v>85</v>
      </c>
      <c r="AA88" s="7"/>
      <c r="AB88" s="7"/>
    </row>
    <row r="89" spans="1:28" ht="24.95" customHeight="1" x14ac:dyDescent="0.15">
      <c r="A89" s="110">
        <v>10</v>
      </c>
      <c r="B89" s="71">
        <v>10</v>
      </c>
      <c r="C89" s="100" t="s">
        <v>993</v>
      </c>
      <c r="D89" s="110" t="s">
        <v>779</v>
      </c>
      <c r="E89" s="71">
        <v>55</v>
      </c>
      <c r="F89" s="382">
        <f>IF(D89=예상등급!$A$1,LOOKUP(E89,예상등급!$A$5:$A$13,예상등급!$B$5:$B$13),IF(D89=예상등급!$A$15,LOOKUP(E89,예상등급!$A$19:$A$27,예상등급!$B$19:$B$27),""))</f>
        <v>4</v>
      </c>
      <c r="G89" s="110" t="s">
        <v>780</v>
      </c>
      <c r="H89" s="71">
        <v>55</v>
      </c>
      <c r="I89" s="382">
        <f>IF(G89=예상등급!$G$15,LOOKUP(H89,예상등급!$G$19:$G$27,예상등급!$H$19:$H$27),IF(G89=예상등급!$J$15,LOOKUP(H89,예상등급!$J$19:$J$27,예상등급!$K$19:$K$27),IF(G89=예상등급!$M$15,LOOKUP(H89,예상등급!$M$19:$M$27,예상등급!$N$19:$N$27),"")))</f>
        <v>5</v>
      </c>
      <c r="J89" s="110">
        <v>69</v>
      </c>
      <c r="K89" s="382">
        <f>IF(J89="","",(LOOKUP(J89,예상등급!$D$5:$D$13,예상등급!$E$5:$E$13)))</f>
        <v>4</v>
      </c>
      <c r="L89" s="301">
        <f>SUM(E89,H89,J89)</f>
        <v>179</v>
      </c>
      <c r="M89" s="398">
        <f>RANK(L89,$L$4:$L$491)</f>
        <v>77</v>
      </c>
      <c r="N89" s="110" t="s">
        <v>761</v>
      </c>
      <c r="O89" s="71">
        <v>37</v>
      </c>
      <c r="P89" s="385">
        <f>IF(N89=예상등급!$G$1,LOOKUP(O89,예상등급!$G$5:$G$13,예상등급!$H$5:$H$13),IF(N89=예상등급!$J$1,LOOKUP(O89,예상등급!$J$5:$J$13,예상등급!$K$5:$K$13),IF(N89=예상등급!$M$1,LOOKUP(O89,예상등급!$M$5:$M$13,예상등급!$N$5:$N$13),IF(N89=예상등급!$P$1,LOOKUP(O89,예상등급!$P$5:$P$13,예상등급!$Q$5:$Q$13),IF(N89=예상등급!$S$1,LOOKUP(O89,예상등급!$S$5:$S$13,예상등급!$T$5:$T$13),IF(N89=예상등급!$V$1,LOOKUP(O89,예상등급!$V$5:$V$13,예상등급!$W$5:$W$13),IF(N89=예상등급!$Y$1,LOOKUP(O89,예상등급!$Y$5:$Y$13,예상등급!$Z$5:$Z$13),IF(N89=예상등급!$AB$1,LOOKUP(O89,예상등급!$AB$5:$AB$13,예상등급!$AC$5:$AC$13),IF(N89=예상등급!$AE$1,LOOKUP(O89,예상등급!$AE$5:$AE$13,예상등급!$AF$5:$AF$13),IF(N89=예상등급!$AH$1,LOOKUP(O89,예상등급!$AH$5:$AH$13,예상등급!$AI$5:$AI$13),IF(N89=예상등급!$AK$1,LOOKUP(O89,예상등급!$AK$5:$AK$13,예상등급!$AL$5:$AL$13),IF(N89=예상등급!$AN$1,LOOKUP(O89,예상등급!$AN$5:$AN$13,예상등급!$AO$5:$AO$13),IF(N89=예상등급!$AQ$1,LOOKUP(O89,예상등급!$AQ$5:$AQ$13,예상등급!$AR$5:$AR$13),IF(N89=예상등급!$AH$15,LOOKUP(O89,예상등급!$AH$19:$AH$27,예상등급!$AI$19:$AI$27),IF(N89=예상등급!$AK$15,LOOKUP(O89,예상등급!$AK$19:$AK$27,예상등급!$AL$19:$AL$27),IF(N89=예상등급!$AN$15,LOOKUP(O89,예상등급!$AN$19:$AN$27,예상등급!$AO$19:$AO$27),IF(N89=예상등급!$AQ$15,LOOKUP(O89,예상등급!$AQ$19:$AQ$27,예상등급!$AR$19:$AR$27),"")))))))))))))))))</f>
        <v>2</v>
      </c>
      <c r="Q89" s="110" t="s">
        <v>772</v>
      </c>
      <c r="R89" s="71">
        <v>22</v>
      </c>
      <c r="S89" s="385">
        <f>IF(Q89=예상등급!$G$1,LOOKUP(R89,예상등급!$G$5:$G$13,예상등급!$H$5:$H$13),IF(Q89=예상등급!$J$1,LOOKUP(R89,예상등급!$J$5:$J$13,예상등급!$K$5:$K$13),IF(Q89=예상등급!$M$1,LOOKUP(R89,예상등급!$M$5:$M$13,예상등급!$N$5:$N$13),IF(Q89=예상등급!$P$1,LOOKUP(R89,예상등급!$P$5:$P$13,예상등급!$Q$5:$Q$13),IF(Q89=예상등급!$S$1,LOOKUP(R89,예상등급!$S$5:$S$13,예상등급!$T$5:$T$13),IF(Q89=예상등급!$V$1,LOOKUP(R89,예상등급!$V$5:$V$13,예상등급!$W$5:$W$13),IF(Q89=예상등급!$Y$1,LOOKUP(R89,예상등급!$Y$5:$Y$13,예상등급!$Z$5:$Z$13),IF(Q89=예상등급!$AB$1,LOOKUP(R89,예상등급!$AB$5:$AB$13,예상등급!$AC$5:$AC$13),IF(Q89=예상등급!$AE$1,LOOKUP(R89,예상등급!$AE$5:$AE$13,예상등급!$AF$5:$AF$13),IF(Q89=예상등급!$AH$1,LOOKUP(R89,예상등급!$AH$5:$AH$13,예상등급!$AI$5:$AI$13),IF(Q89=예상등급!$AK$1,LOOKUP(R89,예상등급!$AK$5:$AK$13,예상등급!$AL$5:$AL$13),IF(Q89=예상등급!$AN$1,LOOKUP(R89,예상등급!$AN$5:$AN$13,예상등급!$AO$5:$AO$13),IF(Q89=예상등급!$AQ$1,LOOKUP(R89,예상등급!$AQ$5:$AQ$13,예상등급!$AR$5:$AR$13),IF(Q89=예상등급!$AH$15,LOOKUP(R89,예상등급!$AH$19:$AH$27,예상등급!$AI$19:$AI$27),IF(Q89=예상등급!$AK$15,LOOKUP(R89,예상등급!$AK$19:$AK$27,예상등급!$AL$19:$AL$27),IF(Q89=예상등급!$AN$15,LOOKUP(R89,예상등급!$AN$19:$AN$27,예상등급!$AO$19:$AO$27),IF(Q89=예상등급!$AQ$15,LOOKUP(R89,예상등급!$AQ$19:$AQ$27,예상등급!$AR$19:$AR$27),"")))))))))))))))))</f>
        <v>4</v>
      </c>
      <c r="T89" s="110">
        <v>15</v>
      </c>
      <c r="U89" s="382">
        <f>IF(T89="","",LOOKUP(T89,예상등급!$D$19:$D$27,예상등급!$E$19:$E$27))</f>
        <v>6</v>
      </c>
      <c r="V89" s="402">
        <f>SUM(L89,T89,R89,O89)</f>
        <v>253</v>
      </c>
      <c r="W89" s="278">
        <f>RANK(V89,$V$4:$V$491)</f>
        <v>85</v>
      </c>
      <c r="AA89" s="7"/>
      <c r="AB89" s="7"/>
    </row>
    <row r="90" spans="1:28" ht="24.95" customHeight="1" x14ac:dyDescent="0.15">
      <c r="A90" s="110">
        <v>7</v>
      </c>
      <c r="B90" s="71">
        <v>26</v>
      </c>
      <c r="C90" s="100" t="s">
        <v>938</v>
      </c>
      <c r="D90" s="110" t="s">
        <v>779</v>
      </c>
      <c r="E90" s="71">
        <v>58</v>
      </c>
      <c r="F90" s="382">
        <f>IF(D90=예상등급!$A$1,LOOKUP(E90,예상등급!$A$5:$A$13,예상등급!$B$5:$B$13),IF(D90=예상등급!$A$15,LOOKUP(E90,예상등급!$A$19:$A$27,예상등급!$B$19:$B$27),""))</f>
        <v>4</v>
      </c>
      <c r="G90" s="110" t="s">
        <v>781</v>
      </c>
      <c r="H90" s="71">
        <v>73</v>
      </c>
      <c r="I90" s="382">
        <f>IF(G90=예상등급!$G$15,LOOKUP(H90,예상등급!$G$19:$G$27,예상등급!$H$19:$H$27),IF(G90=예상등급!$J$15,LOOKUP(H90,예상등급!$J$19:$J$27,예상등급!$K$19:$K$27),IF(G90=예상등급!$M$15,LOOKUP(H90,예상등급!$M$19:$M$27,예상등급!$N$19:$N$27),"")))</f>
        <v>2</v>
      </c>
      <c r="J90" s="110">
        <v>55</v>
      </c>
      <c r="K90" s="382">
        <f>IF(J90="","",(LOOKUP(J90,예상등급!$D$5:$D$13,예상등급!$E$5:$E$13)))</f>
        <v>5</v>
      </c>
      <c r="L90" s="301">
        <f>SUM(E90,H90,J90)</f>
        <v>186</v>
      </c>
      <c r="M90" s="398">
        <f>RANK(L90,$L$4:$L$491)</f>
        <v>68</v>
      </c>
      <c r="N90" s="110" t="s">
        <v>761</v>
      </c>
      <c r="O90" s="71">
        <v>17</v>
      </c>
      <c r="P90" s="385">
        <f>IF(N90=예상등급!$G$1,LOOKUP(O90,예상등급!$G$5:$G$13,예상등급!$H$5:$H$13),IF(N90=예상등급!$J$1,LOOKUP(O90,예상등급!$J$5:$J$13,예상등급!$K$5:$K$13),IF(N90=예상등급!$M$1,LOOKUP(O90,예상등급!$M$5:$M$13,예상등급!$N$5:$N$13),IF(N90=예상등급!$P$1,LOOKUP(O90,예상등급!$P$5:$P$13,예상등급!$Q$5:$Q$13),IF(N90=예상등급!$S$1,LOOKUP(O90,예상등급!$S$5:$S$13,예상등급!$T$5:$T$13),IF(N90=예상등급!$V$1,LOOKUP(O90,예상등급!$V$5:$V$13,예상등급!$W$5:$W$13),IF(N90=예상등급!$Y$1,LOOKUP(O90,예상등급!$Y$5:$Y$13,예상등급!$Z$5:$Z$13),IF(N90=예상등급!$AB$1,LOOKUP(O90,예상등급!$AB$5:$AB$13,예상등급!$AC$5:$AC$13),IF(N90=예상등급!$AE$1,LOOKUP(O90,예상등급!$AE$5:$AE$13,예상등급!$AF$5:$AF$13),IF(N90=예상등급!$AH$1,LOOKUP(O90,예상등급!$AH$5:$AH$13,예상등급!$AI$5:$AI$13),IF(N90=예상등급!$AK$1,LOOKUP(O90,예상등급!$AK$5:$AK$13,예상등급!$AL$5:$AL$13),IF(N90=예상등급!$AN$1,LOOKUP(O90,예상등급!$AN$5:$AN$13,예상등급!$AO$5:$AO$13),IF(N90=예상등급!$AQ$1,LOOKUP(O90,예상등급!$AQ$5:$AQ$13,예상등급!$AR$5:$AR$13),IF(N90=예상등급!$AH$15,LOOKUP(O90,예상등급!$AH$19:$AH$27,예상등급!$AI$19:$AI$27),IF(N90=예상등급!$AK$15,LOOKUP(O90,예상등급!$AK$19:$AK$27,예상등급!$AL$19:$AL$27),IF(N90=예상등급!$AN$15,LOOKUP(O90,예상등급!$AN$19:$AN$27,예상등급!$AO$19:$AO$27),IF(N90=예상등급!$AQ$15,LOOKUP(O90,예상등급!$AQ$19:$AQ$27,예상등급!$AR$19:$AR$27),"")))))))))))))))))</f>
        <v>6</v>
      </c>
      <c r="Q90" s="110" t="s">
        <v>762</v>
      </c>
      <c r="R90" s="71">
        <v>25</v>
      </c>
      <c r="S90" s="385">
        <f>IF(Q90=예상등급!$G$1,LOOKUP(R90,예상등급!$G$5:$G$13,예상등급!$H$5:$H$13),IF(Q90=예상등급!$J$1,LOOKUP(R90,예상등급!$J$5:$J$13,예상등급!$K$5:$K$13),IF(Q90=예상등급!$M$1,LOOKUP(R90,예상등급!$M$5:$M$13,예상등급!$N$5:$N$13),IF(Q90=예상등급!$P$1,LOOKUP(R90,예상등급!$P$5:$P$13,예상등급!$Q$5:$Q$13),IF(Q90=예상등급!$S$1,LOOKUP(R90,예상등급!$S$5:$S$13,예상등급!$T$5:$T$13),IF(Q90=예상등급!$V$1,LOOKUP(R90,예상등급!$V$5:$V$13,예상등급!$W$5:$W$13),IF(Q90=예상등급!$Y$1,LOOKUP(R90,예상등급!$Y$5:$Y$13,예상등급!$Z$5:$Z$13),IF(Q90=예상등급!$AB$1,LOOKUP(R90,예상등급!$AB$5:$AB$13,예상등급!$AC$5:$AC$13),IF(Q90=예상등급!$AE$1,LOOKUP(R90,예상등급!$AE$5:$AE$13,예상등급!$AF$5:$AF$13),IF(Q90=예상등급!$AH$1,LOOKUP(R90,예상등급!$AH$5:$AH$13,예상등급!$AI$5:$AI$13),IF(Q90=예상등급!$AK$1,LOOKUP(R90,예상등급!$AK$5:$AK$13,예상등급!$AL$5:$AL$13),IF(Q90=예상등급!$AN$1,LOOKUP(R90,예상등급!$AN$5:$AN$13,예상등급!$AO$5:$AO$13),IF(Q90=예상등급!$AQ$1,LOOKUP(R90,예상등급!$AQ$5:$AQ$13,예상등급!$AR$5:$AR$13),IF(Q90=예상등급!$AH$15,LOOKUP(R90,예상등급!$AH$19:$AH$27,예상등급!$AI$19:$AI$27),IF(Q90=예상등급!$AK$15,LOOKUP(R90,예상등급!$AK$19:$AK$27,예상등급!$AL$19:$AL$27),IF(Q90=예상등급!$AN$15,LOOKUP(R90,예상등급!$AN$19:$AN$27,예상등급!$AO$19:$AO$27),IF(Q90=예상등급!$AQ$15,LOOKUP(R90,예상등급!$AQ$19:$AQ$27,예상등급!$AR$19:$AR$27),"")))))))))))))))))</f>
        <v>5</v>
      </c>
      <c r="T90" s="110">
        <v>23</v>
      </c>
      <c r="U90" s="382">
        <f>IF(T90="","",LOOKUP(T90,예상등급!$D$19:$D$27,예상등급!$E$19:$E$27))</f>
        <v>5</v>
      </c>
      <c r="V90" s="402">
        <f>SUM(L90,T90,R90,O90)</f>
        <v>251</v>
      </c>
      <c r="W90" s="278">
        <f>RANK(V90,$V$4:$V$491)</f>
        <v>87</v>
      </c>
      <c r="AA90" s="7"/>
      <c r="AB90" s="7"/>
    </row>
    <row r="91" spans="1:28" ht="24.95" customHeight="1" x14ac:dyDescent="0.15">
      <c r="A91" s="110">
        <v>6</v>
      </c>
      <c r="B91" s="71">
        <v>9</v>
      </c>
      <c r="C91" s="100" t="s">
        <v>901</v>
      </c>
      <c r="D91" s="110" t="s">
        <v>779</v>
      </c>
      <c r="E91" s="71">
        <v>54</v>
      </c>
      <c r="F91" s="382">
        <f>IF(D91=예상등급!$A$1,LOOKUP(E91,예상등급!$A$5:$A$13,예상등급!$B$5:$B$13),IF(D91=예상등급!$A$15,LOOKUP(E91,예상등급!$A$19:$A$27,예상등급!$B$19:$B$27),""))</f>
        <v>4</v>
      </c>
      <c r="G91" s="110" t="s">
        <v>781</v>
      </c>
      <c r="H91" s="71">
        <v>41</v>
      </c>
      <c r="I91" s="382">
        <f>IF(G91=예상등급!$G$15,LOOKUP(H91,예상등급!$G$19:$G$27,예상등급!$H$19:$H$27),IF(G91=예상등급!$J$15,LOOKUP(H91,예상등급!$J$19:$J$27,예상등급!$K$19:$K$27),IF(G91=예상등급!$M$15,LOOKUP(H91,예상등급!$M$19:$M$27,예상등급!$N$19:$N$27),"")))</f>
        <v>5</v>
      </c>
      <c r="J91" s="110">
        <v>63</v>
      </c>
      <c r="K91" s="382">
        <f>IF(J91="","",(LOOKUP(J91,예상등급!$D$5:$D$13,예상등급!$E$5:$E$13)))</f>
        <v>4</v>
      </c>
      <c r="L91" s="301">
        <f>SUM(E91,H91,J91)</f>
        <v>158</v>
      </c>
      <c r="M91" s="398">
        <f>RANK(L91,$L$4:$L$491)</f>
        <v>120</v>
      </c>
      <c r="N91" s="110" t="s">
        <v>762</v>
      </c>
      <c r="O91" s="71">
        <v>37</v>
      </c>
      <c r="P91" s="385">
        <f>IF(N91=예상등급!$G$1,LOOKUP(O91,예상등급!$G$5:$G$13,예상등급!$H$5:$H$13),IF(N91=예상등급!$J$1,LOOKUP(O91,예상등급!$J$5:$J$13,예상등급!$K$5:$K$13),IF(N91=예상등급!$M$1,LOOKUP(O91,예상등급!$M$5:$M$13,예상등급!$N$5:$N$13),IF(N91=예상등급!$P$1,LOOKUP(O91,예상등급!$P$5:$P$13,예상등급!$Q$5:$Q$13),IF(N91=예상등급!$S$1,LOOKUP(O91,예상등급!$S$5:$S$13,예상등급!$T$5:$T$13),IF(N91=예상등급!$V$1,LOOKUP(O91,예상등급!$V$5:$V$13,예상등급!$W$5:$W$13),IF(N91=예상등급!$Y$1,LOOKUP(O91,예상등급!$Y$5:$Y$13,예상등급!$Z$5:$Z$13),IF(N91=예상등급!$AB$1,LOOKUP(O91,예상등급!$AB$5:$AB$13,예상등급!$AC$5:$AC$13),IF(N91=예상등급!$AE$1,LOOKUP(O91,예상등급!$AE$5:$AE$13,예상등급!$AF$5:$AF$13),IF(N91=예상등급!$AH$1,LOOKUP(O91,예상등급!$AH$5:$AH$13,예상등급!$AI$5:$AI$13),IF(N91=예상등급!$AK$1,LOOKUP(O91,예상등급!$AK$5:$AK$13,예상등급!$AL$5:$AL$13),IF(N91=예상등급!$AN$1,LOOKUP(O91,예상등급!$AN$5:$AN$13,예상등급!$AO$5:$AO$13),IF(N91=예상등급!$AQ$1,LOOKUP(O91,예상등급!$AQ$5:$AQ$13,예상등급!$AR$5:$AR$13),IF(N91=예상등급!$AH$15,LOOKUP(O91,예상등급!$AH$19:$AH$27,예상등급!$AI$19:$AI$27),IF(N91=예상등급!$AK$15,LOOKUP(O91,예상등급!$AK$19:$AK$27,예상등급!$AL$19:$AL$27),IF(N91=예상등급!$AN$15,LOOKUP(O91,예상등급!$AN$19:$AN$27,예상등급!$AO$19:$AO$27),IF(N91=예상등급!$AQ$15,LOOKUP(O91,예상등급!$AQ$19:$AQ$27,예상등급!$AR$19:$AR$27),"")))))))))))))))))</f>
        <v>3</v>
      </c>
      <c r="Q91" s="110" t="s">
        <v>761</v>
      </c>
      <c r="R91" s="71">
        <v>28</v>
      </c>
      <c r="S91" s="385">
        <f>IF(Q91=예상등급!$G$1,LOOKUP(R91,예상등급!$G$5:$G$13,예상등급!$H$5:$H$13),IF(Q91=예상등급!$J$1,LOOKUP(R91,예상등급!$J$5:$J$13,예상등급!$K$5:$K$13),IF(Q91=예상등급!$M$1,LOOKUP(R91,예상등급!$M$5:$M$13,예상등급!$N$5:$N$13),IF(Q91=예상등급!$P$1,LOOKUP(R91,예상등급!$P$5:$P$13,예상등급!$Q$5:$Q$13),IF(Q91=예상등급!$S$1,LOOKUP(R91,예상등급!$S$5:$S$13,예상등급!$T$5:$T$13),IF(Q91=예상등급!$V$1,LOOKUP(R91,예상등급!$V$5:$V$13,예상등급!$W$5:$W$13),IF(Q91=예상등급!$Y$1,LOOKUP(R91,예상등급!$Y$5:$Y$13,예상등급!$Z$5:$Z$13),IF(Q91=예상등급!$AB$1,LOOKUP(R91,예상등급!$AB$5:$AB$13,예상등급!$AC$5:$AC$13),IF(Q91=예상등급!$AE$1,LOOKUP(R91,예상등급!$AE$5:$AE$13,예상등급!$AF$5:$AF$13),IF(Q91=예상등급!$AH$1,LOOKUP(R91,예상등급!$AH$5:$AH$13,예상등급!$AI$5:$AI$13),IF(Q91=예상등급!$AK$1,LOOKUP(R91,예상등급!$AK$5:$AK$13,예상등급!$AL$5:$AL$13),IF(Q91=예상등급!$AN$1,LOOKUP(R91,예상등급!$AN$5:$AN$13,예상등급!$AO$5:$AO$13),IF(Q91=예상등급!$AQ$1,LOOKUP(R91,예상등급!$AQ$5:$AQ$13,예상등급!$AR$5:$AR$13),IF(Q91=예상등급!$AH$15,LOOKUP(R91,예상등급!$AH$19:$AH$27,예상등급!$AI$19:$AI$27),IF(Q91=예상등급!$AK$15,LOOKUP(R91,예상등급!$AK$19:$AK$27,예상등급!$AL$19:$AL$27),IF(Q91=예상등급!$AN$15,LOOKUP(R91,예상등급!$AN$19:$AN$27,예상등급!$AO$19:$AO$27),IF(Q91=예상등급!$AQ$15,LOOKUP(R91,예상등급!$AQ$19:$AQ$27,예상등급!$AR$19:$AR$27),"")))))))))))))))))</f>
        <v>4</v>
      </c>
      <c r="T91" s="110">
        <v>24</v>
      </c>
      <c r="U91" s="382">
        <f>IF(T91="","",LOOKUP(T91,예상등급!$D$19:$D$27,예상등급!$E$19:$E$27))</f>
        <v>5</v>
      </c>
      <c r="V91" s="402">
        <f>SUM(L91,T91,R91,O91)</f>
        <v>247</v>
      </c>
      <c r="W91" s="278">
        <f>RANK(V91,$V$4:$V$491)</f>
        <v>88</v>
      </c>
    </row>
    <row r="92" spans="1:28" ht="24.95" customHeight="1" x14ac:dyDescent="0.15">
      <c r="A92" s="110">
        <v>2</v>
      </c>
      <c r="B92" s="71">
        <v>2</v>
      </c>
      <c r="C92" s="100" t="s">
        <v>821</v>
      </c>
      <c r="D92" s="110" t="s">
        <v>779</v>
      </c>
      <c r="E92" s="71">
        <v>43</v>
      </c>
      <c r="F92" s="382">
        <f>IF(D92=예상등급!$A$1,LOOKUP(E92,예상등급!$A$5:$A$13,예상등급!$B$5:$B$13),IF(D92=예상등급!$A$15,LOOKUP(E92,예상등급!$A$19:$A$27,예상등급!$B$19:$B$27),""))</f>
        <v>5</v>
      </c>
      <c r="G92" s="110" t="s">
        <v>780</v>
      </c>
      <c r="H92" s="71">
        <v>69</v>
      </c>
      <c r="I92" s="382">
        <f>IF(G92=예상등급!$G$15,LOOKUP(H92,예상등급!$G$19:$G$27,예상등급!$H$19:$H$27),IF(G92=예상등급!$J$15,LOOKUP(H92,예상등급!$J$19:$J$27,예상등급!$K$19:$K$27),IF(G92=예상등급!$M$15,LOOKUP(H92,예상등급!$M$19:$M$27,예상등급!$N$19:$N$27),"")))</f>
        <v>3</v>
      </c>
      <c r="J92" s="110">
        <v>56</v>
      </c>
      <c r="K92" s="382">
        <f>IF(J92="","",(LOOKUP(J92,예상등급!$D$5:$D$13,예상등급!$E$5:$E$13)))</f>
        <v>5</v>
      </c>
      <c r="L92" s="301">
        <f>SUM(E92,H92,J92)</f>
        <v>168</v>
      </c>
      <c r="M92" s="398">
        <f>RANK(L92,$L$4:$L$491)</f>
        <v>96</v>
      </c>
      <c r="N92" s="110" t="s">
        <v>761</v>
      </c>
      <c r="O92" s="71">
        <v>26</v>
      </c>
      <c r="P92" s="385">
        <f>IF(N92=예상등급!$G$1,LOOKUP(O92,예상등급!$G$5:$G$13,예상등급!$H$5:$H$13),IF(N92=예상등급!$J$1,LOOKUP(O92,예상등급!$J$5:$J$13,예상등급!$K$5:$K$13),IF(N92=예상등급!$M$1,LOOKUP(O92,예상등급!$M$5:$M$13,예상등급!$N$5:$N$13),IF(N92=예상등급!$P$1,LOOKUP(O92,예상등급!$P$5:$P$13,예상등급!$Q$5:$Q$13),IF(N92=예상등급!$S$1,LOOKUP(O92,예상등급!$S$5:$S$13,예상등급!$T$5:$T$13),IF(N92=예상등급!$V$1,LOOKUP(O92,예상등급!$V$5:$V$13,예상등급!$W$5:$W$13),IF(N92=예상등급!$Y$1,LOOKUP(O92,예상등급!$Y$5:$Y$13,예상등급!$Z$5:$Z$13),IF(N92=예상등급!$AB$1,LOOKUP(O92,예상등급!$AB$5:$AB$13,예상등급!$AC$5:$AC$13),IF(N92=예상등급!$AE$1,LOOKUP(O92,예상등급!$AE$5:$AE$13,예상등급!$AF$5:$AF$13),IF(N92=예상등급!$AH$1,LOOKUP(O92,예상등급!$AH$5:$AH$13,예상등급!$AI$5:$AI$13),IF(N92=예상등급!$AK$1,LOOKUP(O92,예상등급!$AK$5:$AK$13,예상등급!$AL$5:$AL$13),IF(N92=예상등급!$AN$1,LOOKUP(O92,예상등급!$AN$5:$AN$13,예상등급!$AO$5:$AO$13),IF(N92=예상등급!$AQ$1,LOOKUP(O92,예상등급!$AQ$5:$AQ$13,예상등급!$AR$5:$AR$13),IF(N92=예상등급!$AH$15,LOOKUP(O92,예상등급!$AH$19:$AH$27,예상등급!$AI$19:$AI$27),IF(N92=예상등급!$AK$15,LOOKUP(O92,예상등급!$AK$19:$AK$27,예상등급!$AL$19:$AL$27),IF(N92=예상등급!$AN$15,LOOKUP(O92,예상등급!$AN$19:$AN$27,예상등급!$AO$19:$AO$27),IF(N92=예상등급!$AQ$15,LOOKUP(O92,예상등급!$AQ$19:$AQ$27,예상등급!$AR$19:$AR$27),"")))))))))))))))))</f>
        <v>4</v>
      </c>
      <c r="Q92" s="110" t="s">
        <v>762</v>
      </c>
      <c r="R92" s="71">
        <v>38</v>
      </c>
      <c r="S92" s="385">
        <f>IF(Q92=예상등급!$G$1,LOOKUP(R92,예상등급!$G$5:$G$13,예상등급!$H$5:$H$13),IF(Q92=예상등급!$J$1,LOOKUP(R92,예상등급!$J$5:$J$13,예상등급!$K$5:$K$13),IF(Q92=예상등급!$M$1,LOOKUP(R92,예상등급!$M$5:$M$13,예상등급!$N$5:$N$13),IF(Q92=예상등급!$P$1,LOOKUP(R92,예상등급!$P$5:$P$13,예상등급!$Q$5:$Q$13),IF(Q92=예상등급!$S$1,LOOKUP(R92,예상등급!$S$5:$S$13,예상등급!$T$5:$T$13),IF(Q92=예상등급!$V$1,LOOKUP(R92,예상등급!$V$5:$V$13,예상등급!$W$5:$W$13),IF(Q92=예상등급!$Y$1,LOOKUP(R92,예상등급!$Y$5:$Y$13,예상등급!$Z$5:$Z$13),IF(Q92=예상등급!$AB$1,LOOKUP(R92,예상등급!$AB$5:$AB$13,예상등급!$AC$5:$AC$13),IF(Q92=예상등급!$AE$1,LOOKUP(R92,예상등급!$AE$5:$AE$13,예상등급!$AF$5:$AF$13),IF(Q92=예상등급!$AH$1,LOOKUP(R92,예상등급!$AH$5:$AH$13,예상등급!$AI$5:$AI$13),IF(Q92=예상등급!$AK$1,LOOKUP(R92,예상등급!$AK$5:$AK$13,예상등급!$AL$5:$AL$13),IF(Q92=예상등급!$AN$1,LOOKUP(R92,예상등급!$AN$5:$AN$13,예상등급!$AO$5:$AO$13),IF(Q92=예상등급!$AQ$1,LOOKUP(R92,예상등급!$AQ$5:$AQ$13,예상등급!$AR$5:$AR$13),IF(Q92=예상등급!$AH$15,LOOKUP(R92,예상등급!$AH$19:$AH$27,예상등급!$AI$19:$AI$27),IF(Q92=예상등급!$AK$15,LOOKUP(R92,예상등급!$AK$19:$AK$27,예상등급!$AL$19:$AL$27),IF(Q92=예상등급!$AN$15,LOOKUP(R92,예상등급!$AN$19:$AN$27,예상등급!$AO$19:$AO$27),IF(Q92=예상등급!$AQ$15,LOOKUP(R92,예상등급!$AQ$19:$AQ$27,예상등급!$AR$19:$AR$27),"")))))))))))))))))</f>
        <v>3</v>
      </c>
      <c r="T92" s="110">
        <v>14</v>
      </c>
      <c r="U92" s="382">
        <f>IF(T92="","",LOOKUP(T92,예상등급!$D$19:$D$27,예상등급!$E$19:$E$27))</f>
        <v>7</v>
      </c>
      <c r="V92" s="402">
        <f>SUM(L92,T92,R92,O92)</f>
        <v>246</v>
      </c>
      <c r="W92" s="278">
        <f>RANK(V92,$V$4:$V$491)</f>
        <v>89</v>
      </c>
    </row>
    <row r="93" spans="1:28" ht="24.95" customHeight="1" x14ac:dyDescent="0.15">
      <c r="A93" s="110">
        <v>2</v>
      </c>
      <c r="B93" s="71">
        <v>22</v>
      </c>
      <c r="C93" s="100" t="s">
        <v>839</v>
      </c>
      <c r="D93" s="110" t="s">
        <v>779</v>
      </c>
      <c r="E93" s="71">
        <v>56</v>
      </c>
      <c r="F93" s="382">
        <f>IF(D93=예상등급!$A$1,LOOKUP(E93,예상등급!$A$5:$A$13,예상등급!$B$5:$B$13),IF(D93=예상등급!$A$15,LOOKUP(E93,예상등급!$A$19:$A$27,예상등급!$B$19:$B$27),""))</f>
        <v>4</v>
      </c>
      <c r="G93" s="110" t="s">
        <v>780</v>
      </c>
      <c r="H93" s="71">
        <v>53</v>
      </c>
      <c r="I93" s="382">
        <f>IF(G93=예상등급!$G$15,LOOKUP(H93,예상등급!$G$19:$G$27,예상등급!$H$19:$H$27),IF(G93=예상등급!$J$15,LOOKUP(H93,예상등급!$J$19:$J$27,예상등급!$K$19:$K$27),IF(G93=예상등급!$M$15,LOOKUP(H93,예상등급!$M$19:$M$27,예상등급!$N$19:$N$27),"")))</f>
        <v>5</v>
      </c>
      <c r="J93" s="110">
        <v>65</v>
      </c>
      <c r="K93" s="382">
        <f>IF(J93="","",(LOOKUP(J93,예상등급!$D$5:$D$13,예상등급!$E$5:$E$13)))</f>
        <v>4</v>
      </c>
      <c r="L93" s="301">
        <f>SUM(E93,H93,J93)</f>
        <v>174</v>
      </c>
      <c r="M93" s="398">
        <f>RANK(L93,$L$4:$L$491)</f>
        <v>87</v>
      </c>
      <c r="N93" s="110" t="s">
        <v>761</v>
      </c>
      <c r="O93" s="71">
        <v>25</v>
      </c>
      <c r="P93" s="385">
        <f>IF(N93=예상등급!$G$1,LOOKUP(O93,예상등급!$G$5:$G$13,예상등급!$H$5:$H$13),IF(N93=예상등급!$J$1,LOOKUP(O93,예상등급!$J$5:$J$13,예상등급!$K$5:$K$13),IF(N93=예상등급!$M$1,LOOKUP(O93,예상등급!$M$5:$M$13,예상등급!$N$5:$N$13),IF(N93=예상등급!$P$1,LOOKUP(O93,예상등급!$P$5:$P$13,예상등급!$Q$5:$Q$13),IF(N93=예상등급!$S$1,LOOKUP(O93,예상등급!$S$5:$S$13,예상등급!$T$5:$T$13),IF(N93=예상등급!$V$1,LOOKUP(O93,예상등급!$V$5:$V$13,예상등급!$W$5:$W$13),IF(N93=예상등급!$Y$1,LOOKUP(O93,예상등급!$Y$5:$Y$13,예상등급!$Z$5:$Z$13),IF(N93=예상등급!$AB$1,LOOKUP(O93,예상등급!$AB$5:$AB$13,예상등급!$AC$5:$AC$13),IF(N93=예상등급!$AE$1,LOOKUP(O93,예상등급!$AE$5:$AE$13,예상등급!$AF$5:$AF$13),IF(N93=예상등급!$AH$1,LOOKUP(O93,예상등급!$AH$5:$AH$13,예상등급!$AI$5:$AI$13),IF(N93=예상등급!$AK$1,LOOKUP(O93,예상등급!$AK$5:$AK$13,예상등급!$AL$5:$AL$13),IF(N93=예상등급!$AN$1,LOOKUP(O93,예상등급!$AN$5:$AN$13,예상등급!$AO$5:$AO$13),IF(N93=예상등급!$AQ$1,LOOKUP(O93,예상등급!$AQ$5:$AQ$13,예상등급!$AR$5:$AR$13),IF(N93=예상등급!$AH$15,LOOKUP(O93,예상등급!$AH$19:$AH$27,예상등급!$AI$19:$AI$27),IF(N93=예상등급!$AK$15,LOOKUP(O93,예상등급!$AK$19:$AK$27,예상등급!$AL$19:$AL$27),IF(N93=예상등급!$AN$15,LOOKUP(O93,예상등급!$AN$19:$AN$27,예상등급!$AO$19:$AO$27),IF(N93=예상등급!$AQ$15,LOOKUP(O93,예상등급!$AQ$19:$AQ$27,예상등급!$AR$19:$AR$27),"")))))))))))))))))</f>
        <v>4</v>
      </c>
      <c r="Q93" s="110" t="s">
        <v>762</v>
      </c>
      <c r="R93" s="71">
        <v>20</v>
      </c>
      <c r="S93" s="385">
        <f>IF(Q93=예상등급!$G$1,LOOKUP(R93,예상등급!$G$5:$G$13,예상등급!$H$5:$H$13),IF(Q93=예상등급!$J$1,LOOKUP(R93,예상등급!$J$5:$J$13,예상등급!$K$5:$K$13),IF(Q93=예상등급!$M$1,LOOKUP(R93,예상등급!$M$5:$M$13,예상등급!$N$5:$N$13),IF(Q93=예상등급!$P$1,LOOKUP(R93,예상등급!$P$5:$P$13,예상등급!$Q$5:$Q$13),IF(Q93=예상등급!$S$1,LOOKUP(R93,예상등급!$S$5:$S$13,예상등급!$T$5:$T$13),IF(Q93=예상등급!$V$1,LOOKUP(R93,예상등급!$V$5:$V$13,예상등급!$W$5:$W$13),IF(Q93=예상등급!$Y$1,LOOKUP(R93,예상등급!$Y$5:$Y$13,예상등급!$Z$5:$Z$13),IF(Q93=예상등급!$AB$1,LOOKUP(R93,예상등급!$AB$5:$AB$13,예상등급!$AC$5:$AC$13),IF(Q93=예상등급!$AE$1,LOOKUP(R93,예상등급!$AE$5:$AE$13,예상등급!$AF$5:$AF$13),IF(Q93=예상등급!$AH$1,LOOKUP(R93,예상등급!$AH$5:$AH$13,예상등급!$AI$5:$AI$13),IF(Q93=예상등급!$AK$1,LOOKUP(R93,예상등급!$AK$5:$AK$13,예상등급!$AL$5:$AL$13),IF(Q93=예상등급!$AN$1,LOOKUP(R93,예상등급!$AN$5:$AN$13,예상등급!$AO$5:$AO$13),IF(Q93=예상등급!$AQ$1,LOOKUP(R93,예상등급!$AQ$5:$AQ$13,예상등급!$AR$5:$AR$13),IF(Q93=예상등급!$AH$15,LOOKUP(R93,예상등급!$AH$19:$AH$27,예상등급!$AI$19:$AI$27),IF(Q93=예상등급!$AK$15,LOOKUP(R93,예상등급!$AK$19:$AK$27,예상등급!$AL$19:$AL$27),IF(Q93=예상등급!$AN$15,LOOKUP(R93,예상등급!$AN$19:$AN$27,예상등급!$AO$19:$AO$27),IF(Q93=예상등급!$AQ$15,LOOKUP(R93,예상등급!$AQ$19:$AQ$27,예상등급!$AR$19:$AR$27),"")))))))))))))))))</f>
        <v>5</v>
      </c>
      <c r="T93" s="110">
        <v>27</v>
      </c>
      <c r="U93" s="382">
        <f>IF(T93="","",LOOKUP(T93,예상등급!$D$19:$D$27,예상등급!$E$19:$E$27))</f>
        <v>4</v>
      </c>
      <c r="V93" s="402">
        <f>SUM(L93,T93,R93,O93)</f>
        <v>246</v>
      </c>
      <c r="W93" s="278">
        <f>RANK(V93,$V$4:$V$491)</f>
        <v>89</v>
      </c>
    </row>
    <row r="94" spans="1:28" ht="24.95" customHeight="1" x14ac:dyDescent="0.15">
      <c r="A94" s="110">
        <v>6</v>
      </c>
      <c r="B94" s="71">
        <v>4</v>
      </c>
      <c r="C94" s="100" t="s">
        <v>896</v>
      </c>
      <c r="D94" s="110" t="s">
        <v>779</v>
      </c>
      <c r="E94" s="71">
        <v>46</v>
      </c>
      <c r="F94" s="382">
        <f>IF(D94=예상등급!$A$1,LOOKUP(E94,예상등급!$A$5:$A$13,예상등급!$B$5:$B$13),IF(D94=예상등급!$A$15,LOOKUP(E94,예상등급!$A$19:$A$27,예상등급!$B$19:$B$27),""))</f>
        <v>5</v>
      </c>
      <c r="G94" s="110" t="s">
        <v>781</v>
      </c>
      <c r="H94" s="71">
        <v>53</v>
      </c>
      <c r="I94" s="382">
        <f>IF(G94=예상등급!$G$15,LOOKUP(H94,예상등급!$G$19:$G$27,예상등급!$H$19:$H$27),IF(G94=예상등급!$J$15,LOOKUP(H94,예상등급!$J$19:$J$27,예상등급!$K$19:$K$27),IF(G94=예상등급!$M$15,LOOKUP(H94,예상등급!$M$19:$M$27,예상등급!$N$19:$N$27),"")))</f>
        <v>4</v>
      </c>
      <c r="J94" s="110">
        <v>72</v>
      </c>
      <c r="K94" s="382">
        <f>IF(J94="","",(LOOKUP(J94,예상등급!$D$5:$D$13,예상등급!$E$5:$E$13)))</f>
        <v>3</v>
      </c>
      <c r="L94" s="301">
        <f>SUM(E94,H94,J94)</f>
        <v>171</v>
      </c>
      <c r="M94" s="398">
        <f>RANK(L94,$L$4:$L$491)</f>
        <v>93</v>
      </c>
      <c r="N94" s="110" t="s">
        <v>765</v>
      </c>
      <c r="O94" s="71">
        <v>36</v>
      </c>
      <c r="P94" s="385">
        <f>IF(N94=예상등급!$G$1,LOOKUP(O94,예상등급!$G$5:$G$13,예상등급!$H$5:$H$13),IF(N94=예상등급!$J$1,LOOKUP(O94,예상등급!$J$5:$J$13,예상등급!$K$5:$K$13),IF(N94=예상등급!$M$1,LOOKUP(O94,예상등급!$M$5:$M$13,예상등급!$N$5:$N$13),IF(N94=예상등급!$P$1,LOOKUP(O94,예상등급!$P$5:$P$13,예상등급!$Q$5:$Q$13),IF(N94=예상등급!$S$1,LOOKUP(O94,예상등급!$S$5:$S$13,예상등급!$T$5:$T$13),IF(N94=예상등급!$V$1,LOOKUP(O94,예상등급!$V$5:$V$13,예상등급!$W$5:$W$13),IF(N94=예상등급!$Y$1,LOOKUP(O94,예상등급!$Y$5:$Y$13,예상등급!$Z$5:$Z$13),IF(N94=예상등급!$AB$1,LOOKUP(O94,예상등급!$AB$5:$AB$13,예상등급!$AC$5:$AC$13),IF(N94=예상등급!$AE$1,LOOKUP(O94,예상등급!$AE$5:$AE$13,예상등급!$AF$5:$AF$13),IF(N94=예상등급!$AH$1,LOOKUP(O94,예상등급!$AH$5:$AH$13,예상등급!$AI$5:$AI$13),IF(N94=예상등급!$AK$1,LOOKUP(O94,예상등급!$AK$5:$AK$13,예상등급!$AL$5:$AL$13),IF(N94=예상등급!$AN$1,LOOKUP(O94,예상등급!$AN$5:$AN$13,예상등급!$AO$5:$AO$13),IF(N94=예상등급!$AQ$1,LOOKUP(O94,예상등급!$AQ$5:$AQ$13,예상등급!$AR$5:$AR$13),IF(N94=예상등급!$AH$15,LOOKUP(O94,예상등급!$AH$19:$AH$27,예상등급!$AI$19:$AI$27),IF(N94=예상등급!$AK$15,LOOKUP(O94,예상등급!$AK$19:$AK$27,예상등급!$AL$19:$AL$27),IF(N94=예상등급!$AN$15,LOOKUP(O94,예상등급!$AN$19:$AN$27,예상등급!$AO$19:$AO$27),IF(N94=예상등급!$AQ$15,LOOKUP(O94,예상등급!$AQ$19:$AQ$27,예상등급!$AR$19:$AR$27),"")))))))))))))))))</f>
        <v>3</v>
      </c>
      <c r="Q94" s="110" t="s">
        <v>762</v>
      </c>
      <c r="R94" s="71">
        <v>24</v>
      </c>
      <c r="S94" s="385">
        <f>IF(Q94=예상등급!$G$1,LOOKUP(R94,예상등급!$G$5:$G$13,예상등급!$H$5:$H$13),IF(Q94=예상등급!$J$1,LOOKUP(R94,예상등급!$J$5:$J$13,예상등급!$K$5:$K$13),IF(Q94=예상등급!$M$1,LOOKUP(R94,예상등급!$M$5:$M$13,예상등급!$N$5:$N$13),IF(Q94=예상등급!$P$1,LOOKUP(R94,예상등급!$P$5:$P$13,예상등급!$Q$5:$Q$13),IF(Q94=예상등급!$S$1,LOOKUP(R94,예상등급!$S$5:$S$13,예상등급!$T$5:$T$13),IF(Q94=예상등급!$V$1,LOOKUP(R94,예상등급!$V$5:$V$13,예상등급!$W$5:$W$13),IF(Q94=예상등급!$Y$1,LOOKUP(R94,예상등급!$Y$5:$Y$13,예상등급!$Z$5:$Z$13),IF(Q94=예상등급!$AB$1,LOOKUP(R94,예상등급!$AB$5:$AB$13,예상등급!$AC$5:$AC$13),IF(Q94=예상등급!$AE$1,LOOKUP(R94,예상등급!$AE$5:$AE$13,예상등급!$AF$5:$AF$13),IF(Q94=예상등급!$AH$1,LOOKUP(R94,예상등급!$AH$5:$AH$13,예상등급!$AI$5:$AI$13),IF(Q94=예상등급!$AK$1,LOOKUP(R94,예상등급!$AK$5:$AK$13,예상등급!$AL$5:$AL$13),IF(Q94=예상등급!$AN$1,LOOKUP(R94,예상등급!$AN$5:$AN$13,예상등급!$AO$5:$AO$13),IF(Q94=예상등급!$AQ$1,LOOKUP(R94,예상등급!$AQ$5:$AQ$13,예상등급!$AR$5:$AR$13),IF(Q94=예상등급!$AH$15,LOOKUP(R94,예상등급!$AH$19:$AH$27,예상등급!$AI$19:$AI$27),IF(Q94=예상등급!$AK$15,LOOKUP(R94,예상등급!$AK$19:$AK$27,예상등급!$AL$19:$AL$27),IF(Q94=예상등급!$AN$15,LOOKUP(R94,예상등급!$AN$19:$AN$27,예상등급!$AO$19:$AO$27),IF(Q94=예상등급!$AQ$15,LOOKUP(R94,예상등급!$AQ$19:$AQ$27,예상등급!$AR$19:$AR$27),"")))))))))))))))))</f>
        <v>5</v>
      </c>
      <c r="T94" s="110">
        <v>15</v>
      </c>
      <c r="U94" s="382">
        <f>IF(T94="","",LOOKUP(T94,예상등급!$D$19:$D$27,예상등급!$E$19:$E$27))</f>
        <v>6</v>
      </c>
      <c r="V94" s="402">
        <f>SUM(L94,T94,R94,O94)</f>
        <v>246</v>
      </c>
      <c r="W94" s="278">
        <f>RANK(V94,$V$4:$V$491)</f>
        <v>89</v>
      </c>
      <c r="Y94" s="149"/>
      <c r="Z94" s="149"/>
    </row>
    <row r="95" spans="1:28" ht="24.95" customHeight="1" x14ac:dyDescent="0.15">
      <c r="A95" s="110">
        <v>2</v>
      </c>
      <c r="B95" s="71">
        <v>21</v>
      </c>
      <c r="C95" s="100" t="s">
        <v>838</v>
      </c>
      <c r="D95" s="110" t="s">
        <v>779</v>
      </c>
      <c r="E95" s="71">
        <v>52</v>
      </c>
      <c r="F95" s="382">
        <f>IF(D95=예상등급!$A$1,LOOKUP(E95,예상등급!$A$5:$A$13,예상등급!$B$5:$B$13),IF(D95=예상등급!$A$15,LOOKUP(E95,예상등급!$A$19:$A$27,예상등급!$B$19:$B$27),""))</f>
        <v>4</v>
      </c>
      <c r="G95" s="110" t="s">
        <v>780</v>
      </c>
      <c r="H95" s="71">
        <v>30</v>
      </c>
      <c r="I95" s="382">
        <f>IF(G95=예상등급!$G$15,LOOKUP(H95,예상등급!$G$19:$G$27,예상등급!$H$19:$H$27),IF(G95=예상등급!$J$15,LOOKUP(H95,예상등급!$J$19:$J$27,예상등급!$K$19:$K$27),IF(G95=예상등급!$M$15,LOOKUP(H95,예상등급!$M$19:$M$27,예상등급!$N$19:$N$27),"")))</f>
        <v>6</v>
      </c>
      <c r="J95" s="110">
        <v>75</v>
      </c>
      <c r="K95" s="382">
        <f>IF(J95="","",(LOOKUP(J95,예상등급!$D$5:$D$13,예상등급!$E$5:$E$13)))</f>
        <v>3</v>
      </c>
      <c r="L95" s="301">
        <f>SUM(E95,H95,J95)</f>
        <v>157</v>
      </c>
      <c r="M95" s="398">
        <f>RANK(L95,$L$4:$L$491)</f>
        <v>124</v>
      </c>
      <c r="N95" s="110" t="s">
        <v>761</v>
      </c>
      <c r="O95" s="71">
        <v>34</v>
      </c>
      <c r="P95" s="385">
        <f>IF(N95=예상등급!$G$1,LOOKUP(O95,예상등급!$G$5:$G$13,예상등급!$H$5:$H$13),IF(N95=예상등급!$J$1,LOOKUP(O95,예상등급!$J$5:$J$13,예상등급!$K$5:$K$13),IF(N95=예상등급!$M$1,LOOKUP(O95,예상등급!$M$5:$M$13,예상등급!$N$5:$N$13),IF(N95=예상등급!$P$1,LOOKUP(O95,예상등급!$P$5:$P$13,예상등급!$Q$5:$Q$13),IF(N95=예상등급!$S$1,LOOKUP(O95,예상등급!$S$5:$S$13,예상등급!$T$5:$T$13),IF(N95=예상등급!$V$1,LOOKUP(O95,예상등급!$V$5:$V$13,예상등급!$W$5:$W$13),IF(N95=예상등급!$Y$1,LOOKUP(O95,예상등급!$Y$5:$Y$13,예상등급!$Z$5:$Z$13),IF(N95=예상등급!$AB$1,LOOKUP(O95,예상등급!$AB$5:$AB$13,예상등급!$AC$5:$AC$13),IF(N95=예상등급!$AE$1,LOOKUP(O95,예상등급!$AE$5:$AE$13,예상등급!$AF$5:$AF$13),IF(N95=예상등급!$AH$1,LOOKUP(O95,예상등급!$AH$5:$AH$13,예상등급!$AI$5:$AI$13),IF(N95=예상등급!$AK$1,LOOKUP(O95,예상등급!$AK$5:$AK$13,예상등급!$AL$5:$AL$13),IF(N95=예상등급!$AN$1,LOOKUP(O95,예상등급!$AN$5:$AN$13,예상등급!$AO$5:$AO$13),IF(N95=예상등급!$AQ$1,LOOKUP(O95,예상등급!$AQ$5:$AQ$13,예상등급!$AR$5:$AR$13),IF(N95=예상등급!$AH$15,LOOKUP(O95,예상등급!$AH$19:$AH$27,예상등급!$AI$19:$AI$27),IF(N95=예상등급!$AK$15,LOOKUP(O95,예상등급!$AK$19:$AK$27,예상등급!$AL$19:$AL$27),IF(N95=예상등급!$AN$15,LOOKUP(O95,예상등급!$AN$19:$AN$27,예상등급!$AO$19:$AO$27),IF(N95=예상등급!$AQ$15,LOOKUP(O95,예상등급!$AQ$19:$AQ$27,예상등급!$AR$19:$AR$27),"")))))))))))))))))</f>
        <v>3</v>
      </c>
      <c r="Q95" s="110" t="s">
        <v>762</v>
      </c>
      <c r="R95" s="71">
        <v>33</v>
      </c>
      <c r="S95" s="385">
        <f>IF(Q95=예상등급!$G$1,LOOKUP(R95,예상등급!$G$5:$G$13,예상등급!$H$5:$H$13),IF(Q95=예상등급!$J$1,LOOKUP(R95,예상등급!$J$5:$J$13,예상등급!$K$5:$K$13),IF(Q95=예상등급!$M$1,LOOKUP(R95,예상등급!$M$5:$M$13,예상등급!$N$5:$N$13),IF(Q95=예상등급!$P$1,LOOKUP(R95,예상등급!$P$5:$P$13,예상등급!$Q$5:$Q$13),IF(Q95=예상등급!$S$1,LOOKUP(R95,예상등급!$S$5:$S$13,예상등급!$T$5:$T$13),IF(Q95=예상등급!$V$1,LOOKUP(R95,예상등급!$V$5:$V$13,예상등급!$W$5:$W$13),IF(Q95=예상등급!$Y$1,LOOKUP(R95,예상등급!$Y$5:$Y$13,예상등급!$Z$5:$Z$13),IF(Q95=예상등급!$AB$1,LOOKUP(R95,예상등급!$AB$5:$AB$13,예상등급!$AC$5:$AC$13),IF(Q95=예상등급!$AE$1,LOOKUP(R95,예상등급!$AE$5:$AE$13,예상등급!$AF$5:$AF$13),IF(Q95=예상등급!$AH$1,LOOKUP(R95,예상등급!$AH$5:$AH$13,예상등급!$AI$5:$AI$13),IF(Q95=예상등급!$AK$1,LOOKUP(R95,예상등급!$AK$5:$AK$13,예상등급!$AL$5:$AL$13),IF(Q95=예상등급!$AN$1,LOOKUP(R95,예상등급!$AN$5:$AN$13,예상등급!$AO$5:$AO$13),IF(Q95=예상등급!$AQ$1,LOOKUP(R95,예상등급!$AQ$5:$AQ$13,예상등급!$AR$5:$AR$13),IF(Q95=예상등급!$AH$15,LOOKUP(R95,예상등급!$AH$19:$AH$27,예상등급!$AI$19:$AI$27),IF(Q95=예상등급!$AK$15,LOOKUP(R95,예상등급!$AK$19:$AK$27,예상등급!$AL$19:$AL$27),IF(Q95=예상등급!$AN$15,LOOKUP(R95,예상등급!$AN$19:$AN$27,예상등급!$AO$19:$AO$27),IF(Q95=예상등급!$AQ$15,LOOKUP(R95,예상등급!$AQ$19:$AQ$27,예상등급!$AR$19:$AR$27),"")))))))))))))))))</f>
        <v>3</v>
      </c>
      <c r="T95" s="110">
        <v>21</v>
      </c>
      <c r="U95" s="382">
        <f>IF(T95="","",LOOKUP(T95,예상등급!$D$19:$D$27,예상등급!$E$19:$E$27))</f>
        <v>5</v>
      </c>
      <c r="V95" s="402">
        <f>SUM(L95,T95,R95,O95)</f>
        <v>245</v>
      </c>
      <c r="W95" s="278">
        <f>RANK(V95,$V$4:$V$491)</f>
        <v>92</v>
      </c>
    </row>
    <row r="96" spans="1:28" ht="24.95" customHeight="1" x14ac:dyDescent="0.15">
      <c r="A96" s="110">
        <v>4</v>
      </c>
      <c r="B96" s="71">
        <v>15</v>
      </c>
      <c r="C96" s="100" t="s">
        <v>868</v>
      </c>
      <c r="D96" s="110" t="s">
        <v>779</v>
      </c>
      <c r="E96" s="71">
        <v>44</v>
      </c>
      <c r="F96" s="382">
        <f>IF(D96=예상등급!$A$1,LOOKUP(E96,예상등급!$A$5:$A$13,예상등급!$B$5:$B$13),IF(D96=예상등급!$A$15,LOOKUP(E96,예상등급!$A$19:$A$27,예상등급!$B$19:$B$27),""))</f>
        <v>5</v>
      </c>
      <c r="G96" s="110" t="s">
        <v>781</v>
      </c>
      <c r="H96" s="71">
        <v>76</v>
      </c>
      <c r="I96" s="382">
        <f>IF(G96=예상등급!$G$15,LOOKUP(H96,예상등급!$G$19:$G$27,예상등급!$H$19:$H$27),IF(G96=예상등급!$J$15,LOOKUP(H96,예상등급!$J$19:$J$27,예상등급!$K$19:$K$27),IF(G96=예상등급!$M$15,LOOKUP(H96,예상등급!$M$19:$M$27,예상등급!$N$19:$N$27),"")))</f>
        <v>2</v>
      </c>
      <c r="J96" s="110">
        <v>76</v>
      </c>
      <c r="K96" s="382">
        <f>IF(J96="","",(LOOKUP(J96,예상등급!$D$5:$D$13,예상등급!$E$5:$E$13)))</f>
        <v>3</v>
      </c>
      <c r="L96" s="301">
        <f>SUM(E96,H96,J96)</f>
        <v>196</v>
      </c>
      <c r="M96" s="398">
        <f>RANK(L96,$L$4:$L$491)</f>
        <v>56</v>
      </c>
      <c r="N96" s="110" t="s">
        <v>760</v>
      </c>
      <c r="O96" s="71">
        <v>10</v>
      </c>
      <c r="P96" s="385">
        <f>IF(N96=예상등급!$G$1,LOOKUP(O96,예상등급!$G$5:$G$13,예상등급!$H$5:$H$13),IF(N96=예상등급!$J$1,LOOKUP(O96,예상등급!$J$5:$J$13,예상등급!$K$5:$K$13),IF(N96=예상등급!$M$1,LOOKUP(O96,예상등급!$M$5:$M$13,예상등급!$N$5:$N$13),IF(N96=예상등급!$P$1,LOOKUP(O96,예상등급!$P$5:$P$13,예상등급!$Q$5:$Q$13),IF(N96=예상등급!$S$1,LOOKUP(O96,예상등급!$S$5:$S$13,예상등급!$T$5:$T$13),IF(N96=예상등급!$V$1,LOOKUP(O96,예상등급!$V$5:$V$13,예상등급!$W$5:$W$13),IF(N96=예상등급!$Y$1,LOOKUP(O96,예상등급!$Y$5:$Y$13,예상등급!$Z$5:$Z$13),IF(N96=예상등급!$AB$1,LOOKUP(O96,예상등급!$AB$5:$AB$13,예상등급!$AC$5:$AC$13),IF(N96=예상등급!$AE$1,LOOKUP(O96,예상등급!$AE$5:$AE$13,예상등급!$AF$5:$AF$13),IF(N96=예상등급!$AH$1,LOOKUP(O96,예상등급!$AH$5:$AH$13,예상등급!$AI$5:$AI$13),IF(N96=예상등급!$AK$1,LOOKUP(O96,예상등급!$AK$5:$AK$13,예상등급!$AL$5:$AL$13),IF(N96=예상등급!$AN$1,LOOKUP(O96,예상등급!$AN$5:$AN$13,예상등급!$AO$5:$AO$13),IF(N96=예상등급!$AQ$1,LOOKUP(O96,예상등급!$AQ$5:$AQ$13,예상등급!$AR$5:$AR$13),IF(N96=예상등급!$AH$15,LOOKUP(O96,예상등급!$AH$19:$AH$27,예상등급!$AI$19:$AI$27),IF(N96=예상등급!$AK$15,LOOKUP(O96,예상등급!$AK$19:$AK$27,예상등급!$AL$19:$AL$27),IF(N96=예상등급!$AN$15,LOOKUP(O96,예상등급!$AN$19:$AN$27,예상등급!$AO$19:$AO$27),IF(N96=예상등급!$AQ$15,LOOKUP(O96,예상등급!$AQ$19:$AQ$27,예상등급!$AR$19:$AR$27),"")))))))))))))))))</f>
        <v>7</v>
      </c>
      <c r="Q96" s="110" t="s">
        <v>762</v>
      </c>
      <c r="R96" s="71">
        <v>27</v>
      </c>
      <c r="S96" s="385">
        <f>IF(Q96=예상등급!$G$1,LOOKUP(R96,예상등급!$G$5:$G$13,예상등급!$H$5:$H$13),IF(Q96=예상등급!$J$1,LOOKUP(R96,예상등급!$J$5:$J$13,예상등급!$K$5:$K$13),IF(Q96=예상등급!$M$1,LOOKUP(R96,예상등급!$M$5:$M$13,예상등급!$N$5:$N$13),IF(Q96=예상등급!$P$1,LOOKUP(R96,예상등급!$P$5:$P$13,예상등급!$Q$5:$Q$13),IF(Q96=예상등급!$S$1,LOOKUP(R96,예상등급!$S$5:$S$13,예상등급!$T$5:$T$13),IF(Q96=예상등급!$V$1,LOOKUP(R96,예상등급!$V$5:$V$13,예상등급!$W$5:$W$13),IF(Q96=예상등급!$Y$1,LOOKUP(R96,예상등급!$Y$5:$Y$13,예상등급!$Z$5:$Z$13),IF(Q96=예상등급!$AB$1,LOOKUP(R96,예상등급!$AB$5:$AB$13,예상등급!$AC$5:$AC$13),IF(Q96=예상등급!$AE$1,LOOKUP(R96,예상등급!$AE$5:$AE$13,예상등급!$AF$5:$AF$13),IF(Q96=예상등급!$AH$1,LOOKUP(R96,예상등급!$AH$5:$AH$13,예상등급!$AI$5:$AI$13),IF(Q96=예상등급!$AK$1,LOOKUP(R96,예상등급!$AK$5:$AK$13,예상등급!$AL$5:$AL$13),IF(Q96=예상등급!$AN$1,LOOKUP(R96,예상등급!$AN$5:$AN$13,예상등급!$AO$5:$AO$13),IF(Q96=예상등급!$AQ$1,LOOKUP(R96,예상등급!$AQ$5:$AQ$13,예상등급!$AR$5:$AR$13),IF(Q96=예상등급!$AH$15,LOOKUP(R96,예상등급!$AH$19:$AH$27,예상등급!$AI$19:$AI$27),IF(Q96=예상등급!$AK$15,LOOKUP(R96,예상등급!$AK$19:$AK$27,예상등급!$AL$19:$AL$27),IF(Q96=예상등급!$AN$15,LOOKUP(R96,예상등급!$AN$19:$AN$27,예상등급!$AO$19:$AO$27),IF(Q96=예상등급!$AQ$15,LOOKUP(R96,예상등급!$AQ$19:$AQ$27,예상등급!$AR$19:$AR$27),"")))))))))))))))))</f>
        <v>4</v>
      </c>
      <c r="T96" s="110">
        <v>12</v>
      </c>
      <c r="U96" s="382">
        <f>IF(T96="","",LOOKUP(T96,예상등급!$D$19:$D$27,예상등급!$E$19:$E$27))</f>
        <v>7</v>
      </c>
      <c r="V96" s="402">
        <f>SUM(L96,T96,R96,O96)</f>
        <v>245</v>
      </c>
      <c r="W96" s="278">
        <f>RANK(V96,$V$4:$V$491)</f>
        <v>92</v>
      </c>
    </row>
    <row r="97" spans="1:26" ht="24.95" customHeight="1" x14ac:dyDescent="0.15">
      <c r="A97" s="110">
        <v>8</v>
      </c>
      <c r="B97" s="71">
        <v>28</v>
      </c>
      <c r="C97" s="100" t="s">
        <v>961</v>
      </c>
      <c r="D97" s="110" t="s">
        <v>779</v>
      </c>
      <c r="E97" s="71">
        <v>62</v>
      </c>
      <c r="F97" s="382">
        <f>IF(D97=예상등급!$A$1,LOOKUP(E97,예상등급!$A$5:$A$13,예상등급!$B$5:$B$13),IF(D97=예상등급!$A$15,LOOKUP(E97,예상등급!$A$19:$A$27,예상등급!$B$19:$B$27),""))</f>
        <v>4</v>
      </c>
      <c r="G97" s="110" t="s">
        <v>780</v>
      </c>
      <c r="H97" s="71">
        <v>13</v>
      </c>
      <c r="I97" s="382">
        <f>IF(G97=예상등급!$G$15,LOOKUP(H97,예상등급!$G$19:$G$27,예상등급!$H$19:$H$27),IF(G97=예상등급!$J$15,LOOKUP(H97,예상등급!$J$19:$J$27,예상등급!$K$19:$K$27),IF(G97=예상등급!$M$15,LOOKUP(H97,예상등급!$M$19:$M$27,예상등급!$N$19:$N$27),"")))</f>
        <v>9</v>
      </c>
      <c r="J97" s="110">
        <v>56</v>
      </c>
      <c r="K97" s="382">
        <f>IF(J97="","",(LOOKUP(J97,예상등급!$D$5:$D$13,예상등급!$E$5:$E$13)))</f>
        <v>5</v>
      </c>
      <c r="L97" s="301">
        <f>SUM(E97,H97,J97)</f>
        <v>131</v>
      </c>
      <c r="M97" s="398">
        <f>RANK(L97,$L$4:$L$491)</f>
        <v>161</v>
      </c>
      <c r="N97" s="110" t="s">
        <v>761</v>
      </c>
      <c r="O97" s="71">
        <v>47</v>
      </c>
      <c r="P97" s="385">
        <f>IF(N97=예상등급!$G$1,LOOKUP(O97,예상등급!$G$5:$G$13,예상등급!$H$5:$H$13),IF(N97=예상등급!$J$1,LOOKUP(O97,예상등급!$J$5:$J$13,예상등급!$K$5:$K$13),IF(N97=예상등급!$M$1,LOOKUP(O97,예상등급!$M$5:$M$13,예상등급!$N$5:$N$13),IF(N97=예상등급!$P$1,LOOKUP(O97,예상등급!$P$5:$P$13,예상등급!$Q$5:$Q$13),IF(N97=예상등급!$S$1,LOOKUP(O97,예상등급!$S$5:$S$13,예상등급!$T$5:$T$13),IF(N97=예상등급!$V$1,LOOKUP(O97,예상등급!$V$5:$V$13,예상등급!$W$5:$W$13),IF(N97=예상등급!$Y$1,LOOKUP(O97,예상등급!$Y$5:$Y$13,예상등급!$Z$5:$Z$13),IF(N97=예상등급!$AB$1,LOOKUP(O97,예상등급!$AB$5:$AB$13,예상등급!$AC$5:$AC$13),IF(N97=예상등급!$AE$1,LOOKUP(O97,예상등급!$AE$5:$AE$13,예상등급!$AF$5:$AF$13),IF(N97=예상등급!$AH$1,LOOKUP(O97,예상등급!$AH$5:$AH$13,예상등급!$AI$5:$AI$13),IF(N97=예상등급!$AK$1,LOOKUP(O97,예상등급!$AK$5:$AK$13,예상등급!$AL$5:$AL$13),IF(N97=예상등급!$AN$1,LOOKUP(O97,예상등급!$AN$5:$AN$13,예상등급!$AO$5:$AO$13),IF(N97=예상등급!$AQ$1,LOOKUP(O97,예상등급!$AQ$5:$AQ$13,예상등급!$AR$5:$AR$13),IF(N97=예상등급!$AH$15,LOOKUP(O97,예상등급!$AH$19:$AH$27,예상등급!$AI$19:$AI$27),IF(N97=예상등급!$AK$15,LOOKUP(O97,예상등급!$AK$19:$AK$27,예상등급!$AL$19:$AL$27),IF(N97=예상등급!$AN$15,LOOKUP(O97,예상등급!$AN$19:$AN$27,예상등급!$AO$19:$AO$27),IF(N97=예상등급!$AQ$15,LOOKUP(O97,예상등급!$AQ$19:$AQ$27,예상등급!$AR$19:$AR$27),"")))))))))))))))))</f>
        <v>1</v>
      </c>
      <c r="Q97" s="110" t="s">
        <v>767</v>
      </c>
      <c r="R97" s="71">
        <v>35</v>
      </c>
      <c r="S97" s="385">
        <f>IF(Q97=예상등급!$G$1,LOOKUP(R97,예상등급!$G$5:$G$13,예상등급!$H$5:$H$13),IF(Q97=예상등급!$J$1,LOOKUP(R97,예상등급!$J$5:$J$13,예상등급!$K$5:$K$13),IF(Q97=예상등급!$M$1,LOOKUP(R97,예상등급!$M$5:$M$13,예상등급!$N$5:$N$13),IF(Q97=예상등급!$P$1,LOOKUP(R97,예상등급!$P$5:$P$13,예상등급!$Q$5:$Q$13),IF(Q97=예상등급!$S$1,LOOKUP(R97,예상등급!$S$5:$S$13,예상등급!$T$5:$T$13),IF(Q97=예상등급!$V$1,LOOKUP(R97,예상등급!$V$5:$V$13,예상등급!$W$5:$W$13),IF(Q97=예상등급!$Y$1,LOOKUP(R97,예상등급!$Y$5:$Y$13,예상등급!$Z$5:$Z$13),IF(Q97=예상등급!$AB$1,LOOKUP(R97,예상등급!$AB$5:$AB$13,예상등급!$AC$5:$AC$13),IF(Q97=예상등급!$AE$1,LOOKUP(R97,예상등급!$AE$5:$AE$13,예상등급!$AF$5:$AF$13),IF(Q97=예상등급!$AH$1,LOOKUP(R97,예상등급!$AH$5:$AH$13,예상등급!$AI$5:$AI$13),IF(Q97=예상등급!$AK$1,LOOKUP(R97,예상등급!$AK$5:$AK$13,예상등급!$AL$5:$AL$13),IF(Q97=예상등급!$AN$1,LOOKUP(R97,예상등급!$AN$5:$AN$13,예상등급!$AO$5:$AO$13),IF(Q97=예상등급!$AQ$1,LOOKUP(R97,예상등급!$AQ$5:$AQ$13,예상등급!$AR$5:$AR$13),IF(Q97=예상등급!$AH$15,LOOKUP(R97,예상등급!$AH$19:$AH$27,예상등급!$AI$19:$AI$27),IF(Q97=예상등급!$AK$15,LOOKUP(R97,예상등급!$AK$19:$AK$27,예상등급!$AL$19:$AL$27),IF(Q97=예상등급!$AN$15,LOOKUP(R97,예상등급!$AN$19:$AN$27,예상등급!$AO$19:$AO$27),IF(Q97=예상등급!$AQ$15,LOOKUP(R97,예상등급!$AQ$19:$AQ$27,예상등급!$AR$19:$AR$27),"")))))))))))))))))</f>
        <v>3</v>
      </c>
      <c r="T97" s="110">
        <v>31</v>
      </c>
      <c r="U97" s="382">
        <f>IF(T97="","",LOOKUP(T97,예상등급!$D$19:$D$27,예상등급!$E$19:$E$27))</f>
        <v>3</v>
      </c>
      <c r="V97" s="402">
        <f>SUM(L97,T97,R97,O97)</f>
        <v>244</v>
      </c>
      <c r="W97" s="278">
        <f>RANK(V97,$V$4:$V$491)</f>
        <v>94</v>
      </c>
      <c r="Y97" s="149"/>
      <c r="Z97" s="149"/>
    </row>
    <row r="98" spans="1:26" ht="24.95" customHeight="1" x14ac:dyDescent="0.15">
      <c r="A98" s="110">
        <v>8</v>
      </c>
      <c r="B98" s="71">
        <v>21</v>
      </c>
      <c r="C98" s="100" t="s">
        <v>955</v>
      </c>
      <c r="D98" s="110" t="s">
        <v>779</v>
      </c>
      <c r="E98" s="71">
        <v>64</v>
      </c>
      <c r="F98" s="382">
        <f>IF(D98=예상등급!$A$1,LOOKUP(E98,예상등급!$A$5:$A$13,예상등급!$B$5:$B$13),IF(D98=예상등급!$A$15,LOOKUP(E98,예상등급!$A$19:$A$27,예상등급!$B$19:$B$27),""))</f>
        <v>3</v>
      </c>
      <c r="G98" s="110" t="s">
        <v>780</v>
      </c>
      <c r="H98" s="71">
        <v>39</v>
      </c>
      <c r="I98" s="382">
        <f>IF(G98=예상등급!$G$15,LOOKUP(H98,예상등급!$G$19:$G$27,예상등급!$H$19:$H$27),IF(G98=예상등급!$J$15,LOOKUP(H98,예상등급!$J$19:$J$27,예상등급!$K$19:$K$27),IF(G98=예상등급!$M$15,LOOKUP(H98,예상등급!$M$19:$M$27,예상등급!$N$19:$N$27),"")))</f>
        <v>5</v>
      </c>
      <c r="J98" s="110">
        <v>59</v>
      </c>
      <c r="K98" s="382">
        <f>IF(J98="","",(LOOKUP(J98,예상등급!$D$5:$D$13,예상등급!$E$5:$E$13)))</f>
        <v>5</v>
      </c>
      <c r="L98" s="301">
        <f>SUM(E98,H98,J98)</f>
        <v>162</v>
      </c>
      <c r="M98" s="398">
        <f>RANK(L98,$L$4:$L$491)</f>
        <v>109</v>
      </c>
      <c r="N98" s="110" t="s">
        <v>761</v>
      </c>
      <c r="O98" s="71">
        <v>24</v>
      </c>
      <c r="P98" s="385">
        <f>IF(N98=예상등급!$G$1,LOOKUP(O98,예상등급!$G$5:$G$13,예상등급!$H$5:$H$13),IF(N98=예상등급!$J$1,LOOKUP(O98,예상등급!$J$5:$J$13,예상등급!$K$5:$K$13),IF(N98=예상등급!$M$1,LOOKUP(O98,예상등급!$M$5:$M$13,예상등급!$N$5:$N$13),IF(N98=예상등급!$P$1,LOOKUP(O98,예상등급!$P$5:$P$13,예상등급!$Q$5:$Q$13),IF(N98=예상등급!$S$1,LOOKUP(O98,예상등급!$S$5:$S$13,예상등급!$T$5:$T$13),IF(N98=예상등급!$V$1,LOOKUP(O98,예상등급!$V$5:$V$13,예상등급!$W$5:$W$13),IF(N98=예상등급!$Y$1,LOOKUP(O98,예상등급!$Y$5:$Y$13,예상등급!$Z$5:$Z$13),IF(N98=예상등급!$AB$1,LOOKUP(O98,예상등급!$AB$5:$AB$13,예상등급!$AC$5:$AC$13),IF(N98=예상등급!$AE$1,LOOKUP(O98,예상등급!$AE$5:$AE$13,예상등급!$AF$5:$AF$13),IF(N98=예상등급!$AH$1,LOOKUP(O98,예상등급!$AH$5:$AH$13,예상등급!$AI$5:$AI$13),IF(N98=예상등급!$AK$1,LOOKUP(O98,예상등급!$AK$5:$AK$13,예상등급!$AL$5:$AL$13),IF(N98=예상등급!$AN$1,LOOKUP(O98,예상등급!$AN$5:$AN$13,예상등급!$AO$5:$AO$13),IF(N98=예상등급!$AQ$1,LOOKUP(O98,예상등급!$AQ$5:$AQ$13,예상등급!$AR$5:$AR$13),IF(N98=예상등급!$AH$15,LOOKUP(O98,예상등급!$AH$19:$AH$27,예상등급!$AI$19:$AI$27),IF(N98=예상등급!$AK$15,LOOKUP(O98,예상등급!$AK$19:$AK$27,예상등급!$AL$19:$AL$27),IF(N98=예상등급!$AN$15,LOOKUP(O98,예상등급!$AN$19:$AN$27,예상등급!$AO$19:$AO$27),IF(N98=예상등급!$AQ$15,LOOKUP(O98,예상등급!$AQ$19:$AQ$27,예상등급!$AR$19:$AR$27),"")))))))))))))))))</f>
        <v>5</v>
      </c>
      <c r="Q98" s="110" t="s">
        <v>772</v>
      </c>
      <c r="R98" s="71">
        <v>16</v>
      </c>
      <c r="S98" s="385">
        <f>IF(Q98=예상등급!$G$1,LOOKUP(R98,예상등급!$G$5:$G$13,예상등급!$H$5:$H$13),IF(Q98=예상등급!$J$1,LOOKUP(R98,예상등급!$J$5:$J$13,예상등급!$K$5:$K$13),IF(Q98=예상등급!$M$1,LOOKUP(R98,예상등급!$M$5:$M$13,예상등급!$N$5:$N$13),IF(Q98=예상등급!$P$1,LOOKUP(R98,예상등급!$P$5:$P$13,예상등급!$Q$5:$Q$13),IF(Q98=예상등급!$S$1,LOOKUP(R98,예상등급!$S$5:$S$13,예상등급!$T$5:$T$13),IF(Q98=예상등급!$V$1,LOOKUP(R98,예상등급!$V$5:$V$13,예상등급!$W$5:$W$13),IF(Q98=예상등급!$Y$1,LOOKUP(R98,예상등급!$Y$5:$Y$13,예상등급!$Z$5:$Z$13),IF(Q98=예상등급!$AB$1,LOOKUP(R98,예상등급!$AB$5:$AB$13,예상등급!$AC$5:$AC$13),IF(Q98=예상등급!$AE$1,LOOKUP(R98,예상등급!$AE$5:$AE$13,예상등급!$AF$5:$AF$13),IF(Q98=예상등급!$AH$1,LOOKUP(R98,예상등급!$AH$5:$AH$13,예상등급!$AI$5:$AI$13),IF(Q98=예상등급!$AK$1,LOOKUP(R98,예상등급!$AK$5:$AK$13,예상등급!$AL$5:$AL$13),IF(Q98=예상등급!$AN$1,LOOKUP(R98,예상등급!$AN$5:$AN$13,예상등급!$AO$5:$AO$13),IF(Q98=예상등급!$AQ$1,LOOKUP(R98,예상등급!$AQ$5:$AQ$13,예상등급!$AR$5:$AR$13),IF(Q98=예상등급!$AH$15,LOOKUP(R98,예상등급!$AH$19:$AH$27,예상등급!$AI$19:$AI$27),IF(Q98=예상등급!$AK$15,LOOKUP(R98,예상등급!$AK$19:$AK$27,예상등급!$AL$19:$AL$27),IF(Q98=예상등급!$AN$15,LOOKUP(R98,예상등급!$AN$19:$AN$27,예상등급!$AO$19:$AO$27),IF(Q98=예상등급!$AQ$15,LOOKUP(R98,예상등급!$AQ$19:$AQ$27,예상등급!$AR$19:$AR$27),"")))))))))))))))))</f>
        <v>5</v>
      </c>
      <c r="T98" s="110">
        <v>39</v>
      </c>
      <c r="U98" s="382">
        <f>IF(T98="","",LOOKUP(T98,예상등급!$D$19:$D$27,예상등급!$E$19:$E$27))</f>
        <v>2</v>
      </c>
      <c r="V98" s="402">
        <f>SUM(L98,T98,R98,O98)</f>
        <v>241</v>
      </c>
      <c r="W98" s="278">
        <f>RANK(V98,$V$4:$V$491)</f>
        <v>95</v>
      </c>
    </row>
    <row r="99" spans="1:26" ht="24.95" customHeight="1" x14ac:dyDescent="0.15">
      <c r="A99" s="110">
        <v>9</v>
      </c>
      <c r="B99" s="71">
        <v>18</v>
      </c>
      <c r="C99" s="100" t="s">
        <v>976</v>
      </c>
      <c r="D99" s="110" t="s">
        <v>779</v>
      </c>
      <c r="E99" s="71">
        <v>59</v>
      </c>
      <c r="F99" s="382">
        <f>IF(D99=예상등급!$A$1,LOOKUP(E99,예상등급!$A$5:$A$13,예상등급!$B$5:$B$13),IF(D99=예상등급!$A$15,LOOKUP(E99,예상등급!$A$19:$A$27,예상등급!$B$19:$B$27),""))</f>
        <v>4</v>
      </c>
      <c r="G99" s="110" t="s">
        <v>780</v>
      </c>
      <c r="H99" s="71">
        <v>59</v>
      </c>
      <c r="I99" s="382">
        <f>IF(G99=예상등급!$G$15,LOOKUP(H99,예상등급!$G$19:$G$27,예상등급!$H$19:$H$27),IF(G99=예상등급!$J$15,LOOKUP(H99,예상등급!$J$19:$J$27,예상등급!$K$19:$K$27),IF(G99=예상등급!$M$15,LOOKUP(H99,예상등급!$M$19:$M$27,예상등급!$N$19:$N$27),"")))</f>
        <v>4</v>
      </c>
      <c r="J99" s="110">
        <v>60</v>
      </c>
      <c r="K99" s="382">
        <f>IF(J99="","",(LOOKUP(J99,예상등급!$D$5:$D$13,예상등급!$E$5:$E$13)))</f>
        <v>4</v>
      </c>
      <c r="L99" s="301">
        <f>SUM(E99,H99,J99)</f>
        <v>178</v>
      </c>
      <c r="M99" s="398">
        <f>RANK(L99,$L$4:$L$491)</f>
        <v>79</v>
      </c>
      <c r="N99" s="110" t="s">
        <v>765</v>
      </c>
      <c r="O99" s="71">
        <v>20</v>
      </c>
      <c r="P99" s="385">
        <f>IF(N99=예상등급!$G$1,LOOKUP(O99,예상등급!$G$5:$G$13,예상등급!$H$5:$H$13),IF(N99=예상등급!$J$1,LOOKUP(O99,예상등급!$J$5:$J$13,예상등급!$K$5:$K$13),IF(N99=예상등급!$M$1,LOOKUP(O99,예상등급!$M$5:$M$13,예상등급!$N$5:$N$13),IF(N99=예상등급!$P$1,LOOKUP(O99,예상등급!$P$5:$P$13,예상등급!$Q$5:$Q$13),IF(N99=예상등급!$S$1,LOOKUP(O99,예상등급!$S$5:$S$13,예상등급!$T$5:$T$13),IF(N99=예상등급!$V$1,LOOKUP(O99,예상등급!$V$5:$V$13,예상등급!$W$5:$W$13),IF(N99=예상등급!$Y$1,LOOKUP(O99,예상등급!$Y$5:$Y$13,예상등급!$Z$5:$Z$13),IF(N99=예상등급!$AB$1,LOOKUP(O99,예상등급!$AB$5:$AB$13,예상등급!$AC$5:$AC$13),IF(N99=예상등급!$AE$1,LOOKUP(O99,예상등급!$AE$5:$AE$13,예상등급!$AF$5:$AF$13),IF(N99=예상등급!$AH$1,LOOKUP(O99,예상등급!$AH$5:$AH$13,예상등급!$AI$5:$AI$13),IF(N99=예상등급!$AK$1,LOOKUP(O99,예상등급!$AK$5:$AK$13,예상등급!$AL$5:$AL$13),IF(N99=예상등급!$AN$1,LOOKUP(O99,예상등급!$AN$5:$AN$13,예상등급!$AO$5:$AO$13),IF(N99=예상등급!$AQ$1,LOOKUP(O99,예상등급!$AQ$5:$AQ$13,예상등급!$AR$5:$AR$13),IF(N99=예상등급!$AH$15,LOOKUP(O99,예상등급!$AH$19:$AH$27,예상등급!$AI$19:$AI$27),IF(N99=예상등급!$AK$15,LOOKUP(O99,예상등급!$AK$19:$AK$27,예상등급!$AL$19:$AL$27),IF(N99=예상등급!$AN$15,LOOKUP(O99,예상등급!$AN$19:$AN$27,예상등급!$AO$19:$AO$27),IF(N99=예상등급!$AQ$15,LOOKUP(O99,예상등급!$AQ$19:$AQ$27,예상등급!$AR$19:$AR$27),"")))))))))))))))))</f>
        <v>5</v>
      </c>
      <c r="Q99" s="110" t="s">
        <v>762</v>
      </c>
      <c r="R99" s="71">
        <v>23</v>
      </c>
      <c r="S99" s="385">
        <f>IF(Q99=예상등급!$G$1,LOOKUP(R99,예상등급!$G$5:$G$13,예상등급!$H$5:$H$13),IF(Q99=예상등급!$J$1,LOOKUP(R99,예상등급!$J$5:$J$13,예상등급!$K$5:$K$13),IF(Q99=예상등급!$M$1,LOOKUP(R99,예상등급!$M$5:$M$13,예상등급!$N$5:$N$13),IF(Q99=예상등급!$P$1,LOOKUP(R99,예상등급!$P$5:$P$13,예상등급!$Q$5:$Q$13),IF(Q99=예상등급!$S$1,LOOKUP(R99,예상등급!$S$5:$S$13,예상등급!$T$5:$T$13),IF(Q99=예상등급!$V$1,LOOKUP(R99,예상등급!$V$5:$V$13,예상등급!$W$5:$W$13),IF(Q99=예상등급!$Y$1,LOOKUP(R99,예상등급!$Y$5:$Y$13,예상등급!$Z$5:$Z$13),IF(Q99=예상등급!$AB$1,LOOKUP(R99,예상등급!$AB$5:$AB$13,예상등급!$AC$5:$AC$13),IF(Q99=예상등급!$AE$1,LOOKUP(R99,예상등급!$AE$5:$AE$13,예상등급!$AF$5:$AF$13),IF(Q99=예상등급!$AH$1,LOOKUP(R99,예상등급!$AH$5:$AH$13,예상등급!$AI$5:$AI$13),IF(Q99=예상등급!$AK$1,LOOKUP(R99,예상등급!$AK$5:$AK$13,예상등급!$AL$5:$AL$13),IF(Q99=예상등급!$AN$1,LOOKUP(R99,예상등급!$AN$5:$AN$13,예상등급!$AO$5:$AO$13),IF(Q99=예상등급!$AQ$1,LOOKUP(R99,예상등급!$AQ$5:$AQ$13,예상등급!$AR$5:$AR$13),IF(Q99=예상등급!$AH$15,LOOKUP(R99,예상등급!$AH$19:$AH$27,예상등급!$AI$19:$AI$27),IF(Q99=예상등급!$AK$15,LOOKUP(R99,예상등급!$AK$19:$AK$27,예상등급!$AL$19:$AL$27),IF(Q99=예상등급!$AN$15,LOOKUP(R99,예상등급!$AN$19:$AN$27,예상등급!$AO$19:$AO$27),IF(Q99=예상등급!$AQ$15,LOOKUP(R99,예상등급!$AQ$19:$AQ$27,예상등급!$AR$19:$AR$27),"")))))))))))))))))</f>
        <v>5</v>
      </c>
      <c r="T99" s="110">
        <v>20</v>
      </c>
      <c r="U99" s="382">
        <f>IF(T99="","",LOOKUP(T99,예상등급!$D$19:$D$27,예상등급!$E$19:$E$27))</f>
        <v>5</v>
      </c>
      <c r="V99" s="402">
        <f>SUM(L99,T99,R99,O99)</f>
        <v>241</v>
      </c>
      <c r="W99" s="278">
        <f>RANK(V99,$V$4:$V$491)</f>
        <v>95</v>
      </c>
    </row>
    <row r="100" spans="1:26" ht="24.95" customHeight="1" x14ac:dyDescent="0.15">
      <c r="A100" s="110">
        <v>9</v>
      </c>
      <c r="B100" s="71">
        <v>24</v>
      </c>
      <c r="C100" s="100" t="s">
        <v>981</v>
      </c>
      <c r="D100" s="110" t="s">
        <v>779</v>
      </c>
      <c r="E100" s="71">
        <v>42</v>
      </c>
      <c r="F100" s="382">
        <f>IF(D100=예상등급!$A$1,LOOKUP(E100,예상등급!$A$5:$A$13,예상등급!$B$5:$B$13),IF(D100=예상등급!$A$15,LOOKUP(E100,예상등급!$A$19:$A$27,예상등급!$B$19:$B$27),""))</f>
        <v>5</v>
      </c>
      <c r="G100" s="110" t="s">
        <v>780</v>
      </c>
      <c r="H100" s="71">
        <v>44</v>
      </c>
      <c r="I100" s="382">
        <f>IF(G100=예상등급!$G$15,LOOKUP(H100,예상등급!$G$19:$G$27,예상등급!$H$19:$H$27),IF(G100=예상등급!$J$15,LOOKUP(H100,예상등급!$J$19:$J$27,예상등급!$K$19:$K$27),IF(G100=예상등급!$M$15,LOOKUP(H100,예상등급!$M$19:$M$27,예상등급!$N$19:$N$27),"")))</f>
        <v>5</v>
      </c>
      <c r="J100" s="110">
        <v>67</v>
      </c>
      <c r="K100" s="382">
        <f>IF(J100="","",(LOOKUP(J100,예상등급!$D$5:$D$13,예상등급!$E$5:$E$13)))</f>
        <v>4</v>
      </c>
      <c r="L100" s="301">
        <f>SUM(E100,H100,J100)</f>
        <v>153</v>
      </c>
      <c r="M100" s="398">
        <f>RANK(L100,$L$4:$L$491)</f>
        <v>129</v>
      </c>
      <c r="N100" s="110" t="s">
        <v>761</v>
      </c>
      <c r="O100" s="71">
        <v>33</v>
      </c>
      <c r="P100" s="385">
        <f>IF(N100=예상등급!$G$1,LOOKUP(O100,예상등급!$G$5:$G$13,예상등급!$H$5:$H$13),IF(N100=예상등급!$J$1,LOOKUP(O100,예상등급!$J$5:$J$13,예상등급!$K$5:$K$13),IF(N100=예상등급!$M$1,LOOKUP(O100,예상등급!$M$5:$M$13,예상등급!$N$5:$N$13),IF(N100=예상등급!$P$1,LOOKUP(O100,예상등급!$P$5:$P$13,예상등급!$Q$5:$Q$13),IF(N100=예상등급!$S$1,LOOKUP(O100,예상등급!$S$5:$S$13,예상등급!$T$5:$T$13),IF(N100=예상등급!$V$1,LOOKUP(O100,예상등급!$V$5:$V$13,예상등급!$W$5:$W$13),IF(N100=예상등급!$Y$1,LOOKUP(O100,예상등급!$Y$5:$Y$13,예상등급!$Z$5:$Z$13),IF(N100=예상등급!$AB$1,LOOKUP(O100,예상등급!$AB$5:$AB$13,예상등급!$AC$5:$AC$13),IF(N100=예상등급!$AE$1,LOOKUP(O100,예상등급!$AE$5:$AE$13,예상등급!$AF$5:$AF$13),IF(N100=예상등급!$AH$1,LOOKUP(O100,예상등급!$AH$5:$AH$13,예상등급!$AI$5:$AI$13),IF(N100=예상등급!$AK$1,LOOKUP(O100,예상등급!$AK$5:$AK$13,예상등급!$AL$5:$AL$13),IF(N100=예상등급!$AN$1,LOOKUP(O100,예상등급!$AN$5:$AN$13,예상등급!$AO$5:$AO$13),IF(N100=예상등급!$AQ$1,LOOKUP(O100,예상등급!$AQ$5:$AQ$13,예상등급!$AR$5:$AR$13),IF(N100=예상등급!$AH$15,LOOKUP(O100,예상등급!$AH$19:$AH$27,예상등급!$AI$19:$AI$27),IF(N100=예상등급!$AK$15,LOOKUP(O100,예상등급!$AK$19:$AK$27,예상등급!$AL$19:$AL$27),IF(N100=예상등급!$AN$15,LOOKUP(O100,예상등급!$AN$19:$AN$27,예상등급!$AO$19:$AO$27),IF(N100=예상등급!$AQ$15,LOOKUP(O100,예상등급!$AQ$19:$AQ$27,예상등급!$AR$19:$AR$27),"")))))))))))))))))</f>
        <v>3</v>
      </c>
      <c r="Q100" s="110" t="s">
        <v>762</v>
      </c>
      <c r="R100" s="71">
        <v>25</v>
      </c>
      <c r="S100" s="385">
        <f>IF(Q100=예상등급!$G$1,LOOKUP(R100,예상등급!$G$5:$G$13,예상등급!$H$5:$H$13),IF(Q100=예상등급!$J$1,LOOKUP(R100,예상등급!$J$5:$J$13,예상등급!$K$5:$K$13),IF(Q100=예상등급!$M$1,LOOKUP(R100,예상등급!$M$5:$M$13,예상등급!$N$5:$N$13),IF(Q100=예상등급!$P$1,LOOKUP(R100,예상등급!$P$5:$P$13,예상등급!$Q$5:$Q$13),IF(Q100=예상등급!$S$1,LOOKUP(R100,예상등급!$S$5:$S$13,예상등급!$T$5:$T$13),IF(Q100=예상등급!$V$1,LOOKUP(R100,예상등급!$V$5:$V$13,예상등급!$W$5:$W$13),IF(Q100=예상등급!$Y$1,LOOKUP(R100,예상등급!$Y$5:$Y$13,예상등급!$Z$5:$Z$13),IF(Q100=예상등급!$AB$1,LOOKUP(R100,예상등급!$AB$5:$AB$13,예상등급!$AC$5:$AC$13),IF(Q100=예상등급!$AE$1,LOOKUP(R100,예상등급!$AE$5:$AE$13,예상등급!$AF$5:$AF$13),IF(Q100=예상등급!$AH$1,LOOKUP(R100,예상등급!$AH$5:$AH$13,예상등급!$AI$5:$AI$13),IF(Q100=예상등급!$AK$1,LOOKUP(R100,예상등급!$AK$5:$AK$13,예상등급!$AL$5:$AL$13),IF(Q100=예상등급!$AN$1,LOOKUP(R100,예상등급!$AN$5:$AN$13,예상등급!$AO$5:$AO$13),IF(Q100=예상등급!$AQ$1,LOOKUP(R100,예상등급!$AQ$5:$AQ$13,예상등급!$AR$5:$AR$13),IF(Q100=예상등급!$AH$15,LOOKUP(R100,예상등급!$AH$19:$AH$27,예상등급!$AI$19:$AI$27),IF(Q100=예상등급!$AK$15,LOOKUP(R100,예상등급!$AK$19:$AK$27,예상등급!$AL$19:$AL$27),IF(Q100=예상등급!$AN$15,LOOKUP(R100,예상등급!$AN$19:$AN$27,예상등급!$AO$19:$AO$27),IF(Q100=예상등급!$AQ$15,LOOKUP(R100,예상등급!$AQ$19:$AQ$27,예상등급!$AR$19:$AR$27),"")))))))))))))))))</f>
        <v>5</v>
      </c>
      <c r="T100" s="110">
        <v>30</v>
      </c>
      <c r="U100" s="382">
        <f>IF(T100="","",LOOKUP(T100,예상등급!$D$19:$D$27,예상등급!$E$19:$E$27))</f>
        <v>3</v>
      </c>
      <c r="V100" s="402">
        <f>SUM(L100,T100,R100,O100)</f>
        <v>241</v>
      </c>
      <c r="W100" s="278">
        <f>RANK(V100,$V$4:$V$491)</f>
        <v>95</v>
      </c>
    </row>
    <row r="101" spans="1:26" ht="24.95" customHeight="1" x14ac:dyDescent="0.15">
      <c r="A101" s="110">
        <v>1</v>
      </c>
      <c r="B101" s="71">
        <v>11</v>
      </c>
      <c r="C101" s="100" t="s">
        <v>807</v>
      </c>
      <c r="D101" s="110" t="s">
        <v>779</v>
      </c>
      <c r="E101" s="71">
        <v>45</v>
      </c>
      <c r="F101" s="382">
        <f>IF(D101=예상등급!$A$1,LOOKUP(E101,예상등급!$A$5:$A$13,예상등급!$B$5:$B$13),IF(D101=예상등급!$A$15,LOOKUP(E101,예상등급!$A$19:$A$27,예상등급!$B$19:$B$27),""))</f>
        <v>5</v>
      </c>
      <c r="G101" s="110" t="s">
        <v>781</v>
      </c>
      <c r="H101" s="71">
        <v>43</v>
      </c>
      <c r="I101" s="382">
        <f>IF(G101=예상등급!$G$15,LOOKUP(H101,예상등급!$G$19:$G$27,예상등급!$H$19:$H$27),IF(G101=예상등급!$J$15,LOOKUP(H101,예상등급!$J$19:$J$27,예상등급!$K$19:$K$27),IF(G101=예상등급!$M$15,LOOKUP(H101,예상등급!$M$19:$M$27,예상등급!$N$19:$N$27),"")))</f>
        <v>5</v>
      </c>
      <c r="J101" s="110">
        <v>80</v>
      </c>
      <c r="K101" s="382">
        <f>IF(J101="","",(LOOKUP(J101,예상등급!$D$5:$D$13,예상등급!$E$5:$E$13)))</f>
        <v>2</v>
      </c>
      <c r="L101" s="301">
        <f>SUM(E101,H101,J101)</f>
        <v>168</v>
      </c>
      <c r="M101" s="398">
        <f>RANK(L101,$L$4:$L$491)</f>
        <v>96</v>
      </c>
      <c r="N101" s="110" t="s">
        <v>761</v>
      </c>
      <c r="O101" s="71">
        <v>39</v>
      </c>
      <c r="P101" s="385">
        <f>IF(N101=예상등급!$G$1,LOOKUP(O101,예상등급!$G$5:$G$13,예상등급!$H$5:$H$13),IF(N101=예상등급!$J$1,LOOKUP(O101,예상등급!$J$5:$J$13,예상등급!$K$5:$K$13),IF(N101=예상등급!$M$1,LOOKUP(O101,예상등급!$M$5:$M$13,예상등급!$N$5:$N$13),IF(N101=예상등급!$P$1,LOOKUP(O101,예상등급!$P$5:$P$13,예상등급!$Q$5:$Q$13),IF(N101=예상등급!$S$1,LOOKUP(O101,예상등급!$S$5:$S$13,예상등급!$T$5:$T$13),IF(N101=예상등급!$V$1,LOOKUP(O101,예상등급!$V$5:$V$13,예상등급!$W$5:$W$13),IF(N101=예상등급!$Y$1,LOOKUP(O101,예상등급!$Y$5:$Y$13,예상등급!$Z$5:$Z$13),IF(N101=예상등급!$AB$1,LOOKUP(O101,예상등급!$AB$5:$AB$13,예상등급!$AC$5:$AC$13),IF(N101=예상등급!$AE$1,LOOKUP(O101,예상등급!$AE$5:$AE$13,예상등급!$AF$5:$AF$13),IF(N101=예상등급!$AH$1,LOOKUP(O101,예상등급!$AH$5:$AH$13,예상등급!$AI$5:$AI$13),IF(N101=예상등급!$AK$1,LOOKUP(O101,예상등급!$AK$5:$AK$13,예상등급!$AL$5:$AL$13),IF(N101=예상등급!$AN$1,LOOKUP(O101,예상등급!$AN$5:$AN$13,예상등급!$AO$5:$AO$13),IF(N101=예상등급!$AQ$1,LOOKUP(O101,예상등급!$AQ$5:$AQ$13,예상등급!$AR$5:$AR$13),IF(N101=예상등급!$AH$15,LOOKUP(O101,예상등급!$AH$19:$AH$27,예상등급!$AI$19:$AI$27),IF(N101=예상등급!$AK$15,LOOKUP(O101,예상등급!$AK$19:$AK$27,예상등급!$AL$19:$AL$27),IF(N101=예상등급!$AN$15,LOOKUP(O101,예상등급!$AN$19:$AN$27,예상등급!$AO$19:$AO$27),IF(N101=예상등급!$AQ$15,LOOKUP(O101,예상등급!$AQ$19:$AQ$27,예상등급!$AR$19:$AR$27),"")))))))))))))))))</f>
        <v>2</v>
      </c>
      <c r="Q101" s="110" t="s">
        <v>772</v>
      </c>
      <c r="R101" s="71">
        <v>24</v>
      </c>
      <c r="S101" s="385">
        <f>IF(Q101=예상등급!$G$1,LOOKUP(R101,예상등급!$G$5:$G$13,예상등급!$H$5:$H$13),IF(Q101=예상등급!$J$1,LOOKUP(R101,예상등급!$J$5:$J$13,예상등급!$K$5:$K$13),IF(Q101=예상등급!$M$1,LOOKUP(R101,예상등급!$M$5:$M$13,예상등급!$N$5:$N$13),IF(Q101=예상등급!$P$1,LOOKUP(R101,예상등급!$P$5:$P$13,예상등급!$Q$5:$Q$13),IF(Q101=예상등급!$S$1,LOOKUP(R101,예상등급!$S$5:$S$13,예상등급!$T$5:$T$13),IF(Q101=예상등급!$V$1,LOOKUP(R101,예상등급!$V$5:$V$13,예상등급!$W$5:$W$13),IF(Q101=예상등급!$Y$1,LOOKUP(R101,예상등급!$Y$5:$Y$13,예상등급!$Z$5:$Z$13),IF(Q101=예상등급!$AB$1,LOOKUP(R101,예상등급!$AB$5:$AB$13,예상등급!$AC$5:$AC$13),IF(Q101=예상등급!$AE$1,LOOKUP(R101,예상등급!$AE$5:$AE$13,예상등급!$AF$5:$AF$13),IF(Q101=예상등급!$AH$1,LOOKUP(R101,예상등급!$AH$5:$AH$13,예상등급!$AI$5:$AI$13),IF(Q101=예상등급!$AK$1,LOOKUP(R101,예상등급!$AK$5:$AK$13,예상등급!$AL$5:$AL$13),IF(Q101=예상등급!$AN$1,LOOKUP(R101,예상등급!$AN$5:$AN$13,예상등급!$AO$5:$AO$13),IF(Q101=예상등급!$AQ$1,LOOKUP(R101,예상등급!$AQ$5:$AQ$13,예상등급!$AR$5:$AR$13),IF(Q101=예상등급!$AH$15,LOOKUP(R101,예상등급!$AH$19:$AH$27,예상등급!$AI$19:$AI$27),IF(Q101=예상등급!$AK$15,LOOKUP(R101,예상등급!$AK$19:$AK$27,예상등급!$AL$19:$AL$27),IF(Q101=예상등급!$AN$15,LOOKUP(R101,예상등급!$AN$19:$AN$27,예상등급!$AO$19:$AO$27),IF(Q101=예상등급!$AQ$15,LOOKUP(R101,예상등급!$AQ$19:$AQ$27,예상등급!$AR$19:$AR$27),"")))))))))))))))))</f>
        <v>4</v>
      </c>
      <c r="T101" s="110">
        <v>8</v>
      </c>
      <c r="U101" s="382">
        <f>IF(T101="","",LOOKUP(T101,예상등급!$D$19:$D$27,예상등급!$E$19:$E$27))</f>
        <v>8</v>
      </c>
      <c r="V101" s="402">
        <f>SUM(L101,T101,R101,O101)</f>
        <v>239</v>
      </c>
      <c r="W101" s="278">
        <f>RANK(V101,$V$4:$V$491)</f>
        <v>98</v>
      </c>
    </row>
    <row r="102" spans="1:26" ht="24.95" customHeight="1" x14ac:dyDescent="0.15">
      <c r="A102" s="110">
        <v>7</v>
      </c>
      <c r="B102" s="71">
        <v>6</v>
      </c>
      <c r="C102" s="100" t="s">
        <v>921</v>
      </c>
      <c r="D102" s="110" t="s">
        <v>779</v>
      </c>
      <c r="E102" s="71">
        <v>53</v>
      </c>
      <c r="F102" s="382">
        <f>IF(D102=예상등급!$A$1,LOOKUP(E102,예상등급!$A$5:$A$13,예상등급!$B$5:$B$13),IF(D102=예상등급!$A$15,LOOKUP(E102,예상등급!$A$19:$A$27,예상등급!$B$19:$B$27),""))</f>
        <v>4</v>
      </c>
      <c r="G102" s="110" t="s">
        <v>781</v>
      </c>
      <c r="H102" s="71">
        <v>44</v>
      </c>
      <c r="I102" s="382">
        <f>IF(G102=예상등급!$G$15,LOOKUP(H102,예상등급!$G$19:$G$27,예상등급!$H$19:$H$27),IF(G102=예상등급!$J$15,LOOKUP(H102,예상등급!$J$19:$J$27,예상등급!$K$19:$K$27),IF(G102=예상등급!$M$15,LOOKUP(H102,예상등급!$M$19:$M$27,예상등급!$N$19:$N$27),"")))</f>
        <v>5</v>
      </c>
      <c r="J102" s="110">
        <v>64</v>
      </c>
      <c r="K102" s="382">
        <f>IF(J102="","",(LOOKUP(J102,예상등급!$D$5:$D$13,예상등급!$E$5:$E$13)))</f>
        <v>4</v>
      </c>
      <c r="L102" s="301">
        <f>SUM(E102,H102,J102)</f>
        <v>161</v>
      </c>
      <c r="M102" s="398">
        <f>RANK(L102,$L$4:$L$491)</f>
        <v>110</v>
      </c>
      <c r="N102" s="110" t="s">
        <v>761</v>
      </c>
      <c r="O102" s="71">
        <v>26</v>
      </c>
      <c r="P102" s="385">
        <f>IF(N102=예상등급!$G$1,LOOKUP(O102,예상등급!$G$5:$G$13,예상등급!$H$5:$H$13),IF(N102=예상등급!$J$1,LOOKUP(O102,예상등급!$J$5:$J$13,예상등급!$K$5:$K$13),IF(N102=예상등급!$M$1,LOOKUP(O102,예상등급!$M$5:$M$13,예상등급!$N$5:$N$13),IF(N102=예상등급!$P$1,LOOKUP(O102,예상등급!$P$5:$P$13,예상등급!$Q$5:$Q$13),IF(N102=예상등급!$S$1,LOOKUP(O102,예상등급!$S$5:$S$13,예상등급!$T$5:$T$13),IF(N102=예상등급!$V$1,LOOKUP(O102,예상등급!$V$5:$V$13,예상등급!$W$5:$W$13),IF(N102=예상등급!$Y$1,LOOKUP(O102,예상등급!$Y$5:$Y$13,예상등급!$Z$5:$Z$13),IF(N102=예상등급!$AB$1,LOOKUP(O102,예상등급!$AB$5:$AB$13,예상등급!$AC$5:$AC$13),IF(N102=예상등급!$AE$1,LOOKUP(O102,예상등급!$AE$5:$AE$13,예상등급!$AF$5:$AF$13),IF(N102=예상등급!$AH$1,LOOKUP(O102,예상등급!$AH$5:$AH$13,예상등급!$AI$5:$AI$13),IF(N102=예상등급!$AK$1,LOOKUP(O102,예상등급!$AK$5:$AK$13,예상등급!$AL$5:$AL$13),IF(N102=예상등급!$AN$1,LOOKUP(O102,예상등급!$AN$5:$AN$13,예상등급!$AO$5:$AO$13),IF(N102=예상등급!$AQ$1,LOOKUP(O102,예상등급!$AQ$5:$AQ$13,예상등급!$AR$5:$AR$13),IF(N102=예상등급!$AH$15,LOOKUP(O102,예상등급!$AH$19:$AH$27,예상등급!$AI$19:$AI$27),IF(N102=예상등급!$AK$15,LOOKUP(O102,예상등급!$AK$19:$AK$27,예상등급!$AL$19:$AL$27),IF(N102=예상등급!$AN$15,LOOKUP(O102,예상등급!$AN$19:$AN$27,예상등급!$AO$19:$AO$27),IF(N102=예상등급!$AQ$15,LOOKUP(O102,예상등급!$AQ$19:$AQ$27,예상등급!$AR$19:$AR$27),"")))))))))))))))))</f>
        <v>4</v>
      </c>
      <c r="Q102" s="110" t="s">
        <v>762</v>
      </c>
      <c r="R102" s="71">
        <v>23</v>
      </c>
      <c r="S102" s="385">
        <f>IF(Q102=예상등급!$G$1,LOOKUP(R102,예상등급!$G$5:$G$13,예상등급!$H$5:$H$13),IF(Q102=예상등급!$J$1,LOOKUP(R102,예상등급!$J$5:$J$13,예상등급!$K$5:$K$13),IF(Q102=예상등급!$M$1,LOOKUP(R102,예상등급!$M$5:$M$13,예상등급!$N$5:$N$13),IF(Q102=예상등급!$P$1,LOOKUP(R102,예상등급!$P$5:$P$13,예상등급!$Q$5:$Q$13),IF(Q102=예상등급!$S$1,LOOKUP(R102,예상등급!$S$5:$S$13,예상등급!$T$5:$T$13),IF(Q102=예상등급!$V$1,LOOKUP(R102,예상등급!$V$5:$V$13,예상등급!$W$5:$W$13),IF(Q102=예상등급!$Y$1,LOOKUP(R102,예상등급!$Y$5:$Y$13,예상등급!$Z$5:$Z$13),IF(Q102=예상등급!$AB$1,LOOKUP(R102,예상등급!$AB$5:$AB$13,예상등급!$AC$5:$AC$13),IF(Q102=예상등급!$AE$1,LOOKUP(R102,예상등급!$AE$5:$AE$13,예상등급!$AF$5:$AF$13),IF(Q102=예상등급!$AH$1,LOOKUP(R102,예상등급!$AH$5:$AH$13,예상등급!$AI$5:$AI$13),IF(Q102=예상등급!$AK$1,LOOKUP(R102,예상등급!$AK$5:$AK$13,예상등급!$AL$5:$AL$13),IF(Q102=예상등급!$AN$1,LOOKUP(R102,예상등급!$AN$5:$AN$13,예상등급!$AO$5:$AO$13),IF(Q102=예상등급!$AQ$1,LOOKUP(R102,예상등급!$AQ$5:$AQ$13,예상등급!$AR$5:$AR$13),IF(Q102=예상등급!$AH$15,LOOKUP(R102,예상등급!$AH$19:$AH$27,예상등급!$AI$19:$AI$27),IF(Q102=예상등급!$AK$15,LOOKUP(R102,예상등급!$AK$19:$AK$27,예상등급!$AL$19:$AL$27),IF(Q102=예상등급!$AN$15,LOOKUP(R102,예상등급!$AN$19:$AN$27,예상등급!$AO$19:$AO$27),IF(Q102=예상등급!$AQ$15,LOOKUP(R102,예상등급!$AQ$19:$AQ$27,예상등급!$AR$19:$AR$27),"")))))))))))))))))</f>
        <v>5</v>
      </c>
      <c r="T102" s="110">
        <v>29</v>
      </c>
      <c r="U102" s="382">
        <f>IF(T102="","",LOOKUP(T102,예상등급!$D$19:$D$27,예상등급!$E$19:$E$27))</f>
        <v>4</v>
      </c>
      <c r="V102" s="402">
        <f>SUM(L102,T102,R102,O102)</f>
        <v>239</v>
      </c>
      <c r="W102" s="278">
        <f>RANK(V102,$V$4:$V$491)</f>
        <v>98</v>
      </c>
      <c r="Y102" s="149"/>
      <c r="Z102" s="149"/>
    </row>
    <row r="103" spans="1:26" ht="24.95" customHeight="1" x14ac:dyDescent="0.15">
      <c r="A103" s="110">
        <v>2</v>
      </c>
      <c r="B103" s="71">
        <v>19</v>
      </c>
      <c r="C103" s="100" t="s">
        <v>836</v>
      </c>
      <c r="D103" s="110" t="s">
        <v>779</v>
      </c>
      <c r="E103" s="71">
        <v>54</v>
      </c>
      <c r="F103" s="382">
        <f>IF(D103=예상등급!$A$1,LOOKUP(E103,예상등급!$A$5:$A$13,예상등급!$B$5:$B$13),IF(D103=예상등급!$A$15,LOOKUP(E103,예상등급!$A$19:$A$27,예상등급!$B$19:$B$27),""))</f>
        <v>4</v>
      </c>
      <c r="G103" s="110" t="s">
        <v>780</v>
      </c>
      <c r="H103" s="71">
        <v>69</v>
      </c>
      <c r="I103" s="382">
        <f>IF(G103=예상등급!$G$15,LOOKUP(H103,예상등급!$G$19:$G$27,예상등급!$H$19:$H$27),IF(G103=예상등급!$J$15,LOOKUP(H103,예상등급!$J$19:$J$27,예상등급!$K$19:$K$27),IF(G103=예상등급!$M$15,LOOKUP(H103,예상등급!$M$19:$M$27,예상등급!$N$19:$N$27),"")))</f>
        <v>3</v>
      </c>
      <c r="J103" s="110">
        <v>66</v>
      </c>
      <c r="K103" s="382">
        <f>IF(J103="","",(LOOKUP(J103,예상등급!$D$5:$D$13,예상등급!$E$5:$E$13)))</f>
        <v>4</v>
      </c>
      <c r="L103" s="301">
        <f>SUM(E103,H103,J103)</f>
        <v>189</v>
      </c>
      <c r="M103" s="398">
        <f>RANK(L103,$L$4:$L$491)</f>
        <v>63</v>
      </c>
      <c r="N103" s="110" t="s">
        <v>761</v>
      </c>
      <c r="O103" s="71">
        <v>21</v>
      </c>
      <c r="P103" s="385">
        <f>IF(N103=예상등급!$G$1,LOOKUP(O103,예상등급!$G$5:$G$13,예상등급!$H$5:$H$13),IF(N103=예상등급!$J$1,LOOKUP(O103,예상등급!$J$5:$J$13,예상등급!$K$5:$K$13),IF(N103=예상등급!$M$1,LOOKUP(O103,예상등급!$M$5:$M$13,예상등급!$N$5:$N$13),IF(N103=예상등급!$P$1,LOOKUP(O103,예상등급!$P$5:$P$13,예상등급!$Q$5:$Q$13),IF(N103=예상등급!$S$1,LOOKUP(O103,예상등급!$S$5:$S$13,예상등급!$T$5:$T$13),IF(N103=예상등급!$V$1,LOOKUP(O103,예상등급!$V$5:$V$13,예상등급!$W$5:$W$13),IF(N103=예상등급!$Y$1,LOOKUP(O103,예상등급!$Y$5:$Y$13,예상등급!$Z$5:$Z$13),IF(N103=예상등급!$AB$1,LOOKUP(O103,예상등급!$AB$5:$AB$13,예상등급!$AC$5:$AC$13),IF(N103=예상등급!$AE$1,LOOKUP(O103,예상등급!$AE$5:$AE$13,예상등급!$AF$5:$AF$13),IF(N103=예상등급!$AH$1,LOOKUP(O103,예상등급!$AH$5:$AH$13,예상등급!$AI$5:$AI$13),IF(N103=예상등급!$AK$1,LOOKUP(O103,예상등급!$AK$5:$AK$13,예상등급!$AL$5:$AL$13),IF(N103=예상등급!$AN$1,LOOKUP(O103,예상등급!$AN$5:$AN$13,예상등급!$AO$5:$AO$13),IF(N103=예상등급!$AQ$1,LOOKUP(O103,예상등급!$AQ$5:$AQ$13,예상등급!$AR$5:$AR$13),IF(N103=예상등급!$AH$15,LOOKUP(O103,예상등급!$AH$19:$AH$27,예상등급!$AI$19:$AI$27),IF(N103=예상등급!$AK$15,LOOKUP(O103,예상등급!$AK$19:$AK$27,예상등급!$AL$19:$AL$27),IF(N103=예상등급!$AN$15,LOOKUP(O103,예상등급!$AN$19:$AN$27,예상등급!$AO$19:$AO$27),IF(N103=예상등급!$AQ$15,LOOKUP(O103,예상등급!$AQ$19:$AQ$27,예상등급!$AR$19:$AR$27),"")))))))))))))))))</f>
        <v>5</v>
      </c>
      <c r="Q103" s="110" t="s">
        <v>762</v>
      </c>
      <c r="R103" s="71">
        <v>15</v>
      </c>
      <c r="S103" s="385">
        <f>IF(Q103=예상등급!$G$1,LOOKUP(R103,예상등급!$G$5:$G$13,예상등급!$H$5:$H$13),IF(Q103=예상등급!$J$1,LOOKUP(R103,예상등급!$J$5:$J$13,예상등급!$K$5:$K$13),IF(Q103=예상등급!$M$1,LOOKUP(R103,예상등급!$M$5:$M$13,예상등급!$N$5:$N$13),IF(Q103=예상등급!$P$1,LOOKUP(R103,예상등급!$P$5:$P$13,예상등급!$Q$5:$Q$13),IF(Q103=예상등급!$S$1,LOOKUP(R103,예상등급!$S$5:$S$13,예상등급!$T$5:$T$13),IF(Q103=예상등급!$V$1,LOOKUP(R103,예상등급!$V$5:$V$13,예상등급!$W$5:$W$13),IF(Q103=예상등급!$Y$1,LOOKUP(R103,예상등급!$Y$5:$Y$13,예상등급!$Z$5:$Z$13),IF(Q103=예상등급!$AB$1,LOOKUP(R103,예상등급!$AB$5:$AB$13,예상등급!$AC$5:$AC$13),IF(Q103=예상등급!$AE$1,LOOKUP(R103,예상등급!$AE$5:$AE$13,예상등급!$AF$5:$AF$13),IF(Q103=예상등급!$AH$1,LOOKUP(R103,예상등급!$AH$5:$AH$13,예상등급!$AI$5:$AI$13),IF(Q103=예상등급!$AK$1,LOOKUP(R103,예상등급!$AK$5:$AK$13,예상등급!$AL$5:$AL$13),IF(Q103=예상등급!$AN$1,LOOKUP(R103,예상등급!$AN$5:$AN$13,예상등급!$AO$5:$AO$13),IF(Q103=예상등급!$AQ$1,LOOKUP(R103,예상등급!$AQ$5:$AQ$13,예상등급!$AR$5:$AR$13),IF(Q103=예상등급!$AH$15,LOOKUP(R103,예상등급!$AH$19:$AH$27,예상등급!$AI$19:$AI$27),IF(Q103=예상등급!$AK$15,LOOKUP(R103,예상등급!$AK$19:$AK$27,예상등급!$AL$19:$AL$27),IF(Q103=예상등급!$AN$15,LOOKUP(R103,예상등급!$AN$19:$AN$27,예상등급!$AO$19:$AO$27),IF(Q103=예상등급!$AQ$15,LOOKUP(R103,예상등급!$AQ$19:$AQ$27,예상등급!$AR$19:$AR$27),"")))))))))))))))))</f>
        <v>6</v>
      </c>
      <c r="T103" s="110">
        <v>13</v>
      </c>
      <c r="U103" s="382">
        <f>IF(T103="","",LOOKUP(T103,예상등급!$D$19:$D$27,예상등급!$E$19:$E$27))</f>
        <v>7</v>
      </c>
      <c r="V103" s="402">
        <f>SUM(L103,T103,R103,O103)</f>
        <v>238</v>
      </c>
      <c r="W103" s="278">
        <f>RANK(V103,$V$4:$V$491)</f>
        <v>100</v>
      </c>
    </row>
    <row r="104" spans="1:26" ht="24.95" customHeight="1" x14ac:dyDescent="0.15">
      <c r="A104" s="110">
        <v>10</v>
      </c>
      <c r="B104" s="71">
        <v>11</v>
      </c>
      <c r="C104" s="100" t="s">
        <v>994</v>
      </c>
      <c r="D104" s="110" t="s">
        <v>779</v>
      </c>
      <c r="E104" s="71">
        <v>57</v>
      </c>
      <c r="F104" s="382">
        <f>IF(D104=예상등급!$A$1,LOOKUP(E104,예상등급!$A$5:$A$13,예상등급!$B$5:$B$13),IF(D104=예상등급!$A$15,LOOKUP(E104,예상등급!$A$19:$A$27,예상등급!$B$19:$B$27),""))</f>
        <v>4</v>
      </c>
      <c r="G104" s="110" t="s">
        <v>780</v>
      </c>
      <c r="H104" s="71">
        <v>42</v>
      </c>
      <c r="I104" s="382">
        <f>IF(G104=예상등급!$G$15,LOOKUP(H104,예상등급!$G$19:$G$27,예상등급!$H$19:$H$27),IF(G104=예상등급!$J$15,LOOKUP(H104,예상등급!$J$19:$J$27,예상등급!$K$19:$K$27),IF(G104=예상등급!$M$15,LOOKUP(H104,예상등급!$M$19:$M$27,예상등급!$N$19:$N$27),"")))</f>
        <v>5</v>
      </c>
      <c r="J104" s="110">
        <v>74</v>
      </c>
      <c r="K104" s="382">
        <f>IF(J104="","",(LOOKUP(J104,예상등급!$D$5:$D$13,예상등급!$E$5:$E$13)))</f>
        <v>3</v>
      </c>
      <c r="L104" s="301">
        <f>SUM(E104,H104,J104)</f>
        <v>173</v>
      </c>
      <c r="M104" s="398">
        <f>RANK(L104,$L$4:$L$491)</f>
        <v>91</v>
      </c>
      <c r="N104" s="110" t="s">
        <v>761</v>
      </c>
      <c r="O104" s="71">
        <v>17</v>
      </c>
      <c r="P104" s="385">
        <f>IF(N104=예상등급!$G$1,LOOKUP(O104,예상등급!$G$5:$G$13,예상등급!$H$5:$H$13),IF(N104=예상등급!$J$1,LOOKUP(O104,예상등급!$J$5:$J$13,예상등급!$K$5:$K$13),IF(N104=예상등급!$M$1,LOOKUP(O104,예상등급!$M$5:$M$13,예상등급!$N$5:$N$13),IF(N104=예상등급!$P$1,LOOKUP(O104,예상등급!$P$5:$P$13,예상등급!$Q$5:$Q$13),IF(N104=예상등급!$S$1,LOOKUP(O104,예상등급!$S$5:$S$13,예상등급!$T$5:$T$13),IF(N104=예상등급!$V$1,LOOKUP(O104,예상등급!$V$5:$V$13,예상등급!$W$5:$W$13),IF(N104=예상등급!$Y$1,LOOKUP(O104,예상등급!$Y$5:$Y$13,예상등급!$Z$5:$Z$13),IF(N104=예상등급!$AB$1,LOOKUP(O104,예상등급!$AB$5:$AB$13,예상등급!$AC$5:$AC$13),IF(N104=예상등급!$AE$1,LOOKUP(O104,예상등급!$AE$5:$AE$13,예상등급!$AF$5:$AF$13),IF(N104=예상등급!$AH$1,LOOKUP(O104,예상등급!$AH$5:$AH$13,예상등급!$AI$5:$AI$13),IF(N104=예상등급!$AK$1,LOOKUP(O104,예상등급!$AK$5:$AK$13,예상등급!$AL$5:$AL$13),IF(N104=예상등급!$AN$1,LOOKUP(O104,예상등급!$AN$5:$AN$13,예상등급!$AO$5:$AO$13),IF(N104=예상등급!$AQ$1,LOOKUP(O104,예상등급!$AQ$5:$AQ$13,예상등급!$AR$5:$AR$13),IF(N104=예상등급!$AH$15,LOOKUP(O104,예상등급!$AH$19:$AH$27,예상등급!$AI$19:$AI$27),IF(N104=예상등급!$AK$15,LOOKUP(O104,예상등급!$AK$19:$AK$27,예상등급!$AL$19:$AL$27),IF(N104=예상등급!$AN$15,LOOKUP(O104,예상등급!$AN$19:$AN$27,예상등급!$AO$19:$AO$27),IF(N104=예상등급!$AQ$15,LOOKUP(O104,예상등급!$AQ$19:$AQ$27,예상등급!$AR$19:$AR$27),"")))))))))))))))))</f>
        <v>6</v>
      </c>
      <c r="Q104" s="110" t="s">
        <v>762</v>
      </c>
      <c r="R104" s="71">
        <v>30</v>
      </c>
      <c r="S104" s="385">
        <f>IF(Q104=예상등급!$G$1,LOOKUP(R104,예상등급!$G$5:$G$13,예상등급!$H$5:$H$13),IF(Q104=예상등급!$J$1,LOOKUP(R104,예상등급!$J$5:$J$13,예상등급!$K$5:$K$13),IF(Q104=예상등급!$M$1,LOOKUP(R104,예상등급!$M$5:$M$13,예상등급!$N$5:$N$13),IF(Q104=예상등급!$P$1,LOOKUP(R104,예상등급!$P$5:$P$13,예상등급!$Q$5:$Q$13),IF(Q104=예상등급!$S$1,LOOKUP(R104,예상등급!$S$5:$S$13,예상등급!$T$5:$T$13),IF(Q104=예상등급!$V$1,LOOKUP(R104,예상등급!$V$5:$V$13,예상등급!$W$5:$W$13),IF(Q104=예상등급!$Y$1,LOOKUP(R104,예상등급!$Y$5:$Y$13,예상등급!$Z$5:$Z$13),IF(Q104=예상등급!$AB$1,LOOKUP(R104,예상등급!$AB$5:$AB$13,예상등급!$AC$5:$AC$13),IF(Q104=예상등급!$AE$1,LOOKUP(R104,예상등급!$AE$5:$AE$13,예상등급!$AF$5:$AF$13),IF(Q104=예상등급!$AH$1,LOOKUP(R104,예상등급!$AH$5:$AH$13,예상등급!$AI$5:$AI$13),IF(Q104=예상등급!$AK$1,LOOKUP(R104,예상등급!$AK$5:$AK$13,예상등급!$AL$5:$AL$13),IF(Q104=예상등급!$AN$1,LOOKUP(R104,예상등급!$AN$5:$AN$13,예상등급!$AO$5:$AO$13),IF(Q104=예상등급!$AQ$1,LOOKUP(R104,예상등급!$AQ$5:$AQ$13,예상등급!$AR$5:$AR$13),IF(Q104=예상등급!$AH$15,LOOKUP(R104,예상등급!$AH$19:$AH$27,예상등급!$AI$19:$AI$27),IF(Q104=예상등급!$AK$15,LOOKUP(R104,예상등급!$AK$19:$AK$27,예상등급!$AL$19:$AL$27),IF(Q104=예상등급!$AN$15,LOOKUP(R104,예상등급!$AN$19:$AN$27,예상등급!$AO$19:$AO$27),IF(Q104=예상등급!$AQ$15,LOOKUP(R104,예상등급!$AQ$19:$AQ$27,예상등급!$AR$19:$AR$27),"")))))))))))))))))</f>
        <v>4</v>
      </c>
      <c r="T104" s="110">
        <v>18</v>
      </c>
      <c r="U104" s="382">
        <f>IF(T104="","",LOOKUP(T104,예상등급!$D$19:$D$27,예상등급!$E$19:$E$27))</f>
        <v>6</v>
      </c>
      <c r="V104" s="402">
        <f>SUM(L104,T104,R104,O104)</f>
        <v>238</v>
      </c>
      <c r="W104" s="278">
        <f>RANK(V104,$V$4:$V$491)</f>
        <v>100</v>
      </c>
    </row>
    <row r="105" spans="1:26" ht="24.95" customHeight="1" x14ac:dyDescent="0.15">
      <c r="A105" s="110">
        <v>5</v>
      </c>
      <c r="B105" s="71">
        <v>5</v>
      </c>
      <c r="C105" s="100" t="s">
        <v>878</v>
      </c>
      <c r="D105" s="110" t="s">
        <v>779</v>
      </c>
      <c r="E105" s="71">
        <v>55</v>
      </c>
      <c r="F105" s="382">
        <f>IF(D105=예상등급!$A$1,LOOKUP(E105,예상등급!$A$5:$A$13,예상등급!$B$5:$B$13),IF(D105=예상등급!$A$15,LOOKUP(E105,예상등급!$A$19:$A$27,예상등급!$B$19:$B$27),""))</f>
        <v>4</v>
      </c>
      <c r="G105" s="110" t="s">
        <v>780</v>
      </c>
      <c r="H105" s="71">
        <v>41</v>
      </c>
      <c r="I105" s="382">
        <f>IF(G105=예상등급!$G$15,LOOKUP(H105,예상등급!$G$19:$G$27,예상등급!$H$19:$H$27),IF(G105=예상등급!$J$15,LOOKUP(H105,예상등급!$J$19:$J$27,예상등급!$K$19:$K$27),IF(G105=예상등급!$M$15,LOOKUP(H105,예상등급!$M$19:$M$27,예상등급!$N$19:$N$27),"")))</f>
        <v>5</v>
      </c>
      <c r="J105" s="110">
        <v>80</v>
      </c>
      <c r="K105" s="382">
        <f>IF(J105="","",(LOOKUP(J105,예상등급!$D$5:$D$13,예상등급!$E$5:$E$13)))</f>
        <v>2</v>
      </c>
      <c r="L105" s="301">
        <f>SUM(E105,H105,J105)</f>
        <v>176</v>
      </c>
      <c r="M105" s="398">
        <f>RANK(L105,$L$4:$L$491)</f>
        <v>83</v>
      </c>
      <c r="N105" s="110" t="s">
        <v>761</v>
      </c>
      <c r="O105" s="71">
        <v>23</v>
      </c>
      <c r="P105" s="385">
        <f>IF(N105=예상등급!$G$1,LOOKUP(O105,예상등급!$G$5:$G$13,예상등급!$H$5:$H$13),IF(N105=예상등급!$J$1,LOOKUP(O105,예상등급!$J$5:$J$13,예상등급!$K$5:$K$13),IF(N105=예상등급!$M$1,LOOKUP(O105,예상등급!$M$5:$M$13,예상등급!$N$5:$N$13),IF(N105=예상등급!$P$1,LOOKUP(O105,예상등급!$P$5:$P$13,예상등급!$Q$5:$Q$13),IF(N105=예상등급!$S$1,LOOKUP(O105,예상등급!$S$5:$S$13,예상등급!$T$5:$T$13),IF(N105=예상등급!$V$1,LOOKUP(O105,예상등급!$V$5:$V$13,예상등급!$W$5:$W$13),IF(N105=예상등급!$Y$1,LOOKUP(O105,예상등급!$Y$5:$Y$13,예상등급!$Z$5:$Z$13),IF(N105=예상등급!$AB$1,LOOKUP(O105,예상등급!$AB$5:$AB$13,예상등급!$AC$5:$AC$13),IF(N105=예상등급!$AE$1,LOOKUP(O105,예상등급!$AE$5:$AE$13,예상등급!$AF$5:$AF$13),IF(N105=예상등급!$AH$1,LOOKUP(O105,예상등급!$AH$5:$AH$13,예상등급!$AI$5:$AI$13),IF(N105=예상등급!$AK$1,LOOKUP(O105,예상등급!$AK$5:$AK$13,예상등급!$AL$5:$AL$13),IF(N105=예상등급!$AN$1,LOOKUP(O105,예상등급!$AN$5:$AN$13,예상등급!$AO$5:$AO$13),IF(N105=예상등급!$AQ$1,LOOKUP(O105,예상등급!$AQ$5:$AQ$13,예상등급!$AR$5:$AR$13),IF(N105=예상등급!$AH$15,LOOKUP(O105,예상등급!$AH$19:$AH$27,예상등급!$AI$19:$AI$27),IF(N105=예상등급!$AK$15,LOOKUP(O105,예상등급!$AK$19:$AK$27,예상등급!$AL$19:$AL$27),IF(N105=예상등급!$AN$15,LOOKUP(O105,예상등급!$AN$19:$AN$27,예상등급!$AO$19:$AO$27),IF(N105=예상등급!$AQ$15,LOOKUP(O105,예상등급!$AQ$19:$AQ$27,예상등급!$AR$19:$AR$27),"")))))))))))))))))</f>
        <v>5</v>
      </c>
      <c r="Q105" s="110" t="s">
        <v>762</v>
      </c>
      <c r="R105" s="71">
        <v>25</v>
      </c>
      <c r="S105" s="385">
        <f>IF(Q105=예상등급!$G$1,LOOKUP(R105,예상등급!$G$5:$G$13,예상등급!$H$5:$H$13),IF(Q105=예상등급!$J$1,LOOKUP(R105,예상등급!$J$5:$J$13,예상등급!$K$5:$K$13),IF(Q105=예상등급!$M$1,LOOKUP(R105,예상등급!$M$5:$M$13,예상등급!$N$5:$N$13),IF(Q105=예상등급!$P$1,LOOKUP(R105,예상등급!$P$5:$P$13,예상등급!$Q$5:$Q$13),IF(Q105=예상등급!$S$1,LOOKUP(R105,예상등급!$S$5:$S$13,예상등급!$T$5:$T$13),IF(Q105=예상등급!$V$1,LOOKUP(R105,예상등급!$V$5:$V$13,예상등급!$W$5:$W$13),IF(Q105=예상등급!$Y$1,LOOKUP(R105,예상등급!$Y$5:$Y$13,예상등급!$Z$5:$Z$13),IF(Q105=예상등급!$AB$1,LOOKUP(R105,예상등급!$AB$5:$AB$13,예상등급!$AC$5:$AC$13),IF(Q105=예상등급!$AE$1,LOOKUP(R105,예상등급!$AE$5:$AE$13,예상등급!$AF$5:$AF$13),IF(Q105=예상등급!$AH$1,LOOKUP(R105,예상등급!$AH$5:$AH$13,예상등급!$AI$5:$AI$13),IF(Q105=예상등급!$AK$1,LOOKUP(R105,예상등급!$AK$5:$AK$13,예상등급!$AL$5:$AL$13),IF(Q105=예상등급!$AN$1,LOOKUP(R105,예상등급!$AN$5:$AN$13,예상등급!$AO$5:$AO$13),IF(Q105=예상등급!$AQ$1,LOOKUP(R105,예상등급!$AQ$5:$AQ$13,예상등급!$AR$5:$AR$13),IF(Q105=예상등급!$AH$15,LOOKUP(R105,예상등급!$AH$19:$AH$27,예상등급!$AI$19:$AI$27),IF(Q105=예상등급!$AK$15,LOOKUP(R105,예상등급!$AK$19:$AK$27,예상등급!$AL$19:$AL$27),IF(Q105=예상등급!$AN$15,LOOKUP(R105,예상등급!$AN$19:$AN$27,예상등급!$AO$19:$AO$27),IF(Q105=예상등급!$AQ$15,LOOKUP(R105,예상등급!$AQ$19:$AQ$27,예상등급!$AR$19:$AR$27),"")))))))))))))))))</f>
        <v>5</v>
      </c>
      <c r="T105" s="110">
        <v>12</v>
      </c>
      <c r="U105" s="382">
        <f>IF(T105="","",LOOKUP(T105,예상등급!$D$19:$D$27,예상등급!$E$19:$E$27))</f>
        <v>7</v>
      </c>
      <c r="V105" s="402">
        <f>SUM(L105,T105,R105,O105)</f>
        <v>236</v>
      </c>
      <c r="W105" s="278">
        <f>RANK(V105,$V$4:$V$491)</f>
        <v>102</v>
      </c>
    </row>
    <row r="106" spans="1:26" ht="24.95" customHeight="1" x14ac:dyDescent="0.15">
      <c r="A106" s="110">
        <v>8</v>
      </c>
      <c r="B106" s="71">
        <v>17</v>
      </c>
      <c r="C106" s="100" t="s">
        <v>951</v>
      </c>
      <c r="D106" s="110" t="s">
        <v>779</v>
      </c>
      <c r="E106" s="71">
        <v>53</v>
      </c>
      <c r="F106" s="382">
        <f>IF(D106=예상등급!$A$1,LOOKUP(E106,예상등급!$A$5:$A$13,예상등급!$B$5:$B$13),IF(D106=예상등급!$A$15,LOOKUP(E106,예상등급!$A$19:$A$27,예상등급!$B$19:$B$27),""))</f>
        <v>4</v>
      </c>
      <c r="G106" s="110" t="s">
        <v>780</v>
      </c>
      <c r="H106" s="71">
        <v>37</v>
      </c>
      <c r="I106" s="382">
        <f>IF(G106=예상등급!$G$15,LOOKUP(H106,예상등급!$G$19:$G$27,예상등급!$H$19:$H$27),IF(G106=예상등급!$J$15,LOOKUP(H106,예상등급!$J$19:$J$27,예상등급!$K$19:$K$27),IF(G106=예상등급!$M$15,LOOKUP(H106,예상등급!$M$19:$M$27,예상등급!$N$19:$N$27),"")))</f>
        <v>5</v>
      </c>
      <c r="J106" s="110">
        <v>89</v>
      </c>
      <c r="K106" s="382">
        <f>IF(J106="","",(LOOKUP(J106,예상등급!$D$5:$D$13,예상등급!$E$5:$E$13)))</f>
        <v>2</v>
      </c>
      <c r="L106" s="301">
        <f>SUM(E106,H106,J106)</f>
        <v>179</v>
      </c>
      <c r="M106" s="398">
        <f>RANK(L106,$L$4:$L$491)</f>
        <v>77</v>
      </c>
      <c r="N106" s="110" t="s">
        <v>761</v>
      </c>
      <c r="O106" s="71">
        <v>10</v>
      </c>
      <c r="P106" s="385">
        <f>IF(N106=예상등급!$G$1,LOOKUP(O106,예상등급!$G$5:$G$13,예상등급!$H$5:$H$13),IF(N106=예상등급!$J$1,LOOKUP(O106,예상등급!$J$5:$J$13,예상등급!$K$5:$K$13),IF(N106=예상등급!$M$1,LOOKUP(O106,예상등급!$M$5:$M$13,예상등급!$N$5:$N$13),IF(N106=예상등급!$P$1,LOOKUP(O106,예상등급!$P$5:$P$13,예상등급!$Q$5:$Q$13),IF(N106=예상등급!$S$1,LOOKUP(O106,예상등급!$S$5:$S$13,예상등급!$T$5:$T$13),IF(N106=예상등급!$V$1,LOOKUP(O106,예상등급!$V$5:$V$13,예상등급!$W$5:$W$13),IF(N106=예상등급!$Y$1,LOOKUP(O106,예상등급!$Y$5:$Y$13,예상등급!$Z$5:$Z$13),IF(N106=예상등급!$AB$1,LOOKUP(O106,예상등급!$AB$5:$AB$13,예상등급!$AC$5:$AC$13),IF(N106=예상등급!$AE$1,LOOKUP(O106,예상등급!$AE$5:$AE$13,예상등급!$AF$5:$AF$13),IF(N106=예상등급!$AH$1,LOOKUP(O106,예상등급!$AH$5:$AH$13,예상등급!$AI$5:$AI$13),IF(N106=예상등급!$AK$1,LOOKUP(O106,예상등급!$AK$5:$AK$13,예상등급!$AL$5:$AL$13),IF(N106=예상등급!$AN$1,LOOKUP(O106,예상등급!$AN$5:$AN$13,예상등급!$AO$5:$AO$13),IF(N106=예상등급!$AQ$1,LOOKUP(O106,예상등급!$AQ$5:$AQ$13,예상등급!$AR$5:$AR$13),IF(N106=예상등급!$AH$15,LOOKUP(O106,예상등급!$AH$19:$AH$27,예상등급!$AI$19:$AI$27),IF(N106=예상등급!$AK$15,LOOKUP(O106,예상등급!$AK$19:$AK$27,예상등급!$AL$19:$AL$27),IF(N106=예상등급!$AN$15,LOOKUP(O106,예상등급!$AN$19:$AN$27,예상등급!$AO$19:$AO$27),IF(N106=예상등급!$AQ$15,LOOKUP(O106,예상등급!$AQ$19:$AQ$27,예상등급!$AR$19:$AR$27),"")))))))))))))))))</f>
        <v>7</v>
      </c>
      <c r="Q106" s="110" t="s">
        <v>762</v>
      </c>
      <c r="R106" s="71">
        <v>24</v>
      </c>
      <c r="S106" s="385">
        <f>IF(Q106=예상등급!$G$1,LOOKUP(R106,예상등급!$G$5:$G$13,예상등급!$H$5:$H$13),IF(Q106=예상등급!$J$1,LOOKUP(R106,예상등급!$J$5:$J$13,예상등급!$K$5:$K$13),IF(Q106=예상등급!$M$1,LOOKUP(R106,예상등급!$M$5:$M$13,예상등급!$N$5:$N$13),IF(Q106=예상등급!$P$1,LOOKUP(R106,예상등급!$P$5:$P$13,예상등급!$Q$5:$Q$13),IF(Q106=예상등급!$S$1,LOOKUP(R106,예상등급!$S$5:$S$13,예상등급!$T$5:$T$13),IF(Q106=예상등급!$V$1,LOOKUP(R106,예상등급!$V$5:$V$13,예상등급!$W$5:$W$13),IF(Q106=예상등급!$Y$1,LOOKUP(R106,예상등급!$Y$5:$Y$13,예상등급!$Z$5:$Z$13),IF(Q106=예상등급!$AB$1,LOOKUP(R106,예상등급!$AB$5:$AB$13,예상등급!$AC$5:$AC$13),IF(Q106=예상등급!$AE$1,LOOKUP(R106,예상등급!$AE$5:$AE$13,예상등급!$AF$5:$AF$13),IF(Q106=예상등급!$AH$1,LOOKUP(R106,예상등급!$AH$5:$AH$13,예상등급!$AI$5:$AI$13),IF(Q106=예상등급!$AK$1,LOOKUP(R106,예상등급!$AK$5:$AK$13,예상등급!$AL$5:$AL$13),IF(Q106=예상등급!$AN$1,LOOKUP(R106,예상등급!$AN$5:$AN$13,예상등급!$AO$5:$AO$13),IF(Q106=예상등급!$AQ$1,LOOKUP(R106,예상등급!$AQ$5:$AQ$13,예상등급!$AR$5:$AR$13),IF(Q106=예상등급!$AH$15,LOOKUP(R106,예상등급!$AH$19:$AH$27,예상등급!$AI$19:$AI$27),IF(Q106=예상등급!$AK$15,LOOKUP(R106,예상등급!$AK$19:$AK$27,예상등급!$AL$19:$AL$27),IF(Q106=예상등급!$AN$15,LOOKUP(R106,예상등급!$AN$19:$AN$27,예상등급!$AO$19:$AO$27),IF(Q106=예상등급!$AQ$15,LOOKUP(R106,예상등급!$AQ$19:$AQ$27,예상등급!$AR$19:$AR$27),"")))))))))))))))))</f>
        <v>5</v>
      </c>
      <c r="T106" s="110">
        <v>22</v>
      </c>
      <c r="U106" s="382">
        <f>IF(T106="","",LOOKUP(T106,예상등급!$D$19:$D$27,예상등급!$E$19:$E$27))</f>
        <v>5</v>
      </c>
      <c r="V106" s="402">
        <f>SUM(L106,T106,R106,O106)</f>
        <v>235</v>
      </c>
      <c r="W106" s="278">
        <f>RANK(V106,$V$4:$V$491)</f>
        <v>103</v>
      </c>
    </row>
    <row r="107" spans="1:26" ht="24.95" customHeight="1" x14ac:dyDescent="0.15">
      <c r="A107" s="110">
        <v>10</v>
      </c>
      <c r="B107" s="71">
        <v>23</v>
      </c>
      <c r="C107" s="100" t="s">
        <v>1006</v>
      </c>
      <c r="D107" s="110" t="s">
        <v>779</v>
      </c>
      <c r="E107" s="71">
        <v>53</v>
      </c>
      <c r="F107" s="382">
        <f>IF(D107=예상등급!$A$1,LOOKUP(E107,예상등급!$A$5:$A$13,예상등급!$B$5:$B$13),IF(D107=예상등급!$A$15,LOOKUP(E107,예상등급!$A$19:$A$27,예상등급!$B$19:$B$27),""))</f>
        <v>4</v>
      </c>
      <c r="G107" s="110" t="s">
        <v>780</v>
      </c>
      <c r="H107" s="71">
        <v>50</v>
      </c>
      <c r="I107" s="382">
        <f>IF(G107=예상등급!$G$15,LOOKUP(H107,예상등급!$G$19:$G$27,예상등급!$H$19:$H$27),IF(G107=예상등급!$J$15,LOOKUP(H107,예상등급!$J$19:$J$27,예상등급!$K$19:$K$27),IF(G107=예상등급!$M$15,LOOKUP(H107,예상등급!$M$19:$M$27,예상등급!$N$19:$N$27),"")))</f>
        <v>5</v>
      </c>
      <c r="J107" s="110">
        <v>63</v>
      </c>
      <c r="K107" s="382">
        <f>IF(J107="","",(LOOKUP(J107,예상등급!$D$5:$D$13,예상등급!$E$5:$E$13)))</f>
        <v>4</v>
      </c>
      <c r="L107" s="301">
        <f>SUM(E107,H107,J107)</f>
        <v>166</v>
      </c>
      <c r="M107" s="398">
        <f>RANK(L107,$L$4:$L$491)</f>
        <v>102</v>
      </c>
      <c r="N107" s="110" t="s">
        <v>762</v>
      </c>
      <c r="O107" s="71">
        <v>23</v>
      </c>
      <c r="P107" s="385">
        <f>IF(N107=예상등급!$G$1,LOOKUP(O107,예상등급!$G$5:$G$13,예상등급!$H$5:$H$13),IF(N107=예상등급!$J$1,LOOKUP(O107,예상등급!$J$5:$J$13,예상등급!$K$5:$K$13),IF(N107=예상등급!$M$1,LOOKUP(O107,예상등급!$M$5:$M$13,예상등급!$N$5:$N$13),IF(N107=예상등급!$P$1,LOOKUP(O107,예상등급!$P$5:$P$13,예상등급!$Q$5:$Q$13),IF(N107=예상등급!$S$1,LOOKUP(O107,예상등급!$S$5:$S$13,예상등급!$T$5:$T$13),IF(N107=예상등급!$V$1,LOOKUP(O107,예상등급!$V$5:$V$13,예상등급!$W$5:$W$13),IF(N107=예상등급!$Y$1,LOOKUP(O107,예상등급!$Y$5:$Y$13,예상등급!$Z$5:$Z$13),IF(N107=예상등급!$AB$1,LOOKUP(O107,예상등급!$AB$5:$AB$13,예상등급!$AC$5:$AC$13),IF(N107=예상등급!$AE$1,LOOKUP(O107,예상등급!$AE$5:$AE$13,예상등급!$AF$5:$AF$13),IF(N107=예상등급!$AH$1,LOOKUP(O107,예상등급!$AH$5:$AH$13,예상등급!$AI$5:$AI$13),IF(N107=예상등급!$AK$1,LOOKUP(O107,예상등급!$AK$5:$AK$13,예상등급!$AL$5:$AL$13),IF(N107=예상등급!$AN$1,LOOKUP(O107,예상등급!$AN$5:$AN$13,예상등급!$AO$5:$AO$13),IF(N107=예상등급!$AQ$1,LOOKUP(O107,예상등급!$AQ$5:$AQ$13,예상등급!$AR$5:$AR$13),IF(N107=예상등급!$AH$15,LOOKUP(O107,예상등급!$AH$19:$AH$27,예상등급!$AI$19:$AI$27),IF(N107=예상등급!$AK$15,LOOKUP(O107,예상등급!$AK$19:$AK$27,예상등급!$AL$19:$AL$27),IF(N107=예상등급!$AN$15,LOOKUP(O107,예상등급!$AN$19:$AN$27,예상등급!$AO$19:$AO$27),IF(N107=예상등급!$AQ$15,LOOKUP(O107,예상등급!$AQ$19:$AQ$27,예상등급!$AR$19:$AR$27),"")))))))))))))))))</f>
        <v>5</v>
      </c>
      <c r="Q107" s="110" t="s">
        <v>763</v>
      </c>
      <c r="R107" s="71">
        <v>27</v>
      </c>
      <c r="S107" s="385">
        <f>IF(Q107=예상등급!$G$1,LOOKUP(R107,예상등급!$G$5:$G$13,예상등급!$H$5:$H$13),IF(Q107=예상등급!$J$1,LOOKUP(R107,예상등급!$J$5:$J$13,예상등급!$K$5:$K$13),IF(Q107=예상등급!$M$1,LOOKUP(R107,예상등급!$M$5:$M$13,예상등급!$N$5:$N$13),IF(Q107=예상등급!$P$1,LOOKUP(R107,예상등급!$P$5:$P$13,예상등급!$Q$5:$Q$13),IF(Q107=예상등급!$S$1,LOOKUP(R107,예상등급!$S$5:$S$13,예상등급!$T$5:$T$13),IF(Q107=예상등급!$V$1,LOOKUP(R107,예상등급!$V$5:$V$13,예상등급!$W$5:$W$13),IF(Q107=예상등급!$Y$1,LOOKUP(R107,예상등급!$Y$5:$Y$13,예상등급!$Z$5:$Z$13),IF(Q107=예상등급!$AB$1,LOOKUP(R107,예상등급!$AB$5:$AB$13,예상등급!$AC$5:$AC$13),IF(Q107=예상등급!$AE$1,LOOKUP(R107,예상등급!$AE$5:$AE$13,예상등급!$AF$5:$AF$13),IF(Q107=예상등급!$AH$1,LOOKUP(R107,예상등급!$AH$5:$AH$13,예상등급!$AI$5:$AI$13),IF(Q107=예상등급!$AK$1,LOOKUP(R107,예상등급!$AK$5:$AK$13,예상등급!$AL$5:$AL$13),IF(Q107=예상등급!$AN$1,LOOKUP(R107,예상등급!$AN$5:$AN$13,예상등급!$AO$5:$AO$13),IF(Q107=예상등급!$AQ$1,LOOKUP(R107,예상등급!$AQ$5:$AQ$13,예상등급!$AR$5:$AR$13),IF(Q107=예상등급!$AH$15,LOOKUP(R107,예상등급!$AH$19:$AH$27,예상등급!$AI$19:$AI$27),IF(Q107=예상등급!$AK$15,LOOKUP(R107,예상등급!$AK$19:$AK$27,예상등급!$AL$19:$AL$27),IF(Q107=예상등급!$AN$15,LOOKUP(R107,예상등급!$AN$19:$AN$27,예상등급!$AO$19:$AO$27),IF(Q107=예상등급!$AQ$15,LOOKUP(R107,예상등급!$AQ$19:$AQ$27,예상등급!$AR$19:$AR$27),"")))))))))))))))))</f>
        <v>4</v>
      </c>
      <c r="T107" s="110">
        <v>19</v>
      </c>
      <c r="U107" s="382">
        <f>IF(T107="","",LOOKUP(T107,예상등급!$D$19:$D$27,예상등급!$E$19:$E$27))</f>
        <v>6</v>
      </c>
      <c r="V107" s="402">
        <f>SUM(L107,T107,R107,O107)</f>
        <v>235</v>
      </c>
      <c r="W107" s="278">
        <f>RANK(V107,$V$4:$V$491)</f>
        <v>103</v>
      </c>
    </row>
    <row r="108" spans="1:26" ht="24.95" customHeight="1" x14ac:dyDescent="0.15">
      <c r="A108" s="110">
        <v>2</v>
      </c>
      <c r="B108" s="71">
        <v>7</v>
      </c>
      <c r="C108" s="100" t="s">
        <v>825</v>
      </c>
      <c r="D108" s="110" t="s">
        <v>779</v>
      </c>
      <c r="E108" s="71">
        <v>45</v>
      </c>
      <c r="F108" s="382">
        <f>IF(D108=예상등급!$A$1,LOOKUP(E108,예상등급!$A$5:$A$13,예상등급!$B$5:$B$13),IF(D108=예상등급!$A$15,LOOKUP(E108,예상등급!$A$19:$A$27,예상등급!$B$19:$B$27),""))</f>
        <v>5</v>
      </c>
      <c r="G108" s="110" t="s">
        <v>780</v>
      </c>
      <c r="H108" s="71">
        <v>65</v>
      </c>
      <c r="I108" s="382">
        <f>IF(G108=예상등급!$G$15,LOOKUP(H108,예상등급!$G$19:$G$27,예상등급!$H$19:$H$27),IF(G108=예상등급!$J$15,LOOKUP(H108,예상등급!$J$19:$J$27,예상등급!$K$19:$K$27),IF(G108=예상등급!$M$15,LOOKUP(H108,예상등급!$M$19:$M$27,예상등급!$N$19:$N$27),"")))</f>
        <v>4</v>
      </c>
      <c r="J108" s="110">
        <v>65</v>
      </c>
      <c r="K108" s="382">
        <f>IF(J108="","",(LOOKUP(J108,예상등급!$D$5:$D$13,예상등급!$E$5:$E$13)))</f>
        <v>4</v>
      </c>
      <c r="L108" s="301">
        <f>SUM(E108,H108,J108)</f>
        <v>175</v>
      </c>
      <c r="M108" s="398">
        <f>RANK(L108,$L$4:$L$491)</f>
        <v>85</v>
      </c>
      <c r="N108" s="110" t="s">
        <v>762</v>
      </c>
      <c r="O108" s="71">
        <v>25</v>
      </c>
      <c r="P108" s="385">
        <f>IF(N108=예상등급!$G$1,LOOKUP(O108,예상등급!$G$5:$G$13,예상등급!$H$5:$H$13),IF(N108=예상등급!$J$1,LOOKUP(O108,예상등급!$J$5:$J$13,예상등급!$K$5:$K$13),IF(N108=예상등급!$M$1,LOOKUP(O108,예상등급!$M$5:$M$13,예상등급!$N$5:$N$13),IF(N108=예상등급!$P$1,LOOKUP(O108,예상등급!$P$5:$P$13,예상등급!$Q$5:$Q$13),IF(N108=예상등급!$S$1,LOOKUP(O108,예상등급!$S$5:$S$13,예상등급!$T$5:$T$13),IF(N108=예상등급!$V$1,LOOKUP(O108,예상등급!$V$5:$V$13,예상등급!$W$5:$W$13),IF(N108=예상등급!$Y$1,LOOKUP(O108,예상등급!$Y$5:$Y$13,예상등급!$Z$5:$Z$13),IF(N108=예상등급!$AB$1,LOOKUP(O108,예상등급!$AB$5:$AB$13,예상등급!$AC$5:$AC$13),IF(N108=예상등급!$AE$1,LOOKUP(O108,예상등급!$AE$5:$AE$13,예상등급!$AF$5:$AF$13),IF(N108=예상등급!$AH$1,LOOKUP(O108,예상등급!$AH$5:$AH$13,예상등급!$AI$5:$AI$13),IF(N108=예상등급!$AK$1,LOOKUP(O108,예상등급!$AK$5:$AK$13,예상등급!$AL$5:$AL$13),IF(N108=예상등급!$AN$1,LOOKUP(O108,예상등급!$AN$5:$AN$13,예상등급!$AO$5:$AO$13),IF(N108=예상등급!$AQ$1,LOOKUP(O108,예상등급!$AQ$5:$AQ$13,예상등급!$AR$5:$AR$13),IF(N108=예상등급!$AH$15,LOOKUP(O108,예상등급!$AH$19:$AH$27,예상등급!$AI$19:$AI$27),IF(N108=예상등급!$AK$15,LOOKUP(O108,예상등급!$AK$19:$AK$27,예상등급!$AL$19:$AL$27),IF(N108=예상등급!$AN$15,LOOKUP(O108,예상등급!$AN$19:$AN$27,예상등급!$AO$19:$AO$27),IF(N108=예상등급!$AQ$15,LOOKUP(O108,예상등급!$AQ$19:$AQ$27,예상등급!$AR$19:$AR$27),"")))))))))))))))))</f>
        <v>5</v>
      </c>
      <c r="Q108" s="110" t="s">
        <v>761</v>
      </c>
      <c r="R108" s="71">
        <v>18</v>
      </c>
      <c r="S108" s="385">
        <f>IF(Q108=예상등급!$G$1,LOOKUP(R108,예상등급!$G$5:$G$13,예상등급!$H$5:$H$13),IF(Q108=예상등급!$J$1,LOOKUP(R108,예상등급!$J$5:$J$13,예상등급!$K$5:$K$13),IF(Q108=예상등급!$M$1,LOOKUP(R108,예상등급!$M$5:$M$13,예상등급!$N$5:$N$13),IF(Q108=예상등급!$P$1,LOOKUP(R108,예상등급!$P$5:$P$13,예상등급!$Q$5:$Q$13),IF(Q108=예상등급!$S$1,LOOKUP(R108,예상등급!$S$5:$S$13,예상등급!$T$5:$T$13),IF(Q108=예상등급!$V$1,LOOKUP(R108,예상등급!$V$5:$V$13,예상등급!$W$5:$W$13),IF(Q108=예상등급!$Y$1,LOOKUP(R108,예상등급!$Y$5:$Y$13,예상등급!$Z$5:$Z$13),IF(Q108=예상등급!$AB$1,LOOKUP(R108,예상등급!$AB$5:$AB$13,예상등급!$AC$5:$AC$13),IF(Q108=예상등급!$AE$1,LOOKUP(R108,예상등급!$AE$5:$AE$13,예상등급!$AF$5:$AF$13),IF(Q108=예상등급!$AH$1,LOOKUP(R108,예상등급!$AH$5:$AH$13,예상등급!$AI$5:$AI$13),IF(Q108=예상등급!$AK$1,LOOKUP(R108,예상등급!$AK$5:$AK$13,예상등급!$AL$5:$AL$13),IF(Q108=예상등급!$AN$1,LOOKUP(R108,예상등급!$AN$5:$AN$13,예상등급!$AO$5:$AO$13),IF(Q108=예상등급!$AQ$1,LOOKUP(R108,예상등급!$AQ$5:$AQ$13,예상등급!$AR$5:$AR$13),IF(Q108=예상등급!$AH$15,LOOKUP(R108,예상등급!$AH$19:$AH$27,예상등급!$AI$19:$AI$27),IF(Q108=예상등급!$AK$15,LOOKUP(R108,예상등급!$AK$19:$AK$27,예상등급!$AL$19:$AL$27),IF(Q108=예상등급!$AN$15,LOOKUP(R108,예상등급!$AN$19:$AN$27,예상등급!$AO$19:$AO$27),IF(Q108=예상등급!$AQ$15,LOOKUP(R108,예상등급!$AQ$19:$AQ$27,예상등급!$AR$19:$AR$27),"")))))))))))))))))</f>
        <v>6</v>
      </c>
      <c r="T108" s="110">
        <v>16</v>
      </c>
      <c r="U108" s="382">
        <f>IF(T108="","",LOOKUP(T108,예상등급!$D$19:$D$27,예상등급!$E$19:$E$27))</f>
        <v>6</v>
      </c>
      <c r="V108" s="402">
        <f>SUM(L108,T108,R108,O108)</f>
        <v>234</v>
      </c>
      <c r="W108" s="278">
        <f>RANK(V108,$V$4:$V$491)</f>
        <v>105</v>
      </c>
    </row>
    <row r="109" spans="1:26" ht="24.95" customHeight="1" x14ac:dyDescent="0.15">
      <c r="A109" s="110">
        <v>5</v>
      </c>
      <c r="B109" s="71">
        <v>6</v>
      </c>
      <c r="C109" s="100" t="s">
        <v>611</v>
      </c>
      <c r="D109" s="110" t="s">
        <v>779</v>
      </c>
      <c r="E109" s="71">
        <v>65</v>
      </c>
      <c r="F109" s="382">
        <f>IF(D109=예상등급!$A$1,LOOKUP(E109,예상등급!$A$5:$A$13,예상등급!$B$5:$B$13),IF(D109=예상등급!$A$15,LOOKUP(E109,예상등급!$A$19:$A$27,예상등급!$B$19:$B$27),""))</f>
        <v>3</v>
      </c>
      <c r="G109" s="110" t="s">
        <v>780</v>
      </c>
      <c r="H109" s="71">
        <v>21</v>
      </c>
      <c r="I109" s="382">
        <f>IF(G109=예상등급!$G$15,LOOKUP(H109,예상등급!$G$19:$G$27,예상등급!$H$19:$H$27),IF(G109=예상등급!$J$15,LOOKUP(H109,예상등급!$J$19:$J$27,예상등급!$K$19:$K$27),IF(G109=예상등급!$M$15,LOOKUP(H109,예상등급!$M$19:$M$27,예상등급!$N$19:$N$27),"")))</f>
        <v>7</v>
      </c>
      <c r="J109" s="110">
        <v>83</v>
      </c>
      <c r="K109" s="382">
        <f>IF(J109="","",(LOOKUP(J109,예상등급!$D$5:$D$13,예상등급!$E$5:$E$13)))</f>
        <v>2</v>
      </c>
      <c r="L109" s="301">
        <f>SUM(E109,H109,J109)</f>
        <v>169</v>
      </c>
      <c r="M109" s="398">
        <f>RANK(L109,$L$4:$L$491)</f>
        <v>94</v>
      </c>
      <c r="N109" s="110" t="s">
        <v>761</v>
      </c>
      <c r="O109" s="71">
        <v>26</v>
      </c>
      <c r="P109" s="385">
        <f>IF(N109=예상등급!$G$1,LOOKUP(O109,예상등급!$G$5:$G$13,예상등급!$H$5:$H$13),IF(N109=예상등급!$J$1,LOOKUP(O109,예상등급!$J$5:$J$13,예상등급!$K$5:$K$13),IF(N109=예상등급!$M$1,LOOKUP(O109,예상등급!$M$5:$M$13,예상등급!$N$5:$N$13),IF(N109=예상등급!$P$1,LOOKUP(O109,예상등급!$P$5:$P$13,예상등급!$Q$5:$Q$13),IF(N109=예상등급!$S$1,LOOKUP(O109,예상등급!$S$5:$S$13,예상등급!$T$5:$T$13),IF(N109=예상등급!$V$1,LOOKUP(O109,예상등급!$V$5:$V$13,예상등급!$W$5:$W$13),IF(N109=예상등급!$Y$1,LOOKUP(O109,예상등급!$Y$5:$Y$13,예상등급!$Z$5:$Z$13),IF(N109=예상등급!$AB$1,LOOKUP(O109,예상등급!$AB$5:$AB$13,예상등급!$AC$5:$AC$13),IF(N109=예상등급!$AE$1,LOOKUP(O109,예상등급!$AE$5:$AE$13,예상등급!$AF$5:$AF$13),IF(N109=예상등급!$AH$1,LOOKUP(O109,예상등급!$AH$5:$AH$13,예상등급!$AI$5:$AI$13),IF(N109=예상등급!$AK$1,LOOKUP(O109,예상등급!$AK$5:$AK$13,예상등급!$AL$5:$AL$13),IF(N109=예상등급!$AN$1,LOOKUP(O109,예상등급!$AN$5:$AN$13,예상등급!$AO$5:$AO$13),IF(N109=예상등급!$AQ$1,LOOKUP(O109,예상등급!$AQ$5:$AQ$13,예상등급!$AR$5:$AR$13),IF(N109=예상등급!$AH$15,LOOKUP(O109,예상등급!$AH$19:$AH$27,예상등급!$AI$19:$AI$27),IF(N109=예상등급!$AK$15,LOOKUP(O109,예상등급!$AK$19:$AK$27,예상등급!$AL$19:$AL$27),IF(N109=예상등급!$AN$15,LOOKUP(O109,예상등급!$AN$19:$AN$27,예상등급!$AO$19:$AO$27),IF(N109=예상등급!$AQ$15,LOOKUP(O109,예상등급!$AQ$19:$AQ$27,예상등급!$AR$19:$AR$27),"")))))))))))))))))</f>
        <v>4</v>
      </c>
      <c r="Q109" s="110" t="s">
        <v>772</v>
      </c>
      <c r="R109" s="71">
        <v>15</v>
      </c>
      <c r="S109" s="385">
        <f>IF(Q109=예상등급!$G$1,LOOKUP(R109,예상등급!$G$5:$G$13,예상등급!$H$5:$H$13),IF(Q109=예상등급!$J$1,LOOKUP(R109,예상등급!$J$5:$J$13,예상등급!$K$5:$K$13),IF(Q109=예상등급!$M$1,LOOKUP(R109,예상등급!$M$5:$M$13,예상등급!$N$5:$N$13),IF(Q109=예상등급!$P$1,LOOKUP(R109,예상등급!$P$5:$P$13,예상등급!$Q$5:$Q$13),IF(Q109=예상등급!$S$1,LOOKUP(R109,예상등급!$S$5:$S$13,예상등급!$T$5:$T$13),IF(Q109=예상등급!$V$1,LOOKUP(R109,예상등급!$V$5:$V$13,예상등급!$W$5:$W$13),IF(Q109=예상등급!$Y$1,LOOKUP(R109,예상등급!$Y$5:$Y$13,예상등급!$Z$5:$Z$13),IF(Q109=예상등급!$AB$1,LOOKUP(R109,예상등급!$AB$5:$AB$13,예상등급!$AC$5:$AC$13),IF(Q109=예상등급!$AE$1,LOOKUP(R109,예상등급!$AE$5:$AE$13,예상등급!$AF$5:$AF$13),IF(Q109=예상등급!$AH$1,LOOKUP(R109,예상등급!$AH$5:$AH$13,예상등급!$AI$5:$AI$13),IF(Q109=예상등급!$AK$1,LOOKUP(R109,예상등급!$AK$5:$AK$13,예상등급!$AL$5:$AL$13),IF(Q109=예상등급!$AN$1,LOOKUP(R109,예상등급!$AN$5:$AN$13,예상등급!$AO$5:$AO$13),IF(Q109=예상등급!$AQ$1,LOOKUP(R109,예상등급!$AQ$5:$AQ$13,예상등급!$AR$5:$AR$13),IF(Q109=예상등급!$AH$15,LOOKUP(R109,예상등급!$AH$19:$AH$27,예상등급!$AI$19:$AI$27),IF(Q109=예상등급!$AK$15,LOOKUP(R109,예상등급!$AK$19:$AK$27,예상등급!$AL$19:$AL$27),IF(Q109=예상등급!$AN$15,LOOKUP(R109,예상등급!$AN$19:$AN$27,예상등급!$AO$19:$AO$27),IF(Q109=예상등급!$AQ$15,LOOKUP(R109,예상등급!$AQ$19:$AQ$27,예상등급!$AR$19:$AR$27),"")))))))))))))))))</f>
        <v>5</v>
      </c>
      <c r="T109" s="110">
        <v>24</v>
      </c>
      <c r="U109" s="382">
        <f>IF(T109="","",LOOKUP(T109,예상등급!$D$19:$D$27,예상등급!$E$19:$E$27))</f>
        <v>5</v>
      </c>
      <c r="V109" s="402">
        <f>SUM(L109,T109,R109,O109)</f>
        <v>234</v>
      </c>
      <c r="W109" s="278">
        <f>RANK(V109,$V$4:$V$491)</f>
        <v>105</v>
      </c>
    </row>
    <row r="110" spans="1:26" ht="24.95" customHeight="1" x14ac:dyDescent="0.15">
      <c r="A110" s="110">
        <v>2</v>
      </c>
      <c r="B110" s="71">
        <v>20</v>
      </c>
      <c r="C110" s="100" t="s">
        <v>837</v>
      </c>
      <c r="D110" s="110" t="s">
        <v>779</v>
      </c>
      <c r="E110" s="71">
        <v>64</v>
      </c>
      <c r="F110" s="382">
        <f>IF(D110=예상등급!$A$1,LOOKUP(E110,예상등급!$A$5:$A$13,예상등급!$B$5:$B$13),IF(D110=예상등급!$A$15,LOOKUP(E110,예상등급!$A$19:$A$27,예상등급!$B$19:$B$27),""))</f>
        <v>3</v>
      </c>
      <c r="G110" s="110" t="s">
        <v>780</v>
      </c>
      <c r="H110" s="71">
        <v>9</v>
      </c>
      <c r="I110" s="382">
        <f>IF(G110=예상등급!$G$15,LOOKUP(H110,예상등급!$G$19:$G$27,예상등급!$H$19:$H$27),IF(G110=예상등급!$J$15,LOOKUP(H110,예상등급!$J$19:$J$27,예상등급!$K$19:$K$27),IF(G110=예상등급!$M$15,LOOKUP(H110,예상등급!$M$19:$M$27,예상등급!$N$19:$N$27),"")))</f>
        <v>9</v>
      </c>
      <c r="J110" s="110">
        <v>85</v>
      </c>
      <c r="K110" s="382">
        <f>IF(J110="","",(LOOKUP(J110,예상등급!$D$5:$D$13,예상등급!$E$5:$E$13)))</f>
        <v>2</v>
      </c>
      <c r="L110" s="301">
        <f>SUM(E110,H110,J110)</f>
        <v>158</v>
      </c>
      <c r="M110" s="398">
        <f>RANK(L110,$L$4:$L$491)</f>
        <v>120</v>
      </c>
      <c r="N110" s="110" t="s">
        <v>761</v>
      </c>
      <c r="O110" s="71">
        <v>23</v>
      </c>
      <c r="P110" s="385">
        <f>IF(N110=예상등급!$G$1,LOOKUP(O110,예상등급!$G$5:$G$13,예상등급!$H$5:$H$13),IF(N110=예상등급!$J$1,LOOKUP(O110,예상등급!$J$5:$J$13,예상등급!$K$5:$K$13),IF(N110=예상등급!$M$1,LOOKUP(O110,예상등급!$M$5:$M$13,예상등급!$N$5:$N$13),IF(N110=예상등급!$P$1,LOOKUP(O110,예상등급!$P$5:$P$13,예상등급!$Q$5:$Q$13),IF(N110=예상등급!$S$1,LOOKUP(O110,예상등급!$S$5:$S$13,예상등급!$T$5:$T$13),IF(N110=예상등급!$V$1,LOOKUP(O110,예상등급!$V$5:$V$13,예상등급!$W$5:$W$13),IF(N110=예상등급!$Y$1,LOOKUP(O110,예상등급!$Y$5:$Y$13,예상등급!$Z$5:$Z$13),IF(N110=예상등급!$AB$1,LOOKUP(O110,예상등급!$AB$5:$AB$13,예상등급!$AC$5:$AC$13),IF(N110=예상등급!$AE$1,LOOKUP(O110,예상등급!$AE$5:$AE$13,예상등급!$AF$5:$AF$13),IF(N110=예상등급!$AH$1,LOOKUP(O110,예상등급!$AH$5:$AH$13,예상등급!$AI$5:$AI$13),IF(N110=예상등급!$AK$1,LOOKUP(O110,예상등급!$AK$5:$AK$13,예상등급!$AL$5:$AL$13),IF(N110=예상등급!$AN$1,LOOKUP(O110,예상등급!$AN$5:$AN$13,예상등급!$AO$5:$AO$13),IF(N110=예상등급!$AQ$1,LOOKUP(O110,예상등급!$AQ$5:$AQ$13,예상등급!$AR$5:$AR$13),IF(N110=예상등급!$AH$15,LOOKUP(O110,예상등급!$AH$19:$AH$27,예상등급!$AI$19:$AI$27),IF(N110=예상등급!$AK$15,LOOKUP(O110,예상등급!$AK$19:$AK$27,예상등급!$AL$19:$AL$27),IF(N110=예상등급!$AN$15,LOOKUP(O110,예상등급!$AN$19:$AN$27,예상등급!$AO$19:$AO$27),IF(N110=예상등급!$AQ$15,LOOKUP(O110,예상등급!$AQ$19:$AQ$27,예상등급!$AR$19:$AR$27),"")))))))))))))))))</f>
        <v>5</v>
      </c>
      <c r="Q110" s="110" t="s">
        <v>762</v>
      </c>
      <c r="R110" s="71">
        <v>25</v>
      </c>
      <c r="S110" s="385">
        <f>IF(Q110=예상등급!$G$1,LOOKUP(R110,예상등급!$G$5:$G$13,예상등급!$H$5:$H$13),IF(Q110=예상등급!$J$1,LOOKUP(R110,예상등급!$J$5:$J$13,예상등급!$K$5:$K$13),IF(Q110=예상등급!$M$1,LOOKUP(R110,예상등급!$M$5:$M$13,예상등급!$N$5:$N$13),IF(Q110=예상등급!$P$1,LOOKUP(R110,예상등급!$P$5:$P$13,예상등급!$Q$5:$Q$13),IF(Q110=예상등급!$S$1,LOOKUP(R110,예상등급!$S$5:$S$13,예상등급!$T$5:$T$13),IF(Q110=예상등급!$V$1,LOOKUP(R110,예상등급!$V$5:$V$13,예상등급!$W$5:$W$13),IF(Q110=예상등급!$Y$1,LOOKUP(R110,예상등급!$Y$5:$Y$13,예상등급!$Z$5:$Z$13),IF(Q110=예상등급!$AB$1,LOOKUP(R110,예상등급!$AB$5:$AB$13,예상등급!$AC$5:$AC$13),IF(Q110=예상등급!$AE$1,LOOKUP(R110,예상등급!$AE$5:$AE$13,예상등급!$AF$5:$AF$13),IF(Q110=예상등급!$AH$1,LOOKUP(R110,예상등급!$AH$5:$AH$13,예상등급!$AI$5:$AI$13),IF(Q110=예상등급!$AK$1,LOOKUP(R110,예상등급!$AK$5:$AK$13,예상등급!$AL$5:$AL$13),IF(Q110=예상등급!$AN$1,LOOKUP(R110,예상등급!$AN$5:$AN$13,예상등급!$AO$5:$AO$13),IF(Q110=예상등급!$AQ$1,LOOKUP(R110,예상등급!$AQ$5:$AQ$13,예상등급!$AR$5:$AR$13),IF(Q110=예상등급!$AH$15,LOOKUP(R110,예상등급!$AH$19:$AH$27,예상등급!$AI$19:$AI$27),IF(Q110=예상등급!$AK$15,LOOKUP(R110,예상등급!$AK$19:$AK$27,예상등급!$AL$19:$AL$27),IF(Q110=예상등급!$AN$15,LOOKUP(R110,예상등급!$AN$19:$AN$27,예상등급!$AO$19:$AO$27),IF(Q110=예상등급!$AQ$15,LOOKUP(R110,예상등급!$AQ$19:$AQ$27,예상등급!$AR$19:$AR$27),"")))))))))))))))))</f>
        <v>5</v>
      </c>
      <c r="T110" s="110">
        <v>26</v>
      </c>
      <c r="U110" s="382">
        <f>IF(T110="","",LOOKUP(T110,예상등급!$D$19:$D$27,예상등급!$E$19:$E$27))</f>
        <v>4</v>
      </c>
      <c r="V110" s="402">
        <f>SUM(L110,T110,R110,O110)</f>
        <v>232</v>
      </c>
      <c r="W110" s="278">
        <f>RANK(V110,$V$4:$V$491)</f>
        <v>107</v>
      </c>
    </row>
    <row r="111" spans="1:26" ht="24.95" customHeight="1" x14ac:dyDescent="0.15">
      <c r="A111" s="110">
        <v>6</v>
      </c>
      <c r="B111" s="71">
        <v>25</v>
      </c>
      <c r="C111" s="100" t="s">
        <v>915</v>
      </c>
      <c r="D111" s="110" t="s">
        <v>779</v>
      </c>
      <c r="E111" s="71">
        <v>50</v>
      </c>
      <c r="F111" s="382">
        <f>IF(D111=예상등급!$A$1,LOOKUP(E111,예상등급!$A$5:$A$13,예상등급!$B$5:$B$13),IF(D111=예상등급!$A$15,LOOKUP(E111,예상등급!$A$19:$A$27,예상등급!$B$19:$B$27),""))</f>
        <v>5</v>
      </c>
      <c r="G111" s="110" t="s">
        <v>780</v>
      </c>
      <c r="H111" s="71">
        <v>42</v>
      </c>
      <c r="I111" s="382">
        <f>IF(G111=예상등급!$G$15,LOOKUP(H111,예상등급!$G$19:$G$27,예상등급!$H$19:$H$27),IF(G111=예상등급!$J$15,LOOKUP(H111,예상등급!$J$19:$J$27,예상등급!$K$19:$K$27),IF(G111=예상등급!$M$15,LOOKUP(H111,예상등급!$M$19:$M$27,예상등급!$N$19:$N$27),"")))</f>
        <v>5</v>
      </c>
      <c r="J111" s="110">
        <v>69</v>
      </c>
      <c r="K111" s="382">
        <f>IF(J111="","",(LOOKUP(J111,예상등급!$D$5:$D$13,예상등급!$E$5:$E$13)))</f>
        <v>4</v>
      </c>
      <c r="L111" s="301">
        <f>SUM(E111,H111,J111)</f>
        <v>161</v>
      </c>
      <c r="M111" s="398">
        <f>RANK(L111,$L$4:$L$491)</f>
        <v>110</v>
      </c>
      <c r="N111" s="110" t="s">
        <v>762</v>
      </c>
      <c r="O111" s="71">
        <v>29</v>
      </c>
      <c r="P111" s="385">
        <f>IF(N111=예상등급!$G$1,LOOKUP(O111,예상등급!$G$5:$G$13,예상등급!$H$5:$H$13),IF(N111=예상등급!$J$1,LOOKUP(O111,예상등급!$J$5:$J$13,예상등급!$K$5:$K$13),IF(N111=예상등급!$M$1,LOOKUP(O111,예상등급!$M$5:$M$13,예상등급!$N$5:$N$13),IF(N111=예상등급!$P$1,LOOKUP(O111,예상등급!$P$5:$P$13,예상등급!$Q$5:$Q$13),IF(N111=예상등급!$S$1,LOOKUP(O111,예상등급!$S$5:$S$13,예상등급!$T$5:$T$13),IF(N111=예상등급!$V$1,LOOKUP(O111,예상등급!$V$5:$V$13,예상등급!$W$5:$W$13),IF(N111=예상등급!$Y$1,LOOKUP(O111,예상등급!$Y$5:$Y$13,예상등급!$Z$5:$Z$13),IF(N111=예상등급!$AB$1,LOOKUP(O111,예상등급!$AB$5:$AB$13,예상등급!$AC$5:$AC$13),IF(N111=예상등급!$AE$1,LOOKUP(O111,예상등급!$AE$5:$AE$13,예상등급!$AF$5:$AF$13),IF(N111=예상등급!$AH$1,LOOKUP(O111,예상등급!$AH$5:$AH$13,예상등급!$AI$5:$AI$13),IF(N111=예상등급!$AK$1,LOOKUP(O111,예상등급!$AK$5:$AK$13,예상등급!$AL$5:$AL$13),IF(N111=예상등급!$AN$1,LOOKUP(O111,예상등급!$AN$5:$AN$13,예상등급!$AO$5:$AO$13),IF(N111=예상등급!$AQ$1,LOOKUP(O111,예상등급!$AQ$5:$AQ$13,예상등급!$AR$5:$AR$13),IF(N111=예상등급!$AH$15,LOOKUP(O111,예상등급!$AH$19:$AH$27,예상등급!$AI$19:$AI$27),IF(N111=예상등급!$AK$15,LOOKUP(O111,예상등급!$AK$19:$AK$27,예상등급!$AL$19:$AL$27),IF(N111=예상등급!$AN$15,LOOKUP(O111,예상등급!$AN$19:$AN$27,예상등급!$AO$19:$AO$27),IF(N111=예상등급!$AQ$15,LOOKUP(O111,예상등급!$AQ$19:$AQ$27,예상등급!$AR$19:$AR$27),"")))))))))))))))))</f>
        <v>4</v>
      </c>
      <c r="Q111" s="110" t="s">
        <v>767</v>
      </c>
      <c r="R111" s="71">
        <v>29</v>
      </c>
      <c r="S111" s="385">
        <f>IF(Q111=예상등급!$G$1,LOOKUP(R111,예상등급!$G$5:$G$13,예상등급!$H$5:$H$13),IF(Q111=예상등급!$J$1,LOOKUP(R111,예상등급!$J$5:$J$13,예상등급!$K$5:$K$13),IF(Q111=예상등급!$M$1,LOOKUP(R111,예상등급!$M$5:$M$13,예상등급!$N$5:$N$13),IF(Q111=예상등급!$P$1,LOOKUP(R111,예상등급!$P$5:$P$13,예상등급!$Q$5:$Q$13),IF(Q111=예상등급!$S$1,LOOKUP(R111,예상등급!$S$5:$S$13,예상등급!$T$5:$T$13),IF(Q111=예상등급!$V$1,LOOKUP(R111,예상등급!$V$5:$V$13,예상등급!$W$5:$W$13),IF(Q111=예상등급!$Y$1,LOOKUP(R111,예상등급!$Y$5:$Y$13,예상등급!$Z$5:$Z$13),IF(Q111=예상등급!$AB$1,LOOKUP(R111,예상등급!$AB$5:$AB$13,예상등급!$AC$5:$AC$13),IF(Q111=예상등급!$AE$1,LOOKUP(R111,예상등급!$AE$5:$AE$13,예상등급!$AF$5:$AF$13),IF(Q111=예상등급!$AH$1,LOOKUP(R111,예상등급!$AH$5:$AH$13,예상등급!$AI$5:$AI$13),IF(Q111=예상등급!$AK$1,LOOKUP(R111,예상등급!$AK$5:$AK$13,예상등급!$AL$5:$AL$13),IF(Q111=예상등급!$AN$1,LOOKUP(R111,예상등급!$AN$5:$AN$13,예상등급!$AO$5:$AO$13),IF(Q111=예상등급!$AQ$1,LOOKUP(R111,예상등급!$AQ$5:$AQ$13,예상등급!$AR$5:$AR$13),IF(Q111=예상등급!$AH$15,LOOKUP(R111,예상등급!$AH$19:$AH$27,예상등급!$AI$19:$AI$27),IF(Q111=예상등급!$AK$15,LOOKUP(R111,예상등급!$AK$19:$AK$27,예상등급!$AL$19:$AL$27),IF(Q111=예상등급!$AN$15,LOOKUP(R111,예상등급!$AN$19:$AN$27,예상등급!$AO$19:$AO$27),IF(Q111=예상등급!$AQ$15,LOOKUP(R111,예상등급!$AQ$19:$AQ$27,예상등급!$AR$19:$AR$27),"")))))))))))))))))</f>
        <v>4</v>
      </c>
      <c r="T111" s="110">
        <v>13</v>
      </c>
      <c r="U111" s="382">
        <f>IF(T111="","",LOOKUP(T111,예상등급!$D$19:$D$27,예상등급!$E$19:$E$27))</f>
        <v>7</v>
      </c>
      <c r="V111" s="402">
        <f>SUM(L111,T111,R111,O111)</f>
        <v>232</v>
      </c>
      <c r="W111" s="278">
        <f>RANK(V111,$V$4:$V$491)</f>
        <v>107</v>
      </c>
    </row>
    <row r="112" spans="1:26" ht="24.95" customHeight="1" x14ac:dyDescent="0.15">
      <c r="A112" s="110">
        <v>4</v>
      </c>
      <c r="B112" s="71">
        <v>5</v>
      </c>
      <c r="C112" s="100" t="s">
        <v>788</v>
      </c>
      <c r="D112" s="110" t="s">
        <v>778</v>
      </c>
      <c r="E112" s="71">
        <v>78</v>
      </c>
      <c r="F112" s="382">
        <f>IF(D112=예상등급!$A$1,LOOKUP(E112,예상등급!$A$5:$A$13,예상등급!$B$5:$B$13),IF(D112=예상등급!$A$15,LOOKUP(E112,예상등급!$A$19:$A$27,예상등급!$B$19:$B$27),""))</f>
        <v>1</v>
      </c>
      <c r="G112" s="110" t="s">
        <v>781</v>
      </c>
      <c r="H112" s="71">
        <v>18</v>
      </c>
      <c r="I112" s="382">
        <f>IF(G112=예상등급!$G$15,LOOKUP(H112,예상등급!$G$19:$G$27,예상등급!$H$19:$H$27),IF(G112=예상등급!$J$15,LOOKUP(H112,예상등급!$J$19:$J$27,예상등급!$K$19:$K$27),IF(G112=예상등급!$M$15,LOOKUP(H112,예상등급!$M$19:$M$27,예상등급!$N$19:$N$27),"")))</f>
        <v>7</v>
      </c>
      <c r="J112" s="110">
        <v>68</v>
      </c>
      <c r="K112" s="382">
        <f>IF(J112="","",(LOOKUP(J112,예상등급!$D$5:$D$13,예상등급!$E$5:$E$13)))</f>
        <v>4</v>
      </c>
      <c r="L112" s="301">
        <f>SUM(E112,H112,J112)</f>
        <v>164</v>
      </c>
      <c r="M112" s="398">
        <f>RANK(L112,$L$4:$L$491)</f>
        <v>105</v>
      </c>
      <c r="N112" s="110" t="s">
        <v>772</v>
      </c>
      <c r="O112" s="71">
        <v>24</v>
      </c>
      <c r="P112" s="385">
        <f>IF(N112=예상등급!$G$1,LOOKUP(O112,예상등급!$G$5:$G$13,예상등급!$H$5:$H$13),IF(N112=예상등급!$J$1,LOOKUP(O112,예상등급!$J$5:$J$13,예상등급!$K$5:$K$13),IF(N112=예상등급!$M$1,LOOKUP(O112,예상등급!$M$5:$M$13,예상등급!$N$5:$N$13),IF(N112=예상등급!$P$1,LOOKUP(O112,예상등급!$P$5:$P$13,예상등급!$Q$5:$Q$13),IF(N112=예상등급!$S$1,LOOKUP(O112,예상등급!$S$5:$S$13,예상등급!$T$5:$T$13),IF(N112=예상등급!$V$1,LOOKUP(O112,예상등급!$V$5:$V$13,예상등급!$W$5:$W$13),IF(N112=예상등급!$Y$1,LOOKUP(O112,예상등급!$Y$5:$Y$13,예상등급!$Z$5:$Z$13),IF(N112=예상등급!$AB$1,LOOKUP(O112,예상등급!$AB$5:$AB$13,예상등급!$AC$5:$AC$13),IF(N112=예상등급!$AE$1,LOOKUP(O112,예상등급!$AE$5:$AE$13,예상등급!$AF$5:$AF$13),IF(N112=예상등급!$AH$1,LOOKUP(O112,예상등급!$AH$5:$AH$13,예상등급!$AI$5:$AI$13),IF(N112=예상등급!$AK$1,LOOKUP(O112,예상등급!$AK$5:$AK$13,예상등급!$AL$5:$AL$13),IF(N112=예상등급!$AN$1,LOOKUP(O112,예상등급!$AN$5:$AN$13,예상등급!$AO$5:$AO$13),IF(N112=예상등급!$AQ$1,LOOKUP(O112,예상등급!$AQ$5:$AQ$13,예상등급!$AR$5:$AR$13),IF(N112=예상등급!$AH$15,LOOKUP(O112,예상등급!$AH$19:$AH$27,예상등급!$AI$19:$AI$27),IF(N112=예상등급!$AK$15,LOOKUP(O112,예상등급!$AK$19:$AK$27,예상등급!$AL$19:$AL$27),IF(N112=예상등급!$AN$15,LOOKUP(O112,예상등급!$AN$19:$AN$27,예상등급!$AO$19:$AO$27),IF(N112=예상등급!$AQ$15,LOOKUP(O112,예상등급!$AQ$19:$AQ$27,예상등급!$AR$19:$AR$27),"")))))))))))))))))</f>
        <v>4</v>
      </c>
      <c r="Q112" s="110" t="s">
        <v>761</v>
      </c>
      <c r="R112" s="71">
        <v>27</v>
      </c>
      <c r="S112" s="385">
        <f>IF(Q112=예상등급!$G$1,LOOKUP(R112,예상등급!$G$5:$G$13,예상등급!$H$5:$H$13),IF(Q112=예상등급!$J$1,LOOKUP(R112,예상등급!$J$5:$J$13,예상등급!$K$5:$K$13),IF(Q112=예상등급!$M$1,LOOKUP(R112,예상등급!$M$5:$M$13,예상등급!$N$5:$N$13),IF(Q112=예상등급!$P$1,LOOKUP(R112,예상등급!$P$5:$P$13,예상등급!$Q$5:$Q$13),IF(Q112=예상등급!$S$1,LOOKUP(R112,예상등급!$S$5:$S$13,예상등급!$T$5:$T$13),IF(Q112=예상등급!$V$1,LOOKUP(R112,예상등급!$V$5:$V$13,예상등급!$W$5:$W$13),IF(Q112=예상등급!$Y$1,LOOKUP(R112,예상등급!$Y$5:$Y$13,예상등급!$Z$5:$Z$13),IF(Q112=예상등급!$AB$1,LOOKUP(R112,예상등급!$AB$5:$AB$13,예상등급!$AC$5:$AC$13),IF(Q112=예상등급!$AE$1,LOOKUP(R112,예상등급!$AE$5:$AE$13,예상등급!$AF$5:$AF$13),IF(Q112=예상등급!$AH$1,LOOKUP(R112,예상등급!$AH$5:$AH$13,예상등급!$AI$5:$AI$13),IF(Q112=예상등급!$AK$1,LOOKUP(R112,예상등급!$AK$5:$AK$13,예상등급!$AL$5:$AL$13),IF(Q112=예상등급!$AN$1,LOOKUP(R112,예상등급!$AN$5:$AN$13,예상등급!$AO$5:$AO$13),IF(Q112=예상등급!$AQ$1,LOOKUP(R112,예상등급!$AQ$5:$AQ$13,예상등급!$AR$5:$AR$13),IF(Q112=예상등급!$AH$15,LOOKUP(R112,예상등급!$AH$19:$AH$27,예상등급!$AI$19:$AI$27),IF(Q112=예상등급!$AK$15,LOOKUP(R112,예상등급!$AK$19:$AK$27,예상등급!$AL$19:$AL$27),IF(Q112=예상등급!$AN$15,LOOKUP(R112,예상등급!$AN$19:$AN$27,예상등급!$AO$19:$AO$27),IF(Q112=예상등급!$AQ$15,LOOKUP(R112,예상등급!$AQ$19:$AQ$27,예상등급!$AR$19:$AR$27),"")))))))))))))))))</f>
        <v>4</v>
      </c>
      <c r="T112" s="110">
        <v>16</v>
      </c>
      <c r="U112" s="382">
        <f>IF(T112="","",LOOKUP(T112,예상등급!$D$19:$D$27,예상등급!$E$19:$E$27))</f>
        <v>6</v>
      </c>
      <c r="V112" s="402">
        <f>SUM(L112,T112,R112,O112)</f>
        <v>231</v>
      </c>
      <c r="W112" s="278">
        <f>RANK(V112,$V$4:$V$491)</f>
        <v>109</v>
      </c>
      <c r="Y112" s="149"/>
      <c r="Z112" s="149"/>
    </row>
    <row r="113" spans="1:23" ht="24.95" customHeight="1" x14ac:dyDescent="0.15">
      <c r="A113" s="110">
        <v>7</v>
      </c>
      <c r="B113" s="71">
        <v>8</v>
      </c>
      <c r="C113" s="100" t="s">
        <v>923</v>
      </c>
      <c r="D113" s="110" t="s">
        <v>778</v>
      </c>
      <c r="E113" s="71">
        <v>63</v>
      </c>
      <c r="F113" s="382">
        <f>IF(D113=예상등급!$A$1,LOOKUP(E113,예상등급!$A$5:$A$13,예상등급!$B$5:$B$13),IF(D113=예상등급!$A$15,LOOKUP(E113,예상등급!$A$19:$A$27,예상등급!$B$19:$B$27),""))</f>
        <v>3</v>
      </c>
      <c r="G113" s="110" t="s">
        <v>780</v>
      </c>
      <c r="H113" s="71">
        <v>45</v>
      </c>
      <c r="I113" s="382">
        <f>IF(G113=예상등급!$G$15,LOOKUP(H113,예상등급!$G$19:$G$27,예상등급!$H$19:$H$27),IF(G113=예상등급!$J$15,LOOKUP(H113,예상등급!$J$19:$J$27,예상등급!$K$19:$K$27),IF(G113=예상등급!$M$15,LOOKUP(H113,예상등급!$M$19:$M$27,예상등급!$N$19:$N$27),"")))</f>
        <v>5</v>
      </c>
      <c r="J113" s="110">
        <v>60</v>
      </c>
      <c r="K113" s="382">
        <f>IF(J113="","",(LOOKUP(J113,예상등급!$D$5:$D$13,예상등급!$E$5:$E$13)))</f>
        <v>4</v>
      </c>
      <c r="L113" s="301">
        <f>SUM(E113,H113,J113)</f>
        <v>168</v>
      </c>
      <c r="M113" s="398">
        <f>RANK(L113,$L$4:$L$491)</f>
        <v>96</v>
      </c>
      <c r="N113" s="110" t="s">
        <v>761</v>
      </c>
      <c r="O113" s="71">
        <v>28</v>
      </c>
      <c r="P113" s="385">
        <f>IF(N113=예상등급!$G$1,LOOKUP(O113,예상등급!$G$5:$G$13,예상등급!$H$5:$H$13),IF(N113=예상등급!$J$1,LOOKUP(O113,예상등급!$J$5:$J$13,예상등급!$K$5:$K$13),IF(N113=예상등급!$M$1,LOOKUP(O113,예상등급!$M$5:$M$13,예상등급!$N$5:$N$13),IF(N113=예상등급!$P$1,LOOKUP(O113,예상등급!$P$5:$P$13,예상등급!$Q$5:$Q$13),IF(N113=예상등급!$S$1,LOOKUP(O113,예상등급!$S$5:$S$13,예상등급!$T$5:$T$13),IF(N113=예상등급!$V$1,LOOKUP(O113,예상등급!$V$5:$V$13,예상등급!$W$5:$W$13),IF(N113=예상등급!$Y$1,LOOKUP(O113,예상등급!$Y$5:$Y$13,예상등급!$Z$5:$Z$13),IF(N113=예상등급!$AB$1,LOOKUP(O113,예상등급!$AB$5:$AB$13,예상등급!$AC$5:$AC$13),IF(N113=예상등급!$AE$1,LOOKUP(O113,예상등급!$AE$5:$AE$13,예상등급!$AF$5:$AF$13),IF(N113=예상등급!$AH$1,LOOKUP(O113,예상등급!$AH$5:$AH$13,예상등급!$AI$5:$AI$13),IF(N113=예상등급!$AK$1,LOOKUP(O113,예상등급!$AK$5:$AK$13,예상등급!$AL$5:$AL$13),IF(N113=예상등급!$AN$1,LOOKUP(O113,예상등급!$AN$5:$AN$13,예상등급!$AO$5:$AO$13),IF(N113=예상등급!$AQ$1,LOOKUP(O113,예상등급!$AQ$5:$AQ$13,예상등급!$AR$5:$AR$13),IF(N113=예상등급!$AH$15,LOOKUP(O113,예상등급!$AH$19:$AH$27,예상등급!$AI$19:$AI$27),IF(N113=예상등급!$AK$15,LOOKUP(O113,예상등급!$AK$19:$AK$27,예상등급!$AL$19:$AL$27),IF(N113=예상등급!$AN$15,LOOKUP(O113,예상등급!$AN$19:$AN$27,예상등급!$AO$19:$AO$27),IF(N113=예상등급!$AQ$15,LOOKUP(O113,예상등급!$AQ$19:$AQ$27,예상등급!$AR$19:$AR$27),"")))))))))))))))))</f>
        <v>4</v>
      </c>
      <c r="Q113" s="110" t="s">
        <v>762</v>
      </c>
      <c r="R113" s="71">
        <v>15</v>
      </c>
      <c r="S113" s="385">
        <f>IF(Q113=예상등급!$G$1,LOOKUP(R113,예상등급!$G$5:$G$13,예상등급!$H$5:$H$13),IF(Q113=예상등급!$J$1,LOOKUP(R113,예상등급!$J$5:$J$13,예상등급!$K$5:$K$13),IF(Q113=예상등급!$M$1,LOOKUP(R113,예상등급!$M$5:$M$13,예상등급!$N$5:$N$13),IF(Q113=예상등급!$P$1,LOOKUP(R113,예상등급!$P$5:$P$13,예상등급!$Q$5:$Q$13),IF(Q113=예상등급!$S$1,LOOKUP(R113,예상등급!$S$5:$S$13,예상등급!$T$5:$T$13),IF(Q113=예상등급!$V$1,LOOKUP(R113,예상등급!$V$5:$V$13,예상등급!$W$5:$W$13),IF(Q113=예상등급!$Y$1,LOOKUP(R113,예상등급!$Y$5:$Y$13,예상등급!$Z$5:$Z$13),IF(Q113=예상등급!$AB$1,LOOKUP(R113,예상등급!$AB$5:$AB$13,예상등급!$AC$5:$AC$13),IF(Q113=예상등급!$AE$1,LOOKUP(R113,예상등급!$AE$5:$AE$13,예상등급!$AF$5:$AF$13),IF(Q113=예상등급!$AH$1,LOOKUP(R113,예상등급!$AH$5:$AH$13,예상등급!$AI$5:$AI$13),IF(Q113=예상등급!$AK$1,LOOKUP(R113,예상등급!$AK$5:$AK$13,예상등급!$AL$5:$AL$13),IF(Q113=예상등급!$AN$1,LOOKUP(R113,예상등급!$AN$5:$AN$13,예상등급!$AO$5:$AO$13),IF(Q113=예상등급!$AQ$1,LOOKUP(R113,예상등급!$AQ$5:$AQ$13,예상등급!$AR$5:$AR$13),IF(Q113=예상등급!$AH$15,LOOKUP(R113,예상등급!$AH$19:$AH$27,예상등급!$AI$19:$AI$27),IF(Q113=예상등급!$AK$15,LOOKUP(R113,예상등급!$AK$19:$AK$27,예상등급!$AL$19:$AL$27),IF(Q113=예상등급!$AN$15,LOOKUP(R113,예상등급!$AN$19:$AN$27,예상등급!$AO$19:$AO$27),IF(Q113=예상등급!$AQ$15,LOOKUP(R113,예상등급!$AQ$19:$AQ$27,예상등급!$AR$19:$AR$27),"")))))))))))))))))</f>
        <v>6</v>
      </c>
      <c r="T113" s="110">
        <v>20</v>
      </c>
      <c r="U113" s="382">
        <f>IF(T113="","",LOOKUP(T113,예상등급!$D$19:$D$27,예상등급!$E$19:$E$27))</f>
        <v>5</v>
      </c>
      <c r="V113" s="402">
        <f>SUM(L113,T113,R113,O113)</f>
        <v>231</v>
      </c>
      <c r="W113" s="278">
        <f>RANK(V113,$V$4:$V$491)</f>
        <v>109</v>
      </c>
    </row>
    <row r="114" spans="1:23" ht="24.95" customHeight="1" x14ac:dyDescent="0.15">
      <c r="A114" s="110">
        <v>8</v>
      </c>
      <c r="B114" s="71">
        <v>5</v>
      </c>
      <c r="C114" s="100" t="s">
        <v>942</v>
      </c>
      <c r="D114" s="110" t="s">
        <v>779</v>
      </c>
      <c r="E114" s="71">
        <v>53</v>
      </c>
      <c r="F114" s="382">
        <f>IF(D114=예상등급!$A$1,LOOKUP(E114,예상등급!$A$5:$A$13,예상등급!$B$5:$B$13),IF(D114=예상등급!$A$15,LOOKUP(E114,예상등급!$A$19:$A$27,예상등급!$B$19:$B$27),""))</f>
        <v>4</v>
      </c>
      <c r="G114" s="110" t="s">
        <v>780</v>
      </c>
      <c r="H114" s="71">
        <v>33</v>
      </c>
      <c r="I114" s="382">
        <f>IF(G114=예상등급!$G$15,LOOKUP(H114,예상등급!$G$19:$G$27,예상등급!$H$19:$H$27),IF(G114=예상등급!$J$15,LOOKUP(H114,예상등급!$J$19:$J$27,예상등급!$K$19:$K$27),IF(G114=예상등급!$M$15,LOOKUP(H114,예상등급!$M$19:$M$27,예상등급!$N$19:$N$27),"")))</f>
        <v>5</v>
      </c>
      <c r="J114" s="110">
        <v>52</v>
      </c>
      <c r="K114" s="382">
        <f>IF(J114="","",(LOOKUP(J114,예상등급!$D$5:$D$13,예상등급!$E$5:$E$13)))</f>
        <v>5</v>
      </c>
      <c r="L114" s="301">
        <f>SUM(E114,H114,J114)</f>
        <v>138</v>
      </c>
      <c r="M114" s="398">
        <f>RANK(L114,$L$4:$L$491)</f>
        <v>153</v>
      </c>
      <c r="N114" s="110" t="s">
        <v>772</v>
      </c>
      <c r="O114" s="71">
        <v>36</v>
      </c>
      <c r="P114" s="385">
        <f>IF(N114=예상등급!$G$1,LOOKUP(O114,예상등급!$G$5:$G$13,예상등급!$H$5:$H$13),IF(N114=예상등급!$J$1,LOOKUP(O114,예상등급!$J$5:$J$13,예상등급!$K$5:$K$13),IF(N114=예상등급!$M$1,LOOKUP(O114,예상등급!$M$5:$M$13,예상등급!$N$5:$N$13),IF(N114=예상등급!$P$1,LOOKUP(O114,예상등급!$P$5:$P$13,예상등급!$Q$5:$Q$13),IF(N114=예상등급!$S$1,LOOKUP(O114,예상등급!$S$5:$S$13,예상등급!$T$5:$T$13),IF(N114=예상등급!$V$1,LOOKUP(O114,예상등급!$V$5:$V$13,예상등급!$W$5:$W$13),IF(N114=예상등급!$Y$1,LOOKUP(O114,예상등급!$Y$5:$Y$13,예상등급!$Z$5:$Z$13),IF(N114=예상등급!$AB$1,LOOKUP(O114,예상등급!$AB$5:$AB$13,예상등급!$AC$5:$AC$13),IF(N114=예상등급!$AE$1,LOOKUP(O114,예상등급!$AE$5:$AE$13,예상등급!$AF$5:$AF$13),IF(N114=예상등급!$AH$1,LOOKUP(O114,예상등급!$AH$5:$AH$13,예상등급!$AI$5:$AI$13),IF(N114=예상등급!$AK$1,LOOKUP(O114,예상등급!$AK$5:$AK$13,예상등급!$AL$5:$AL$13),IF(N114=예상등급!$AN$1,LOOKUP(O114,예상등급!$AN$5:$AN$13,예상등급!$AO$5:$AO$13),IF(N114=예상등급!$AQ$1,LOOKUP(O114,예상등급!$AQ$5:$AQ$13,예상등급!$AR$5:$AR$13),IF(N114=예상등급!$AH$15,LOOKUP(O114,예상등급!$AH$19:$AH$27,예상등급!$AI$19:$AI$27),IF(N114=예상등급!$AK$15,LOOKUP(O114,예상등급!$AK$19:$AK$27,예상등급!$AL$19:$AL$27),IF(N114=예상등급!$AN$15,LOOKUP(O114,예상등급!$AN$19:$AN$27,예상등급!$AO$19:$AO$27),IF(N114=예상등급!$AQ$15,LOOKUP(O114,예상등급!$AQ$19:$AQ$27,예상등급!$AR$19:$AR$27),"")))))))))))))))))</f>
        <v>2</v>
      </c>
      <c r="Q114" s="110" t="s">
        <v>761</v>
      </c>
      <c r="R114" s="71">
        <v>36</v>
      </c>
      <c r="S114" s="385">
        <f>IF(Q114=예상등급!$G$1,LOOKUP(R114,예상등급!$G$5:$G$13,예상등급!$H$5:$H$13),IF(Q114=예상등급!$J$1,LOOKUP(R114,예상등급!$J$5:$J$13,예상등급!$K$5:$K$13),IF(Q114=예상등급!$M$1,LOOKUP(R114,예상등급!$M$5:$M$13,예상등급!$N$5:$N$13),IF(Q114=예상등급!$P$1,LOOKUP(R114,예상등급!$P$5:$P$13,예상등급!$Q$5:$Q$13),IF(Q114=예상등급!$S$1,LOOKUP(R114,예상등급!$S$5:$S$13,예상등급!$T$5:$T$13),IF(Q114=예상등급!$V$1,LOOKUP(R114,예상등급!$V$5:$V$13,예상등급!$W$5:$W$13),IF(Q114=예상등급!$Y$1,LOOKUP(R114,예상등급!$Y$5:$Y$13,예상등급!$Z$5:$Z$13),IF(Q114=예상등급!$AB$1,LOOKUP(R114,예상등급!$AB$5:$AB$13,예상등급!$AC$5:$AC$13),IF(Q114=예상등급!$AE$1,LOOKUP(R114,예상등급!$AE$5:$AE$13,예상등급!$AF$5:$AF$13),IF(Q114=예상등급!$AH$1,LOOKUP(R114,예상등급!$AH$5:$AH$13,예상등급!$AI$5:$AI$13),IF(Q114=예상등급!$AK$1,LOOKUP(R114,예상등급!$AK$5:$AK$13,예상등급!$AL$5:$AL$13),IF(Q114=예상등급!$AN$1,LOOKUP(R114,예상등급!$AN$5:$AN$13,예상등급!$AO$5:$AO$13),IF(Q114=예상등급!$AQ$1,LOOKUP(R114,예상등급!$AQ$5:$AQ$13,예상등급!$AR$5:$AR$13),IF(Q114=예상등급!$AH$15,LOOKUP(R114,예상등급!$AH$19:$AH$27,예상등급!$AI$19:$AI$27),IF(Q114=예상등급!$AK$15,LOOKUP(R114,예상등급!$AK$19:$AK$27,예상등급!$AL$19:$AL$27),IF(Q114=예상등급!$AN$15,LOOKUP(R114,예상등급!$AN$19:$AN$27,예상등급!$AO$19:$AO$27),IF(Q114=예상등급!$AQ$15,LOOKUP(R114,예상등급!$AQ$19:$AQ$27,예상등급!$AR$19:$AR$27),"")))))))))))))))))</f>
        <v>3</v>
      </c>
      <c r="T114" s="110">
        <v>21</v>
      </c>
      <c r="U114" s="382">
        <f>IF(T114="","",LOOKUP(T114,예상등급!$D$19:$D$27,예상등급!$E$19:$E$27))</f>
        <v>5</v>
      </c>
      <c r="V114" s="402">
        <f>SUM(L114,T114,R114,O114)</f>
        <v>231</v>
      </c>
      <c r="W114" s="278">
        <f>RANK(V114,$V$4:$V$491)</f>
        <v>109</v>
      </c>
    </row>
    <row r="115" spans="1:23" ht="24.95" customHeight="1" x14ac:dyDescent="0.15">
      <c r="A115" s="110">
        <v>6</v>
      </c>
      <c r="B115" s="71">
        <v>7</v>
      </c>
      <c r="C115" s="100" t="s">
        <v>899</v>
      </c>
      <c r="D115" s="110" t="s">
        <v>779</v>
      </c>
      <c r="E115" s="71">
        <v>52</v>
      </c>
      <c r="F115" s="382">
        <f>IF(D115=예상등급!$A$1,LOOKUP(E115,예상등급!$A$5:$A$13,예상등급!$B$5:$B$13),IF(D115=예상등급!$A$15,LOOKUP(E115,예상등급!$A$19:$A$27,예상등급!$B$19:$B$27),""))</f>
        <v>4</v>
      </c>
      <c r="G115" s="110" t="s">
        <v>780</v>
      </c>
      <c r="H115" s="71">
        <v>61</v>
      </c>
      <c r="I115" s="382">
        <f>IF(G115=예상등급!$G$15,LOOKUP(H115,예상등급!$G$19:$G$27,예상등급!$H$19:$H$27),IF(G115=예상등급!$J$15,LOOKUP(H115,예상등급!$J$19:$J$27,예상등급!$K$19:$K$27),IF(G115=예상등급!$M$15,LOOKUP(H115,예상등급!$M$19:$M$27,예상등급!$N$19:$N$27),"")))</f>
        <v>4</v>
      </c>
      <c r="J115" s="110">
        <v>62</v>
      </c>
      <c r="K115" s="382">
        <f>IF(J115="","",(LOOKUP(J115,예상등급!$D$5:$D$13,예상등급!$E$5:$E$13)))</f>
        <v>4</v>
      </c>
      <c r="L115" s="301">
        <f>SUM(E115,H115,J115)</f>
        <v>175</v>
      </c>
      <c r="M115" s="398">
        <f>RANK(L115,$L$4:$L$491)</f>
        <v>85</v>
      </c>
      <c r="N115" s="110" t="s">
        <v>761</v>
      </c>
      <c r="O115" s="71">
        <v>15</v>
      </c>
      <c r="P115" s="385">
        <f>IF(N115=예상등급!$G$1,LOOKUP(O115,예상등급!$G$5:$G$13,예상등급!$H$5:$H$13),IF(N115=예상등급!$J$1,LOOKUP(O115,예상등급!$J$5:$J$13,예상등급!$K$5:$K$13),IF(N115=예상등급!$M$1,LOOKUP(O115,예상등급!$M$5:$M$13,예상등급!$N$5:$N$13),IF(N115=예상등급!$P$1,LOOKUP(O115,예상등급!$P$5:$P$13,예상등급!$Q$5:$Q$13),IF(N115=예상등급!$S$1,LOOKUP(O115,예상등급!$S$5:$S$13,예상등급!$T$5:$T$13),IF(N115=예상등급!$V$1,LOOKUP(O115,예상등급!$V$5:$V$13,예상등급!$W$5:$W$13),IF(N115=예상등급!$Y$1,LOOKUP(O115,예상등급!$Y$5:$Y$13,예상등급!$Z$5:$Z$13),IF(N115=예상등급!$AB$1,LOOKUP(O115,예상등급!$AB$5:$AB$13,예상등급!$AC$5:$AC$13),IF(N115=예상등급!$AE$1,LOOKUP(O115,예상등급!$AE$5:$AE$13,예상등급!$AF$5:$AF$13),IF(N115=예상등급!$AH$1,LOOKUP(O115,예상등급!$AH$5:$AH$13,예상등급!$AI$5:$AI$13),IF(N115=예상등급!$AK$1,LOOKUP(O115,예상등급!$AK$5:$AK$13,예상등급!$AL$5:$AL$13),IF(N115=예상등급!$AN$1,LOOKUP(O115,예상등급!$AN$5:$AN$13,예상등급!$AO$5:$AO$13),IF(N115=예상등급!$AQ$1,LOOKUP(O115,예상등급!$AQ$5:$AQ$13,예상등급!$AR$5:$AR$13),IF(N115=예상등급!$AH$15,LOOKUP(O115,예상등급!$AH$19:$AH$27,예상등급!$AI$19:$AI$27),IF(N115=예상등급!$AK$15,LOOKUP(O115,예상등급!$AK$19:$AK$27,예상등급!$AL$19:$AL$27),IF(N115=예상등급!$AN$15,LOOKUP(O115,예상등급!$AN$19:$AN$27,예상등급!$AO$19:$AO$27),IF(N115=예상등급!$AQ$15,LOOKUP(O115,예상등급!$AQ$19:$AQ$27,예상등급!$AR$19:$AR$27),"")))))))))))))))))</f>
        <v>6</v>
      </c>
      <c r="Q115" s="110" t="s">
        <v>772</v>
      </c>
      <c r="R115" s="71">
        <v>26</v>
      </c>
      <c r="S115" s="385">
        <f>IF(Q115=예상등급!$G$1,LOOKUP(R115,예상등급!$G$5:$G$13,예상등급!$H$5:$H$13),IF(Q115=예상등급!$J$1,LOOKUP(R115,예상등급!$J$5:$J$13,예상등급!$K$5:$K$13),IF(Q115=예상등급!$M$1,LOOKUP(R115,예상등급!$M$5:$M$13,예상등급!$N$5:$N$13),IF(Q115=예상등급!$P$1,LOOKUP(R115,예상등급!$P$5:$P$13,예상등급!$Q$5:$Q$13),IF(Q115=예상등급!$S$1,LOOKUP(R115,예상등급!$S$5:$S$13,예상등급!$T$5:$T$13),IF(Q115=예상등급!$V$1,LOOKUP(R115,예상등급!$V$5:$V$13,예상등급!$W$5:$W$13),IF(Q115=예상등급!$Y$1,LOOKUP(R115,예상등급!$Y$5:$Y$13,예상등급!$Z$5:$Z$13),IF(Q115=예상등급!$AB$1,LOOKUP(R115,예상등급!$AB$5:$AB$13,예상등급!$AC$5:$AC$13),IF(Q115=예상등급!$AE$1,LOOKUP(R115,예상등급!$AE$5:$AE$13,예상등급!$AF$5:$AF$13),IF(Q115=예상등급!$AH$1,LOOKUP(R115,예상등급!$AH$5:$AH$13,예상등급!$AI$5:$AI$13),IF(Q115=예상등급!$AK$1,LOOKUP(R115,예상등급!$AK$5:$AK$13,예상등급!$AL$5:$AL$13),IF(Q115=예상등급!$AN$1,LOOKUP(R115,예상등급!$AN$5:$AN$13,예상등급!$AO$5:$AO$13),IF(Q115=예상등급!$AQ$1,LOOKUP(R115,예상등급!$AQ$5:$AQ$13,예상등급!$AR$5:$AR$13),IF(Q115=예상등급!$AH$15,LOOKUP(R115,예상등급!$AH$19:$AH$27,예상등급!$AI$19:$AI$27),IF(Q115=예상등급!$AK$15,LOOKUP(R115,예상등급!$AK$19:$AK$27,예상등급!$AL$19:$AL$27),IF(Q115=예상등급!$AN$15,LOOKUP(R115,예상등급!$AN$19:$AN$27,예상등급!$AO$19:$AO$27),IF(Q115=예상등급!$AQ$15,LOOKUP(R115,예상등급!$AQ$19:$AQ$27,예상등급!$AR$19:$AR$27),"")))))))))))))))))</f>
        <v>3</v>
      </c>
      <c r="T115" s="110">
        <v>14</v>
      </c>
      <c r="U115" s="382">
        <f>IF(T115="","",LOOKUP(T115,예상등급!$D$19:$D$27,예상등급!$E$19:$E$27))</f>
        <v>7</v>
      </c>
      <c r="V115" s="402">
        <f>SUM(L115,T115,R115,O115)</f>
        <v>230</v>
      </c>
      <c r="W115" s="278">
        <f>RANK(V115,$V$4:$V$491)</f>
        <v>112</v>
      </c>
    </row>
    <row r="116" spans="1:23" ht="24.95" customHeight="1" x14ac:dyDescent="0.15">
      <c r="A116" s="110">
        <v>6</v>
      </c>
      <c r="B116" s="71">
        <v>21</v>
      </c>
      <c r="C116" s="100" t="s">
        <v>912</v>
      </c>
      <c r="D116" s="110" t="s">
        <v>779</v>
      </c>
      <c r="E116" s="71">
        <v>45</v>
      </c>
      <c r="F116" s="382">
        <f>IF(D116=예상등급!$A$1,LOOKUP(E116,예상등급!$A$5:$A$13,예상등급!$B$5:$B$13),IF(D116=예상등급!$A$15,LOOKUP(E116,예상등급!$A$19:$A$27,예상등급!$B$19:$B$27),""))</f>
        <v>5</v>
      </c>
      <c r="G116" s="110" t="s">
        <v>780</v>
      </c>
      <c r="H116" s="71">
        <v>47</v>
      </c>
      <c r="I116" s="382">
        <f>IF(G116=예상등급!$G$15,LOOKUP(H116,예상등급!$G$19:$G$27,예상등급!$H$19:$H$27),IF(G116=예상등급!$J$15,LOOKUP(H116,예상등급!$J$19:$J$27,예상등급!$K$19:$K$27),IF(G116=예상등급!$M$15,LOOKUP(H116,예상등급!$M$19:$M$27,예상등급!$N$19:$N$27),"")))</f>
        <v>5</v>
      </c>
      <c r="J116" s="110">
        <v>65</v>
      </c>
      <c r="K116" s="382">
        <f>IF(J116="","",(LOOKUP(J116,예상등급!$D$5:$D$13,예상등급!$E$5:$E$13)))</f>
        <v>4</v>
      </c>
      <c r="L116" s="301">
        <f>SUM(E116,H116,J116)</f>
        <v>157</v>
      </c>
      <c r="M116" s="398">
        <f>RANK(L116,$L$4:$L$491)</f>
        <v>124</v>
      </c>
      <c r="N116" s="110" t="s">
        <v>761</v>
      </c>
      <c r="O116" s="71">
        <v>23</v>
      </c>
      <c r="P116" s="385">
        <f>IF(N116=예상등급!$G$1,LOOKUP(O116,예상등급!$G$5:$G$13,예상등급!$H$5:$H$13),IF(N116=예상등급!$J$1,LOOKUP(O116,예상등급!$J$5:$J$13,예상등급!$K$5:$K$13),IF(N116=예상등급!$M$1,LOOKUP(O116,예상등급!$M$5:$M$13,예상등급!$N$5:$N$13),IF(N116=예상등급!$P$1,LOOKUP(O116,예상등급!$P$5:$P$13,예상등급!$Q$5:$Q$13),IF(N116=예상등급!$S$1,LOOKUP(O116,예상등급!$S$5:$S$13,예상등급!$T$5:$T$13),IF(N116=예상등급!$V$1,LOOKUP(O116,예상등급!$V$5:$V$13,예상등급!$W$5:$W$13),IF(N116=예상등급!$Y$1,LOOKUP(O116,예상등급!$Y$5:$Y$13,예상등급!$Z$5:$Z$13),IF(N116=예상등급!$AB$1,LOOKUP(O116,예상등급!$AB$5:$AB$13,예상등급!$AC$5:$AC$13),IF(N116=예상등급!$AE$1,LOOKUP(O116,예상등급!$AE$5:$AE$13,예상등급!$AF$5:$AF$13),IF(N116=예상등급!$AH$1,LOOKUP(O116,예상등급!$AH$5:$AH$13,예상등급!$AI$5:$AI$13),IF(N116=예상등급!$AK$1,LOOKUP(O116,예상등급!$AK$5:$AK$13,예상등급!$AL$5:$AL$13),IF(N116=예상등급!$AN$1,LOOKUP(O116,예상등급!$AN$5:$AN$13,예상등급!$AO$5:$AO$13),IF(N116=예상등급!$AQ$1,LOOKUP(O116,예상등급!$AQ$5:$AQ$13,예상등급!$AR$5:$AR$13),IF(N116=예상등급!$AH$15,LOOKUP(O116,예상등급!$AH$19:$AH$27,예상등급!$AI$19:$AI$27),IF(N116=예상등급!$AK$15,LOOKUP(O116,예상등급!$AK$19:$AK$27,예상등급!$AL$19:$AL$27),IF(N116=예상등급!$AN$15,LOOKUP(O116,예상등급!$AN$19:$AN$27,예상등급!$AO$19:$AO$27),IF(N116=예상등급!$AQ$15,LOOKUP(O116,예상등급!$AQ$19:$AQ$27,예상등급!$AR$19:$AR$27),"")))))))))))))))))</f>
        <v>5</v>
      </c>
      <c r="Q116" s="110" t="s">
        <v>762</v>
      </c>
      <c r="R116" s="71">
        <v>30</v>
      </c>
      <c r="S116" s="385">
        <f>IF(Q116=예상등급!$G$1,LOOKUP(R116,예상등급!$G$5:$G$13,예상등급!$H$5:$H$13),IF(Q116=예상등급!$J$1,LOOKUP(R116,예상등급!$J$5:$J$13,예상등급!$K$5:$K$13),IF(Q116=예상등급!$M$1,LOOKUP(R116,예상등급!$M$5:$M$13,예상등급!$N$5:$N$13),IF(Q116=예상등급!$P$1,LOOKUP(R116,예상등급!$P$5:$P$13,예상등급!$Q$5:$Q$13),IF(Q116=예상등급!$S$1,LOOKUP(R116,예상등급!$S$5:$S$13,예상등급!$T$5:$T$13),IF(Q116=예상등급!$V$1,LOOKUP(R116,예상등급!$V$5:$V$13,예상등급!$W$5:$W$13),IF(Q116=예상등급!$Y$1,LOOKUP(R116,예상등급!$Y$5:$Y$13,예상등급!$Z$5:$Z$13),IF(Q116=예상등급!$AB$1,LOOKUP(R116,예상등급!$AB$5:$AB$13,예상등급!$AC$5:$AC$13),IF(Q116=예상등급!$AE$1,LOOKUP(R116,예상등급!$AE$5:$AE$13,예상등급!$AF$5:$AF$13),IF(Q116=예상등급!$AH$1,LOOKUP(R116,예상등급!$AH$5:$AH$13,예상등급!$AI$5:$AI$13),IF(Q116=예상등급!$AK$1,LOOKUP(R116,예상등급!$AK$5:$AK$13,예상등급!$AL$5:$AL$13),IF(Q116=예상등급!$AN$1,LOOKUP(R116,예상등급!$AN$5:$AN$13,예상등급!$AO$5:$AO$13),IF(Q116=예상등급!$AQ$1,LOOKUP(R116,예상등급!$AQ$5:$AQ$13,예상등급!$AR$5:$AR$13),IF(Q116=예상등급!$AH$15,LOOKUP(R116,예상등급!$AH$19:$AH$27,예상등급!$AI$19:$AI$27),IF(Q116=예상등급!$AK$15,LOOKUP(R116,예상등급!$AK$19:$AK$27,예상등급!$AL$19:$AL$27),IF(Q116=예상등급!$AN$15,LOOKUP(R116,예상등급!$AN$19:$AN$27,예상등급!$AO$19:$AO$27),IF(Q116=예상등급!$AQ$15,LOOKUP(R116,예상등급!$AQ$19:$AQ$27,예상등급!$AR$19:$AR$27),"")))))))))))))))))</f>
        <v>4</v>
      </c>
      <c r="T116" s="110">
        <v>20</v>
      </c>
      <c r="U116" s="382">
        <f>IF(T116="","",LOOKUP(T116,예상등급!$D$19:$D$27,예상등급!$E$19:$E$27))</f>
        <v>5</v>
      </c>
      <c r="V116" s="402">
        <f>SUM(L116,T116,R116,O116)</f>
        <v>230</v>
      </c>
      <c r="W116" s="278">
        <f>RANK(V116,$V$4:$V$491)</f>
        <v>112</v>
      </c>
    </row>
    <row r="117" spans="1:23" ht="24.95" customHeight="1" x14ac:dyDescent="0.15">
      <c r="A117" s="110">
        <v>1</v>
      </c>
      <c r="B117" s="71">
        <v>14</v>
      </c>
      <c r="C117" s="100" t="s">
        <v>810</v>
      </c>
      <c r="D117" s="110" t="s">
        <v>779</v>
      </c>
      <c r="E117" s="71">
        <v>54</v>
      </c>
      <c r="F117" s="382">
        <f>IF(D117=예상등급!$A$1,LOOKUP(E117,예상등급!$A$5:$A$13,예상등급!$B$5:$B$13),IF(D117=예상등급!$A$15,LOOKUP(E117,예상등급!$A$19:$A$27,예상등급!$B$19:$B$27),""))</f>
        <v>4</v>
      </c>
      <c r="G117" s="110" t="s">
        <v>781</v>
      </c>
      <c r="H117" s="71">
        <v>47</v>
      </c>
      <c r="I117" s="382">
        <f>IF(G117=예상등급!$G$15,LOOKUP(H117,예상등급!$G$19:$G$27,예상등급!$H$19:$H$27),IF(G117=예상등급!$J$15,LOOKUP(H117,예상등급!$J$19:$J$27,예상등급!$K$19:$K$27),IF(G117=예상등급!$M$15,LOOKUP(H117,예상등급!$M$19:$M$27,예상등급!$N$19:$N$27),"")))</f>
        <v>5</v>
      </c>
      <c r="J117" s="110">
        <v>75</v>
      </c>
      <c r="K117" s="382">
        <f>IF(J117="","",(LOOKUP(J117,예상등급!$D$5:$D$13,예상등급!$E$5:$E$13)))</f>
        <v>3</v>
      </c>
      <c r="L117" s="301">
        <f>SUM(E117,H117,J117)</f>
        <v>176</v>
      </c>
      <c r="M117" s="398">
        <f>RANK(L117,$L$4:$L$491)</f>
        <v>83</v>
      </c>
      <c r="N117" s="110" t="s">
        <v>768</v>
      </c>
      <c r="O117" s="71">
        <v>6</v>
      </c>
      <c r="P117" s="385">
        <f>IF(N117=예상등급!$G$1,LOOKUP(O117,예상등급!$G$5:$G$13,예상등급!$H$5:$H$13),IF(N117=예상등급!$J$1,LOOKUP(O117,예상등급!$J$5:$J$13,예상등급!$K$5:$K$13),IF(N117=예상등급!$M$1,LOOKUP(O117,예상등급!$M$5:$M$13,예상등급!$N$5:$N$13),IF(N117=예상등급!$P$1,LOOKUP(O117,예상등급!$P$5:$P$13,예상등급!$Q$5:$Q$13),IF(N117=예상등급!$S$1,LOOKUP(O117,예상등급!$S$5:$S$13,예상등급!$T$5:$T$13),IF(N117=예상등급!$V$1,LOOKUP(O117,예상등급!$V$5:$V$13,예상등급!$W$5:$W$13),IF(N117=예상등급!$Y$1,LOOKUP(O117,예상등급!$Y$5:$Y$13,예상등급!$Z$5:$Z$13),IF(N117=예상등급!$AB$1,LOOKUP(O117,예상등급!$AB$5:$AB$13,예상등급!$AC$5:$AC$13),IF(N117=예상등급!$AE$1,LOOKUP(O117,예상등급!$AE$5:$AE$13,예상등급!$AF$5:$AF$13),IF(N117=예상등급!$AH$1,LOOKUP(O117,예상등급!$AH$5:$AH$13,예상등급!$AI$5:$AI$13),IF(N117=예상등급!$AK$1,LOOKUP(O117,예상등급!$AK$5:$AK$13,예상등급!$AL$5:$AL$13),IF(N117=예상등급!$AN$1,LOOKUP(O117,예상등급!$AN$5:$AN$13,예상등급!$AO$5:$AO$13),IF(N117=예상등급!$AQ$1,LOOKUP(O117,예상등급!$AQ$5:$AQ$13,예상등급!$AR$5:$AR$13),IF(N117=예상등급!$AH$15,LOOKUP(O117,예상등급!$AH$19:$AH$27,예상등급!$AI$19:$AI$27),IF(N117=예상등급!$AK$15,LOOKUP(O117,예상등급!$AK$19:$AK$27,예상등급!$AL$19:$AL$27),IF(N117=예상등급!$AN$15,LOOKUP(O117,예상등급!$AN$19:$AN$27,예상등급!$AO$19:$AO$27),IF(N117=예상등급!$AQ$15,LOOKUP(O117,예상등급!$AQ$19:$AQ$27,예상등급!$AR$19:$AR$27),"")))))))))))))))))</f>
        <v>8</v>
      </c>
      <c r="Q117" s="110" t="s">
        <v>770</v>
      </c>
      <c r="R117" s="71">
        <v>25</v>
      </c>
      <c r="S117" s="385">
        <f>IF(Q117=예상등급!$G$1,LOOKUP(R117,예상등급!$G$5:$G$13,예상등급!$H$5:$H$13),IF(Q117=예상등급!$J$1,LOOKUP(R117,예상등급!$J$5:$J$13,예상등급!$K$5:$K$13),IF(Q117=예상등급!$M$1,LOOKUP(R117,예상등급!$M$5:$M$13,예상등급!$N$5:$N$13),IF(Q117=예상등급!$P$1,LOOKUP(R117,예상등급!$P$5:$P$13,예상등급!$Q$5:$Q$13),IF(Q117=예상등급!$S$1,LOOKUP(R117,예상등급!$S$5:$S$13,예상등급!$T$5:$T$13),IF(Q117=예상등급!$V$1,LOOKUP(R117,예상등급!$V$5:$V$13,예상등급!$W$5:$W$13),IF(Q117=예상등급!$Y$1,LOOKUP(R117,예상등급!$Y$5:$Y$13,예상등급!$Z$5:$Z$13),IF(Q117=예상등급!$AB$1,LOOKUP(R117,예상등급!$AB$5:$AB$13,예상등급!$AC$5:$AC$13),IF(Q117=예상등급!$AE$1,LOOKUP(R117,예상등급!$AE$5:$AE$13,예상등급!$AF$5:$AF$13),IF(Q117=예상등급!$AH$1,LOOKUP(R117,예상등급!$AH$5:$AH$13,예상등급!$AI$5:$AI$13),IF(Q117=예상등급!$AK$1,LOOKUP(R117,예상등급!$AK$5:$AK$13,예상등급!$AL$5:$AL$13),IF(Q117=예상등급!$AN$1,LOOKUP(R117,예상등급!$AN$5:$AN$13,예상등급!$AO$5:$AO$13),IF(Q117=예상등급!$AQ$1,LOOKUP(R117,예상등급!$AQ$5:$AQ$13,예상등급!$AR$5:$AR$13),IF(Q117=예상등급!$AH$15,LOOKUP(R117,예상등급!$AH$19:$AH$27,예상등급!$AI$19:$AI$27),IF(Q117=예상등급!$AK$15,LOOKUP(R117,예상등급!$AK$19:$AK$27,예상등급!$AL$19:$AL$27),IF(Q117=예상등급!$AN$15,LOOKUP(R117,예상등급!$AN$19:$AN$27,예상등급!$AO$19:$AO$27),IF(Q117=예상등급!$AQ$15,LOOKUP(R117,예상등급!$AQ$19:$AQ$27,예상등급!$AR$19:$AR$27),"")))))))))))))))))</f>
        <v>5</v>
      </c>
      <c r="T117" s="110">
        <v>22</v>
      </c>
      <c r="U117" s="382">
        <f>IF(T117="","",LOOKUP(T117,예상등급!$D$19:$D$27,예상등급!$E$19:$E$27))</f>
        <v>5</v>
      </c>
      <c r="V117" s="402">
        <f>SUM(L117,T117,R117,O117)</f>
        <v>229</v>
      </c>
      <c r="W117" s="278">
        <f>RANK(V117,$V$4:$V$491)</f>
        <v>114</v>
      </c>
    </row>
    <row r="118" spans="1:23" ht="24.95" customHeight="1" x14ac:dyDescent="0.15">
      <c r="A118" s="110">
        <v>3</v>
      </c>
      <c r="B118" s="71">
        <v>9</v>
      </c>
      <c r="C118" s="100" t="s">
        <v>844</v>
      </c>
      <c r="D118" s="110" t="s">
        <v>779</v>
      </c>
      <c r="E118" s="71">
        <v>46</v>
      </c>
      <c r="F118" s="382">
        <f>IF(D118=예상등급!$A$1,LOOKUP(E118,예상등급!$A$5:$A$13,예상등급!$B$5:$B$13),IF(D118=예상등급!$A$15,LOOKUP(E118,예상등급!$A$19:$A$27,예상등급!$B$19:$B$27),""))</f>
        <v>5</v>
      </c>
      <c r="G118" s="110" t="s">
        <v>781</v>
      </c>
      <c r="H118" s="71">
        <v>76</v>
      </c>
      <c r="I118" s="382">
        <f>IF(G118=예상등급!$G$15,LOOKUP(H118,예상등급!$G$19:$G$27,예상등급!$H$19:$H$27),IF(G118=예상등급!$J$15,LOOKUP(H118,예상등급!$J$19:$J$27,예상등급!$K$19:$K$27),IF(G118=예상등급!$M$15,LOOKUP(H118,예상등급!$M$19:$M$27,예상등급!$N$19:$N$27),"")))</f>
        <v>2</v>
      </c>
      <c r="J118" s="110">
        <v>65</v>
      </c>
      <c r="K118" s="382">
        <f>IF(J118="","",(LOOKUP(J118,예상등급!$D$5:$D$13,예상등급!$E$5:$E$13)))</f>
        <v>4</v>
      </c>
      <c r="L118" s="301">
        <f>SUM(E118,H118,J118)</f>
        <v>187</v>
      </c>
      <c r="M118" s="398">
        <f>RANK(L118,$L$4:$L$491)</f>
        <v>65</v>
      </c>
      <c r="N118" s="110" t="s">
        <v>771</v>
      </c>
      <c r="O118" s="71">
        <v>9</v>
      </c>
      <c r="P118" s="385">
        <f>IF(N118=예상등급!$G$1,LOOKUP(O118,예상등급!$G$5:$G$13,예상등급!$H$5:$H$13),IF(N118=예상등급!$J$1,LOOKUP(O118,예상등급!$J$5:$J$13,예상등급!$K$5:$K$13),IF(N118=예상등급!$M$1,LOOKUP(O118,예상등급!$M$5:$M$13,예상등급!$N$5:$N$13),IF(N118=예상등급!$P$1,LOOKUP(O118,예상등급!$P$5:$P$13,예상등급!$Q$5:$Q$13),IF(N118=예상등급!$S$1,LOOKUP(O118,예상등급!$S$5:$S$13,예상등급!$T$5:$T$13),IF(N118=예상등급!$V$1,LOOKUP(O118,예상등급!$V$5:$V$13,예상등급!$W$5:$W$13),IF(N118=예상등급!$Y$1,LOOKUP(O118,예상등급!$Y$5:$Y$13,예상등급!$Z$5:$Z$13),IF(N118=예상등급!$AB$1,LOOKUP(O118,예상등급!$AB$5:$AB$13,예상등급!$AC$5:$AC$13),IF(N118=예상등급!$AE$1,LOOKUP(O118,예상등급!$AE$5:$AE$13,예상등급!$AF$5:$AF$13),IF(N118=예상등급!$AH$1,LOOKUP(O118,예상등급!$AH$5:$AH$13,예상등급!$AI$5:$AI$13),IF(N118=예상등급!$AK$1,LOOKUP(O118,예상등급!$AK$5:$AK$13,예상등급!$AL$5:$AL$13),IF(N118=예상등급!$AN$1,LOOKUP(O118,예상등급!$AN$5:$AN$13,예상등급!$AO$5:$AO$13),IF(N118=예상등급!$AQ$1,LOOKUP(O118,예상등급!$AQ$5:$AQ$13,예상등급!$AR$5:$AR$13),IF(N118=예상등급!$AH$15,LOOKUP(O118,예상등급!$AH$19:$AH$27,예상등급!$AI$19:$AI$27),IF(N118=예상등급!$AK$15,LOOKUP(O118,예상등급!$AK$19:$AK$27,예상등급!$AL$19:$AL$27),IF(N118=예상등급!$AN$15,LOOKUP(O118,예상등급!$AN$19:$AN$27,예상등급!$AO$19:$AO$27),IF(N118=예상등급!$AQ$15,LOOKUP(O118,예상등급!$AQ$19:$AQ$27,예상등급!$AR$19:$AR$27),"")))))))))))))))))</f>
        <v>7</v>
      </c>
      <c r="Q118" s="110" t="s">
        <v>762</v>
      </c>
      <c r="R118" s="71">
        <v>18</v>
      </c>
      <c r="S118" s="385">
        <f>IF(Q118=예상등급!$G$1,LOOKUP(R118,예상등급!$G$5:$G$13,예상등급!$H$5:$H$13),IF(Q118=예상등급!$J$1,LOOKUP(R118,예상등급!$J$5:$J$13,예상등급!$K$5:$K$13),IF(Q118=예상등급!$M$1,LOOKUP(R118,예상등급!$M$5:$M$13,예상등급!$N$5:$N$13),IF(Q118=예상등급!$P$1,LOOKUP(R118,예상등급!$P$5:$P$13,예상등급!$Q$5:$Q$13),IF(Q118=예상등급!$S$1,LOOKUP(R118,예상등급!$S$5:$S$13,예상등급!$T$5:$T$13),IF(Q118=예상등급!$V$1,LOOKUP(R118,예상등급!$V$5:$V$13,예상등급!$W$5:$W$13),IF(Q118=예상등급!$Y$1,LOOKUP(R118,예상등급!$Y$5:$Y$13,예상등급!$Z$5:$Z$13),IF(Q118=예상등급!$AB$1,LOOKUP(R118,예상등급!$AB$5:$AB$13,예상등급!$AC$5:$AC$13),IF(Q118=예상등급!$AE$1,LOOKUP(R118,예상등급!$AE$5:$AE$13,예상등급!$AF$5:$AF$13),IF(Q118=예상등급!$AH$1,LOOKUP(R118,예상등급!$AH$5:$AH$13,예상등급!$AI$5:$AI$13),IF(Q118=예상등급!$AK$1,LOOKUP(R118,예상등급!$AK$5:$AK$13,예상등급!$AL$5:$AL$13),IF(Q118=예상등급!$AN$1,LOOKUP(R118,예상등급!$AN$5:$AN$13,예상등급!$AO$5:$AO$13),IF(Q118=예상등급!$AQ$1,LOOKUP(R118,예상등급!$AQ$5:$AQ$13,예상등급!$AR$5:$AR$13),IF(Q118=예상등급!$AH$15,LOOKUP(R118,예상등급!$AH$19:$AH$27,예상등급!$AI$19:$AI$27),IF(Q118=예상등급!$AK$15,LOOKUP(R118,예상등급!$AK$19:$AK$27,예상등급!$AL$19:$AL$27),IF(Q118=예상등급!$AN$15,LOOKUP(R118,예상등급!$AN$19:$AN$27,예상등급!$AO$19:$AO$27),IF(Q118=예상등급!$AQ$15,LOOKUP(R118,예상등급!$AQ$19:$AQ$27,예상등급!$AR$19:$AR$27),"")))))))))))))))))</f>
        <v>6</v>
      </c>
      <c r="T118" s="110">
        <v>15</v>
      </c>
      <c r="U118" s="382">
        <f>IF(T118="","",LOOKUP(T118,예상등급!$D$19:$D$27,예상등급!$E$19:$E$27))</f>
        <v>6</v>
      </c>
      <c r="V118" s="402">
        <f>SUM(L118,T118,R118,O118)</f>
        <v>229</v>
      </c>
      <c r="W118" s="278">
        <f>RANK(V118,$V$4:$V$491)</f>
        <v>114</v>
      </c>
    </row>
    <row r="119" spans="1:23" ht="24.95" customHeight="1" x14ac:dyDescent="0.15">
      <c r="A119" s="110">
        <v>3</v>
      </c>
      <c r="B119" s="71">
        <v>15</v>
      </c>
      <c r="C119" s="100" t="s">
        <v>849</v>
      </c>
      <c r="D119" s="110" t="s">
        <v>779</v>
      </c>
      <c r="E119" s="71">
        <v>45</v>
      </c>
      <c r="F119" s="382">
        <f>IF(D119=예상등급!$A$1,LOOKUP(E119,예상등급!$A$5:$A$13,예상등급!$B$5:$B$13),IF(D119=예상등급!$A$15,LOOKUP(E119,예상등급!$A$19:$A$27,예상등급!$B$19:$B$27),""))</f>
        <v>5</v>
      </c>
      <c r="G119" s="110" t="s">
        <v>780</v>
      </c>
      <c r="H119" s="71">
        <v>59</v>
      </c>
      <c r="I119" s="382">
        <f>IF(G119=예상등급!$G$15,LOOKUP(H119,예상등급!$G$19:$G$27,예상등급!$H$19:$H$27),IF(G119=예상등급!$J$15,LOOKUP(H119,예상등급!$J$19:$J$27,예상등급!$K$19:$K$27),IF(G119=예상등급!$M$15,LOOKUP(H119,예상등급!$M$19:$M$27,예상등급!$N$19:$N$27),"")))</f>
        <v>4</v>
      </c>
      <c r="J119" s="110">
        <v>64</v>
      </c>
      <c r="K119" s="382">
        <f>IF(J119="","",(LOOKUP(J119,예상등급!$D$5:$D$13,예상등급!$E$5:$E$13)))</f>
        <v>4</v>
      </c>
      <c r="L119" s="301">
        <f>SUM(E119,H119,J119)</f>
        <v>168</v>
      </c>
      <c r="M119" s="398">
        <f>RANK(L119,$L$4:$L$491)</f>
        <v>96</v>
      </c>
      <c r="N119" s="110" t="s">
        <v>769</v>
      </c>
      <c r="O119" s="71">
        <v>20</v>
      </c>
      <c r="P119" s="385">
        <f>IF(N119=예상등급!$G$1,LOOKUP(O119,예상등급!$G$5:$G$13,예상등급!$H$5:$H$13),IF(N119=예상등급!$J$1,LOOKUP(O119,예상등급!$J$5:$J$13,예상등급!$K$5:$K$13),IF(N119=예상등급!$M$1,LOOKUP(O119,예상등급!$M$5:$M$13,예상등급!$N$5:$N$13),IF(N119=예상등급!$P$1,LOOKUP(O119,예상등급!$P$5:$P$13,예상등급!$Q$5:$Q$13),IF(N119=예상등급!$S$1,LOOKUP(O119,예상등급!$S$5:$S$13,예상등급!$T$5:$T$13),IF(N119=예상등급!$V$1,LOOKUP(O119,예상등급!$V$5:$V$13,예상등급!$W$5:$W$13),IF(N119=예상등급!$Y$1,LOOKUP(O119,예상등급!$Y$5:$Y$13,예상등급!$Z$5:$Z$13),IF(N119=예상등급!$AB$1,LOOKUP(O119,예상등급!$AB$5:$AB$13,예상등급!$AC$5:$AC$13),IF(N119=예상등급!$AE$1,LOOKUP(O119,예상등급!$AE$5:$AE$13,예상등급!$AF$5:$AF$13),IF(N119=예상등급!$AH$1,LOOKUP(O119,예상등급!$AH$5:$AH$13,예상등급!$AI$5:$AI$13),IF(N119=예상등급!$AK$1,LOOKUP(O119,예상등급!$AK$5:$AK$13,예상등급!$AL$5:$AL$13),IF(N119=예상등급!$AN$1,LOOKUP(O119,예상등급!$AN$5:$AN$13,예상등급!$AO$5:$AO$13),IF(N119=예상등급!$AQ$1,LOOKUP(O119,예상등급!$AQ$5:$AQ$13,예상등급!$AR$5:$AR$13),IF(N119=예상등급!$AH$15,LOOKUP(O119,예상등급!$AH$19:$AH$27,예상등급!$AI$19:$AI$27),IF(N119=예상등급!$AK$15,LOOKUP(O119,예상등급!$AK$19:$AK$27,예상등급!$AL$19:$AL$27),IF(N119=예상등급!$AN$15,LOOKUP(O119,예상등급!$AN$19:$AN$27,예상등급!$AO$19:$AO$27),IF(N119=예상등급!$AQ$15,LOOKUP(O119,예상등급!$AQ$19:$AQ$27,예상등급!$AR$19:$AR$27),"")))))))))))))))))</f>
        <v>5</v>
      </c>
      <c r="Q119" s="110" t="s">
        <v>763</v>
      </c>
      <c r="R119" s="71">
        <v>23</v>
      </c>
      <c r="S119" s="385">
        <f>IF(Q119=예상등급!$G$1,LOOKUP(R119,예상등급!$G$5:$G$13,예상등급!$H$5:$H$13),IF(Q119=예상등급!$J$1,LOOKUP(R119,예상등급!$J$5:$J$13,예상등급!$K$5:$K$13),IF(Q119=예상등급!$M$1,LOOKUP(R119,예상등급!$M$5:$M$13,예상등급!$N$5:$N$13),IF(Q119=예상등급!$P$1,LOOKUP(R119,예상등급!$P$5:$P$13,예상등급!$Q$5:$Q$13),IF(Q119=예상등급!$S$1,LOOKUP(R119,예상등급!$S$5:$S$13,예상등급!$T$5:$T$13),IF(Q119=예상등급!$V$1,LOOKUP(R119,예상등급!$V$5:$V$13,예상등급!$W$5:$W$13),IF(Q119=예상등급!$Y$1,LOOKUP(R119,예상등급!$Y$5:$Y$13,예상등급!$Z$5:$Z$13),IF(Q119=예상등급!$AB$1,LOOKUP(R119,예상등급!$AB$5:$AB$13,예상등급!$AC$5:$AC$13),IF(Q119=예상등급!$AE$1,LOOKUP(R119,예상등급!$AE$5:$AE$13,예상등급!$AF$5:$AF$13),IF(Q119=예상등급!$AH$1,LOOKUP(R119,예상등급!$AH$5:$AH$13,예상등급!$AI$5:$AI$13),IF(Q119=예상등급!$AK$1,LOOKUP(R119,예상등급!$AK$5:$AK$13,예상등급!$AL$5:$AL$13),IF(Q119=예상등급!$AN$1,LOOKUP(R119,예상등급!$AN$5:$AN$13,예상등급!$AO$5:$AO$13),IF(Q119=예상등급!$AQ$1,LOOKUP(R119,예상등급!$AQ$5:$AQ$13,예상등급!$AR$5:$AR$13),IF(Q119=예상등급!$AH$15,LOOKUP(R119,예상등급!$AH$19:$AH$27,예상등급!$AI$19:$AI$27),IF(Q119=예상등급!$AK$15,LOOKUP(R119,예상등급!$AK$19:$AK$27,예상등급!$AL$19:$AL$27),IF(Q119=예상등급!$AN$15,LOOKUP(R119,예상등급!$AN$19:$AN$27,예상등급!$AO$19:$AO$27),IF(Q119=예상등급!$AQ$15,LOOKUP(R119,예상등급!$AQ$19:$AQ$27,예상등급!$AR$19:$AR$27),"")))))))))))))))))</f>
        <v>4</v>
      </c>
      <c r="T119" s="110">
        <v>18</v>
      </c>
      <c r="U119" s="382">
        <f>IF(T119="","",LOOKUP(T119,예상등급!$D$19:$D$27,예상등급!$E$19:$E$27))</f>
        <v>6</v>
      </c>
      <c r="V119" s="402">
        <f>SUM(L119,T119,R119,O119)</f>
        <v>229</v>
      </c>
      <c r="W119" s="278">
        <f>RANK(V119,$V$4:$V$491)</f>
        <v>114</v>
      </c>
    </row>
    <row r="120" spans="1:23" ht="24.95" customHeight="1" x14ac:dyDescent="0.15">
      <c r="A120" s="110">
        <v>7</v>
      </c>
      <c r="B120" s="71">
        <v>11</v>
      </c>
      <c r="C120" s="100" t="s">
        <v>925</v>
      </c>
      <c r="D120" s="110" t="s">
        <v>779</v>
      </c>
      <c r="E120" s="71">
        <v>62</v>
      </c>
      <c r="F120" s="382">
        <f>IF(D120=예상등급!$A$1,LOOKUP(E120,예상등급!$A$5:$A$13,예상등급!$B$5:$B$13),IF(D120=예상등급!$A$15,LOOKUP(E120,예상등급!$A$19:$A$27,예상등급!$B$19:$B$27),""))</f>
        <v>4</v>
      </c>
      <c r="G120" s="110" t="s">
        <v>780</v>
      </c>
      <c r="H120" s="71">
        <v>33</v>
      </c>
      <c r="I120" s="382">
        <f>IF(G120=예상등급!$G$15,LOOKUP(H120,예상등급!$G$19:$G$27,예상등급!$H$19:$H$27),IF(G120=예상등급!$J$15,LOOKUP(H120,예상등급!$J$19:$J$27,예상등급!$K$19:$K$27),IF(G120=예상등급!$M$15,LOOKUP(H120,예상등급!$M$19:$M$27,예상등급!$N$19:$N$27),"")))</f>
        <v>5</v>
      </c>
      <c r="J120" s="110">
        <v>64</v>
      </c>
      <c r="K120" s="382">
        <f>IF(J120="","",(LOOKUP(J120,예상등급!$D$5:$D$13,예상등급!$E$5:$E$13)))</f>
        <v>4</v>
      </c>
      <c r="L120" s="301">
        <f>SUM(E120,H120,J120)</f>
        <v>159</v>
      </c>
      <c r="M120" s="398">
        <f>RANK(L120,$L$4:$L$491)</f>
        <v>116</v>
      </c>
      <c r="N120" s="110" t="s">
        <v>761</v>
      </c>
      <c r="O120" s="71">
        <v>28</v>
      </c>
      <c r="P120" s="385">
        <f>IF(N120=예상등급!$G$1,LOOKUP(O120,예상등급!$G$5:$G$13,예상등급!$H$5:$H$13),IF(N120=예상등급!$J$1,LOOKUP(O120,예상등급!$J$5:$J$13,예상등급!$K$5:$K$13),IF(N120=예상등급!$M$1,LOOKUP(O120,예상등급!$M$5:$M$13,예상등급!$N$5:$N$13),IF(N120=예상등급!$P$1,LOOKUP(O120,예상등급!$P$5:$P$13,예상등급!$Q$5:$Q$13),IF(N120=예상등급!$S$1,LOOKUP(O120,예상등급!$S$5:$S$13,예상등급!$T$5:$T$13),IF(N120=예상등급!$V$1,LOOKUP(O120,예상등급!$V$5:$V$13,예상등급!$W$5:$W$13),IF(N120=예상등급!$Y$1,LOOKUP(O120,예상등급!$Y$5:$Y$13,예상등급!$Z$5:$Z$13),IF(N120=예상등급!$AB$1,LOOKUP(O120,예상등급!$AB$5:$AB$13,예상등급!$AC$5:$AC$13),IF(N120=예상등급!$AE$1,LOOKUP(O120,예상등급!$AE$5:$AE$13,예상등급!$AF$5:$AF$13),IF(N120=예상등급!$AH$1,LOOKUP(O120,예상등급!$AH$5:$AH$13,예상등급!$AI$5:$AI$13),IF(N120=예상등급!$AK$1,LOOKUP(O120,예상등급!$AK$5:$AK$13,예상등급!$AL$5:$AL$13),IF(N120=예상등급!$AN$1,LOOKUP(O120,예상등급!$AN$5:$AN$13,예상등급!$AO$5:$AO$13),IF(N120=예상등급!$AQ$1,LOOKUP(O120,예상등급!$AQ$5:$AQ$13,예상등급!$AR$5:$AR$13),IF(N120=예상등급!$AH$15,LOOKUP(O120,예상등급!$AH$19:$AH$27,예상등급!$AI$19:$AI$27),IF(N120=예상등급!$AK$15,LOOKUP(O120,예상등급!$AK$19:$AK$27,예상등급!$AL$19:$AL$27),IF(N120=예상등급!$AN$15,LOOKUP(O120,예상등급!$AN$19:$AN$27,예상등급!$AO$19:$AO$27),IF(N120=예상등급!$AQ$15,LOOKUP(O120,예상등급!$AQ$19:$AQ$27,예상등급!$AR$19:$AR$27),"")))))))))))))))))</f>
        <v>4</v>
      </c>
      <c r="Q120" s="110" t="s">
        <v>762</v>
      </c>
      <c r="R120" s="71">
        <v>23</v>
      </c>
      <c r="S120" s="385">
        <f>IF(Q120=예상등급!$G$1,LOOKUP(R120,예상등급!$G$5:$G$13,예상등급!$H$5:$H$13),IF(Q120=예상등급!$J$1,LOOKUP(R120,예상등급!$J$5:$J$13,예상등급!$K$5:$K$13),IF(Q120=예상등급!$M$1,LOOKUP(R120,예상등급!$M$5:$M$13,예상등급!$N$5:$N$13),IF(Q120=예상등급!$P$1,LOOKUP(R120,예상등급!$P$5:$P$13,예상등급!$Q$5:$Q$13),IF(Q120=예상등급!$S$1,LOOKUP(R120,예상등급!$S$5:$S$13,예상등급!$T$5:$T$13),IF(Q120=예상등급!$V$1,LOOKUP(R120,예상등급!$V$5:$V$13,예상등급!$W$5:$W$13),IF(Q120=예상등급!$Y$1,LOOKUP(R120,예상등급!$Y$5:$Y$13,예상등급!$Z$5:$Z$13),IF(Q120=예상등급!$AB$1,LOOKUP(R120,예상등급!$AB$5:$AB$13,예상등급!$AC$5:$AC$13),IF(Q120=예상등급!$AE$1,LOOKUP(R120,예상등급!$AE$5:$AE$13,예상등급!$AF$5:$AF$13),IF(Q120=예상등급!$AH$1,LOOKUP(R120,예상등급!$AH$5:$AH$13,예상등급!$AI$5:$AI$13),IF(Q120=예상등급!$AK$1,LOOKUP(R120,예상등급!$AK$5:$AK$13,예상등급!$AL$5:$AL$13),IF(Q120=예상등급!$AN$1,LOOKUP(R120,예상등급!$AN$5:$AN$13,예상등급!$AO$5:$AO$13),IF(Q120=예상등급!$AQ$1,LOOKUP(R120,예상등급!$AQ$5:$AQ$13,예상등급!$AR$5:$AR$13),IF(Q120=예상등급!$AH$15,LOOKUP(R120,예상등급!$AH$19:$AH$27,예상등급!$AI$19:$AI$27),IF(Q120=예상등급!$AK$15,LOOKUP(R120,예상등급!$AK$19:$AK$27,예상등급!$AL$19:$AL$27),IF(Q120=예상등급!$AN$15,LOOKUP(R120,예상등급!$AN$19:$AN$27,예상등급!$AO$19:$AO$27),IF(Q120=예상등급!$AQ$15,LOOKUP(R120,예상등급!$AQ$19:$AQ$27,예상등급!$AR$19:$AR$27),"")))))))))))))))))</f>
        <v>5</v>
      </c>
      <c r="T120" s="110">
        <v>16</v>
      </c>
      <c r="U120" s="382">
        <f>IF(T120="","",LOOKUP(T120,예상등급!$D$19:$D$27,예상등급!$E$19:$E$27))</f>
        <v>6</v>
      </c>
      <c r="V120" s="402">
        <f>SUM(L120,T120,R120,O120)</f>
        <v>226</v>
      </c>
      <c r="W120" s="278">
        <f>RANK(V120,$V$4:$V$491)</f>
        <v>117</v>
      </c>
    </row>
    <row r="121" spans="1:23" ht="24.95" customHeight="1" x14ac:dyDescent="0.15">
      <c r="A121" s="110">
        <v>9</v>
      </c>
      <c r="B121" s="71">
        <v>3</v>
      </c>
      <c r="C121" s="100" t="s">
        <v>963</v>
      </c>
      <c r="D121" s="110" t="s">
        <v>779</v>
      </c>
      <c r="E121" s="71">
        <v>58</v>
      </c>
      <c r="F121" s="382">
        <f>IF(D121=예상등급!$A$1,LOOKUP(E121,예상등급!$A$5:$A$13,예상등급!$B$5:$B$13),IF(D121=예상등급!$A$15,LOOKUP(E121,예상등급!$A$19:$A$27,예상등급!$B$19:$B$27),""))</f>
        <v>4</v>
      </c>
      <c r="G121" s="110" t="s">
        <v>780</v>
      </c>
      <c r="H121" s="71">
        <v>16</v>
      </c>
      <c r="I121" s="382">
        <f>IF(G121=예상등급!$G$15,LOOKUP(H121,예상등급!$G$19:$G$27,예상등급!$H$19:$H$27),IF(G121=예상등급!$J$15,LOOKUP(H121,예상등급!$J$19:$J$27,예상등급!$K$19:$K$27),IF(G121=예상등급!$M$15,LOOKUP(H121,예상등급!$M$19:$M$27,예상등급!$N$19:$N$27),"")))</f>
        <v>8</v>
      </c>
      <c r="J121" s="110">
        <v>76</v>
      </c>
      <c r="K121" s="382">
        <f>IF(J121="","",(LOOKUP(J121,예상등급!$D$5:$D$13,예상등급!$E$5:$E$13)))</f>
        <v>3</v>
      </c>
      <c r="L121" s="301">
        <f>SUM(E121,H121,J121)</f>
        <v>150</v>
      </c>
      <c r="M121" s="398">
        <f>RANK(L121,$L$4:$L$491)</f>
        <v>133</v>
      </c>
      <c r="N121" s="110" t="s">
        <v>761</v>
      </c>
      <c r="O121" s="71">
        <v>30</v>
      </c>
      <c r="P121" s="385">
        <f>IF(N121=예상등급!$G$1,LOOKUP(O121,예상등급!$G$5:$G$13,예상등급!$H$5:$H$13),IF(N121=예상등급!$J$1,LOOKUP(O121,예상등급!$J$5:$J$13,예상등급!$K$5:$K$13),IF(N121=예상등급!$M$1,LOOKUP(O121,예상등급!$M$5:$M$13,예상등급!$N$5:$N$13),IF(N121=예상등급!$P$1,LOOKUP(O121,예상등급!$P$5:$P$13,예상등급!$Q$5:$Q$13),IF(N121=예상등급!$S$1,LOOKUP(O121,예상등급!$S$5:$S$13,예상등급!$T$5:$T$13),IF(N121=예상등급!$V$1,LOOKUP(O121,예상등급!$V$5:$V$13,예상등급!$W$5:$W$13),IF(N121=예상등급!$Y$1,LOOKUP(O121,예상등급!$Y$5:$Y$13,예상등급!$Z$5:$Z$13),IF(N121=예상등급!$AB$1,LOOKUP(O121,예상등급!$AB$5:$AB$13,예상등급!$AC$5:$AC$13),IF(N121=예상등급!$AE$1,LOOKUP(O121,예상등급!$AE$5:$AE$13,예상등급!$AF$5:$AF$13),IF(N121=예상등급!$AH$1,LOOKUP(O121,예상등급!$AH$5:$AH$13,예상등급!$AI$5:$AI$13),IF(N121=예상등급!$AK$1,LOOKUP(O121,예상등급!$AK$5:$AK$13,예상등급!$AL$5:$AL$13),IF(N121=예상등급!$AN$1,LOOKUP(O121,예상등급!$AN$5:$AN$13,예상등급!$AO$5:$AO$13),IF(N121=예상등급!$AQ$1,LOOKUP(O121,예상등급!$AQ$5:$AQ$13,예상등급!$AR$5:$AR$13),IF(N121=예상등급!$AH$15,LOOKUP(O121,예상등급!$AH$19:$AH$27,예상등급!$AI$19:$AI$27),IF(N121=예상등급!$AK$15,LOOKUP(O121,예상등급!$AK$19:$AK$27,예상등급!$AL$19:$AL$27),IF(N121=예상등급!$AN$15,LOOKUP(O121,예상등급!$AN$19:$AN$27,예상등급!$AO$19:$AO$27),IF(N121=예상등급!$AQ$15,LOOKUP(O121,예상등급!$AQ$19:$AQ$27,예상등급!$AR$19:$AR$27),"")))))))))))))))))</f>
        <v>3</v>
      </c>
      <c r="Q121" s="110" t="s">
        <v>762</v>
      </c>
      <c r="R121" s="71">
        <v>23</v>
      </c>
      <c r="S121" s="385">
        <f>IF(Q121=예상등급!$G$1,LOOKUP(R121,예상등급!$G$5:$G$13,예상등급!$H$5:$H$13),IF(Q121=예상등급!$J$1,LOOKUP(R121,예상등급!$J$5:$J$13,예상등급!$K$5:$K$13),IF(Q121=예상등급!$M$1,LOOKUP(R121,예상등급!$M$5:$M$13,예상등급!$N$5:$N$13),IF(Q121=예상등급!$P$1,LOOKUP(R121,예상등급!$P$5:$P$13,예상등급!$Q$5:$Q$13),IF(Q121=예상등급!$S$1,LOOKUP(R121,예상등급!$S$5:$S$13,예상등급!$T$5:$T$13),IF(Q121=예상등급!$V$1,LOOKUP(R121,예상등급!$V$5:$V$13,예상등급!$W$5:$W$13),IF(Q121=예상등급!$Y$1,LOOKUP(R121,예상등급!$Y$5:$Y$13,예상등급!$Z$5:$Z$13),IF(Q121=예상등급!$AB$1,LOOKUP(R121,예상등급!$AB$5:$AB$13,예상등급!$AC$5:$AC$13),IF(Q121=예상등급!$AE$1,LOOKUP(R121,예상등급!$AE$5:$AE$13,예상등급!$AF$5:$AF$13),IF(Q121=예상등급!$AH$1,LOOKUP(R121,예상등급!$AH$5:$AH$13,예상등급!$AI$5:$AI$13),IF(Q121=예상등급!$AK$1,LOOKUP(R121,예상등급!$AK$5:$AK$13,예상등급!$AL$5:$AL$13),IF(Q121=예상등급!$AN$1,LOOKUP(R121,예상등급!$AN$5:$AN$13,예상등급!$AO$5:$AO$13),IF(Q121=예상등급!$AQ$1,LOOKUP(R121,예상등급!$AQ$5:$AQ$13,예상등급!$AR$5:$AR$13),IF(Q121=예상등급!$AH$15,LOOKUP(R121,예상등급!$AH$19:$AH$27,예상등급!$AI$19:$AI$27),IF(Q121=예상등급!$AK$15,LOOKUP(R121,예상등급!$AK$19:$AK$27,예상등급!$AL$19:$AL$27),IF(Q121=예상등급!$AN$15,LOOKUP(R121,예상등급!$AN$19:$AN$27,예상등급!$AO$19:$AO$27),IF(Q121=예상등급!$AQ$15,LOOKUP(R121,예상등급!$AQ$19:$AQ$27,예상등급!$AR$19:$AR$27),"")))))))))))))))))</f>
        <v>5</v>
      </c>
      <c r="T121" s="110">
        <v>23</v>
      </c>
      <c r="U121" s="382">
        <f>IF(T121="","",LOOKUP(T121,예상등급!$D$19:$D$27,예상등급!$E$19:$E$27))</f>
        <v>5</v>
      </c>
      <c r="V121" s="402">
        <f>SUM(L121,T121,R121,O121)</f>
        <v>226</v>
      </c>
      <c r="W121" s="278">
        <f>RANK(V121,$V$4:$V$491)</f>
        <v>117</v>
      </c>
    </row>
    <row r="122" spans="1:23" ht="24.95" customHeight="1" x14ac:dyDescent="0.15">
      <c r="A122" s="110">
        <v>1</v>
      </c>
      <c r="B122" s="71">
        <v>16</v>
      </c>
      <c r="C122" s="100" t="s">
        <v>812</v>
      </c>
      <c r="D122" s="110" t="s">
        <v>779</v>
      </c>
      <c r="E122" s="71">
        <v>55</v>
      </c>
      <c r="F122" s="382">
        <f>IF(D122=예상등급!$A$1,LOOKUP(E122,예상등급!$A$5:$A$13,예상등급!$B$5:$B$13),IF(D122=예상등급!$A$15,LOOKUP(E122,예상등급!$A$19:$A$27,예상등급!$B$19:$B$27),""))</f>
        <v>4</v>
      </c>
      <c r="G122" s="110" t="s">
        <v>780</v>
      </c>
      <c r="H122" s="71">
        <v>45</v>
      </c>
      <c r="I122" s="382">
        <f>IF(G122=예상등급!$G$15,LOOKUP(H122,예상등급!$G$19:$G$27,예상등급!$H$19:$H$27),IF(G122=예상등급!$J$15,LOOKUP(H122,예상등급!$J$19:$J$27,예상등급!$K$19:$K$27),IF(G122=예상등급!$M$15,LOOKUP(H122,예상등급!$M$19:$M$27,예상등급!$N$19:$N$27),"")))</f>
        <v>5</v>
      </c>
      <c r="J122" s="110">
        <v>65</v>
      </c>
      <c r="K122" s="382">
        <f>IF(J122="","",(LOOKUP(J122,예상등급!$D$5:$D$13,예상등급!$E$5:$E$13)))</f>
        <v>4</v>
      </c>
      <c r="L122" s="301">
        <f>SUM(E122,H122,J122)</f>
        <v>165</v>
      </c>
      <c r="M122" s="398">
        <f>RANK(L122,$L$4:$L$491)</f>
        <v>103</v>
      </c>
      <c r="N122" s="110" t="s">
        <v>761</v>
      </c>
      <c r="O122" s="71">
        <v>17</v>
      </c>
      <c r="P122" s="385">
        <f>IF(N122=예상등급!$G$1,LOOKUP(O122,예상등급!$G$5:$G$13,예상등급!$H$5:$H$13),IF(N122=예상등급!$J$1,LOOKUP(O122,예상등급!$J$5:$J$13,예상등급!$K$5:$K$13),IF(N122=예상등급!$M$1,LOOKUP(O122,예상등급!$M$5:$M$13,예상등급!$N$5:$N$13),IF(N122=예상등급!$P$1,LOOKUP(O122,예상등급!$P$5:$P$13,예상등급!$Q$5:$Q$13),IF(N122=예상등급!$S$1,LOOKUP(O122,예상등급!$S$5:$S$13,예상등급!$T$5:$T$13),IF(N122=예상등급!$V$1,LOOKUP(O122,예상등급!$V$5:$V$13,예상등급!$W$5:$W$13),IF(N122=예상등급!$Y$1,LOOKUP(O122,예상등급!$Y$5:$Y$13,예상등급!$Z$5:$Z$13),IF(N122=예상등급!$AB$1,LOOKUP(O122,예상등급!$AB$5:$AB$13,예상등급!$AC$5:$AC$13),IF(N122=예상등급!$AE$1,LOOKUP(O122,예상등급!$AE$5:$AE$13,예상등급!$AF$5:$AF$13),IF(N122=예상등급!$AH$1,LOOKUP(O122,예상등급!$AH$5:$AH$13,예상등급!$AI$5:$AI$13),IF(N122=예상등급!$AK$1,LOOKUP(O122,예상등급!$AK$5:$AK$13,예상등급!$AL$5:$AL$13),IF(N122=예상등급!$AN$1,LOOKUP(O122,예상등급!$AN$5:$AN$13,예상등급!$AO$5:$AO$13),IF(N122=예상등급!$AQ$1,LOOKUP(O122,예상등급!$AQ$5:$AQ$13,예상등급!$AR$5:$AR$13),IF(N122=예상등급!$AH$15,LOOKUP(O122,예상등급!$AH$19:$AH$27,예상등급!$AI$19:$AI$27),IF(N122=예상등급!$AK$15,LOOKUP(O122,예상등급!$AK$19:$AK$27,예상등급!$AL$19:$AL$27),IF(N122=예상등급!$AN$15,LOOKUP(O122,예상등급!$AN$19:$AN$27,예상등급!$AO$19:$AO$27),IF(N122=예상등급!$AQ$15,LOOKUP(O122,예상등급!$AQ$19:$AQ$27,예상등급!$AR$19:$AR$27),"")))))))))))))))))</f>
        <v>6</v>
      </c>
      <c r="Q122" s="110" t="s">
        <v>762</v>
      </c>
      <c r="R122" s="71">
        <v>27</v>
      </c>
      <c r="S122" s="385">
        <f>IF(Q122=예상등급!$G$1,LOOKUP(R122,예상등급!$G$5:$G$13,예상등급!$H$5:$H$13),IF(Q122=예상등급!$J$1,LOOKUP(R122,예상등급!$J$5:$J$13,예상등급!$K$5:$K$13),IF(Q122=예상등급!$M$1,LOOKUP(R122,예상등급!$M$5:$M$13,예상등급!$N$5:$N$13),IF(Q122=예상등급!$P$1,LOOKUP(R122,예상등급!$P$5:$P$13,예상등급!$Q$5:$Q$13),IF(Q122=예상등급!$S$1,LOOKUP(R122,예상등급!$S$5:$S$13,예상등급!$T$5:$T$13),IF(Q122=예상등급!$V$1,LOOKUP(R122,예상등급!$V$5:$V$13,예상등급!$W$5:$W$13),IF(Q122=예상등급!$Y$1,LOOKUP(R122,예상등급!$Y$5:$Y$13,예상등급!$Z$5:$Z$13),IF(Q122=예상등급!$AB$1,LOOKUP(R122,예상등급!$AB$5:$AB$13,예상등급!$AC$5:$AC$13),IF(Q122=예상등급!$AE$1,LOOKUP(R122,예상등급!$AE$5:$AE$13,예상등급!$AF$5:$AF$13),IF(Q122=예상등급!$AH$1,LOOKUP(R122,예상등급!$AH$5:$AH$13,예상등급!$AI$5:$AI$13),IF(Q122=예상등급!$AK$1,LOOKUP(R122,예상등급!$AK$5:$AK$13,예상등급!$AL$5:$AL$13),IF(Q122=예상등급!$AN$1,LOOKUP(R122,예상등급!$AN$5:$AN$13,예상등급!$AO$5:$AO$13),IF(Q122=예상등급!$AQ$1,LOOKUP(R122,예상등급!$AQ$5:$AQ$13,예상등급!$AR$5:$AR$13),IF(Q122=예상등급!$AH$15,LOOKUP(R122,예상등급!$AH$19:$AH$27,예상등급!$AI$19:$AI$27),IF(Q122=예상등급!$AK$15,LOOKUP(R122,예상등급!$AK$19:$AK$27,예상등급!$AL$19:$AL$27),IF(Q122=예상등급!$AN$15,LOOKUP(R122,예상등급!$AN$19:$AN$27,예상등급!$AO$19:$AO$27),IF(Q122=예상등급!$AQ$15,LOOKUP(R122,예상등급!$AQ$19:$AQ$27,예상등급!$AR$19:$AR$27),"")))))))))))))))))</f>
        <v>4</v>
      </c>
      <c r="T122" s="110">
        <v>16</v>
      </c>
      <c r="U122" s="382">
        <f>IF(T122="","",LOOKUP(T122,예상등급!$D$19:$D$27,예상등급!$E$19:$E$27))</f>
        <v>6</v>
      </c>
      <c r="V122" s="402">
        <f>SUM(L122,T122,R122,O122)</f>
        <v>225</v>
      </c>
      <c r="W122" s="278">
        <f>RANK(V122,$V$4:$V$491)</f>
        <v>119</v>
      </c>
    </row>
    <row r="123" spans="1:23" ht="24.95" customHeight="1" x14ac:dyDescent="0.15">
      <c r="A123" s="110">
        <v>9</v>
      </c>
      <c r="B123" s="71">
        <v>2</v>
      </c>
      <c r="C123" s="100" t="s">
        <v>791</v>
      </c>
      <c r="D123" s="110" t="s">
        <v>779</v>
      </c>
      <c r="E123" s="71">
        <v>50</v>
      </c>
      <c r="F123" s="382">
        <f>IF(D123=예상등급!$A$1,LOOKUP(E123,예상등급!$A$5:$A$13,예상등급!$B$5:$B$13),IF(D123=예상등급!$A$15,LOOKUP(E123,예상등급!$A$19:$A$27,예상등급!$B$19:$B$27),""))</f>
        <v>5</v>
      </c>
      <c r="G123" s="110" t="s">
        <v>780</v>
      </c>
      <c r="H123" s="71">
        <v>33</v>
      </c>
      <c r="I123" s="382">
        <f>IF(G123=예상등급!$G$15,LOOKUP(H123,예상등급!$G$19:$G$27,예상등급!$H$19:$H$27),IF(G123=예상등급!$J$15,LOOKUP(H123,예상등급!$J$19:$J$27,예상등급!$K$19:$K$27),IF(G123=예상등급!$M$15,LOOKUP(H123,예상등급!$M$19:$M$27,예상등급!$N$19:$N$27),"")))</f>
        <v>5</v>
      </c>
      <c r="J123" s="110">
        <v>70</v>
      </c>
      <c r="K123" s="382">
        <f>IF(J123="","",(LOOKUP(J123,예상등급!$D$5:$D$13,예상등급!$E$5:$E$13)))</f>
        <v>3</v>
      </c>
      <c r="L123" s="301">
        <f>SUM(E123,H123,J123)</f>
        <v>153</v>
      </c>
      <c r="M123" s="398">
        <f>RANK(L123,$L$4:$L$491)</f>
        <v>129</v>
      </c>
      <c r="N123" s="110" t="s">
        <v>762</v>
      </c>
      <c r="O123" s="71">
        <v>26</v>
      </c>
      <c r="P123" s="385">
        <f>IF(N123=예상등급!$G$1,LOOKUP(O123,예상등급!$G$5:$G$13,예상등급!$H$5:$H$13),IF(N123=예상등급!$J$1,LOOKUP(O123,예상등급!$J$5:$J$13,예상등급!$K$5:$K$13),IF(N123=예상등급!$M$1,LOOKUP(O123,예상등급!$M$5:$M$13,예상등급!$N$5:$N$13),IF(N123=예상등급!$P$1,LOOKUP(O123,예상등급!$P$5:$P$13,예상등급!$Q$5:$Q$13),IF(N123=예상등급!$S$1,LOOKUP(O123,예상등급!$S$5:$S$13,예상등급!$T$5:$T$13),IF(N123=예상등급!$V$1,LOOKUP(O123,예상등급!$V$5:$V$13,예상등급!$W$5:$W$13),IF(N123=예상등급!$Y$1,LOOKUP(O123,예상등급!$Y$5:$Y$13,예상등급!$Z$5:$Z$13),IF(N123=예상등급!$AB$1,LOOKUP(O123,예상등급!$AB$5:$AB$13,예상등급!$AC$5:$AC$13),IF(N123=예상등급!$AE$1,LOOKUP(O123,예상등급!$AE$5:$AE$13,예상등급!$AF$5:$AF$13),IF(N123=예상등급!$AH$1,LOOKUP(O123,예상등급!$AH$5:$AH$13,예상등급!$AI$5:$AI$13),IF(N123=예상등급!$AK$1,LOOKUP(O123,예상등급!$AK$5:$AK$13,예상등급!$AL$5:$AL$13),IF(N123=예상등급!$AN$1,LOOKUP(O123,예상등급!$AN$5:$AN$13,예상등급!$AO$5:$AO$13),IF(N123=예상등급!$AQ$1,LOOKUP(O123,예상등급!$AQ$5:$AQ$13,예상등급!$AR$5:$AR$13),IF(N123=예상등급!$AH$15,LOOKUP(O123,예상등급!$AH$19:$AH$27,예상등급!$AI$19:$AI$27),IF(N123=예상등급!$AK$15,LOOKUP(O123,예상등급!$AK$19:$AK$27,예상등급!$AL$19:$AL$27),IF(N123=예상등급!$AN$15,LOOKUP(O123,예상등급!$AN$19:$AN$27,예상등급!$AO$19:$AO$27),IF(N123=예상등급!$AQ$15,LOOKUP(O123,예상등급!$AQ$19:$AQ$27,예상등급!$AR$19:$AR$27),"")))))))))))))))))</f>
        <v>5</v>
      </c>
      <c r="Q123" s="110" t="s">
        <v>761</v>
      </c>
      <c r="R123" s="71">
        <v>31</v>
      </c>
      <c r="S123" s="385">
        <f>IF(Q123=예상등급!$G$1,LOOKUP(R123,예상등급!$G$5:$G$13,예상등급!$H$5:$H$13),IF(Q123=예상등급!$J$1,LOOKUP(R123,예상등급!$J$5:$J$13,예상등급!$K$5:$K$13),IF(Q123=예상등급!$M$1,LOOKUP(R123,예상등급!$M$5:$M$13,예상등급!$N$5:$N$13),IF(Q123=예상등급!$P$1,LOOKUP(R123,예상등급!$P$5:$P$13,예상등급!$Q$5:$Q$13),IF(Q123=예상등급!$S$1,LOOKUP(R123,예상등급!$S$5:$S$13,예상등급!$T$5:$T$13),IF(Q123=예상등급!$V$1,LOOKUP(R123,예상등급!$V$5:$V$13,예상등급!$W$5:$W$13),IF(Q123=예상등급!$Y$1,LOOKUP(R123,예상등급!$Y$5:$Y$13,예상등급!$Z$5:$Z$13),IF(Q123=예상등급!$AB$1,LOOKUP(R123,예상등급!$AB$5:$AB$13,예상등급!$AC$5:$AC$13),IF(Q123=예상등급!$AE$1,LOOKUP(R123,예상등급!$AE$5:$AE$13,예상등급!$AF$5:$AF$13),IF(Q123=예상등급!$AH$1,LOOKUP(R123,예상등급!$AH$5:$AH$13,예상등급!$AI$5:$AI$13),IF(Q123=예상등급!$AK$1,LOOKUP(R123,예상등급!$AK$5:$AK$13,예상등급!$AL$5:$AL$13),IF(Q123=예상등급!$AN$1,LOOKUP(R123,예상등급!$AN$5:$AN$13,예상등급!$AO$5:$AO$13),IF(Q123=예상등급!$AQ$1,LOOKUP(R123,예상등급!$AQ$5:$AQ$13,예상등급!$AR$5:$AR$13),IF(Q123=예상등급!$AH$15,LOOKUP(R123,예상등급!$AH$19:$AH$27,예상등급!$AI$19:$AI$27),IF(Q123=예상등급!$AK$15,LOOKUP(R123,예상등급!$AK$19:$AK$27,예상등급!$AL$19:$AL$27),IF(Q123=예상등급!$AN$15,LOOKUP(R123,예상등급!$AN$19:$AN$27,예상등급!$AO$19:$AO$27),IF(Q123=예상등급!$AQ$15,LOOKUP(R123,예상등급!$AQ$19:$AQ$27,예상등급!$AR$19:$AR$27),"")))))))))))))))))</f>
        <v>3</v>
      </c>
      <c r="T123" s="110">
        <v>15</v>
      </c>
      <c r="U123" s="382">
        <f>IF(T123="","",LOOKUP(T123,예상등급!$D$19:$D$27,예상등급!$E$19:$E$27))</f>
        <v>6</v>
      </c>
      <c r="V123" s="402">
        <f>SUM(L123,T123,R123,O123)</f>
        <v>225</v>
      </c>
      <c r="W123" s="278">
        <f>RANK(V123,$V$4:$V$491)</f>
        <v>119</v>
      </c>
    </row>
    <row r="124" spans="1:23" ht="24.95" customHeight="1" x14ac:dyDescent="0.15">
      <c r="A124" s="110">
        <v>6</v>
      </c>
      <c r="B124" s="71">
        <v>15</v>
      </c>
      <c r="C124" s="100" t="s">
        <v>906</v>
      </c>
      <c r="D124" s="110" t="s">
        <v>779</v>
      </c>
      <c r="E124" s="71">
        <v>63</v>
      </c>
      <c r="F124" s="382">
        <f>IF(D124=예상등급!$A$1,LOOKUP(E124,예상등급!$A$5:$A$13,예상등급!$B$5:$B$13),IF(D124=예상등급!$A$15,LOOKUP(E124,예상등급!$A$19:$A$27,예상등급!$B$19:$B$27),""))</f>
        <v>3</v>
      </c>
      <c r="G124" s="110" t="s">
        <v>780</v>
      </c>
      <c r="H124" s="71">
        <v>34</v>
      </c>
      <c r="I124" s="382">
        <f>IF(G124=예상등급!$G$15,LOOKUP(H124,예상등급!$G$19:$G$27,예상등급!$H$19:$H$27),IF(G124=예상등급!$J$15,LOOKUP(H124,예상등급!$J$19:$J$27,예상등급!$K$19:$K$27),IF(G124=예상등급!$M$15,LOOKUP(H124,예상등급!$M$19:$M$27,예상등급!$N$19:$N$27),"")))</f>
        <v>5</v>
      </c>
      <c r="J124" s="110">
        <v>70</v>
      </c>
      <c r="K124" s="382">
        <f>IF(J124="","",(LOOKUP(J124,예상등급!$D$5:$D$13,예상등급!$E$5:$E$13)))</f>
        <v>3</v>
      </c>
      <c r="L124" s="301">
        <f>SUM(E124,H124,J124)</f>
        <v>167</v>
      </c>
      <c r="M124" s="398">
        <f>RANK(L124,$L$4:$L$491)</f>
        <v>100</v>
      </c>
      <c r="N124" s="110" t="s">
        <v>761</v>
      </c>
      <c r="O124" s="71">
        <v>14</v>
      </c>
      <c r="P124" s="385">
        <f>IF(N124=예상등급!$G$1,LOOKUP(O124,예상등급!$G$5:$G$13,예상등급!$H$5:$H$13),IF(N124=예상등급!$J$1,LOOKUP(O124,예상등급!$J$5:$J$13,예상등급!$K$5:$K$13),IF(N124=예상등급!$M$1,LOOKUP(O124,예상등급!$M$5:$M$13,예상등급!$N$5:$N$13),IF(N124=예상등급!$P$1,LOOKUP(O124,예상등급!$P$5:$P$13,예상등급!$Q$5:$Q$13),IF(N124=예상등급!$S$1,LOOKUP(O124,예상등급!$S$5:$S$13,예상등급!$T$5:$T$13),IF(N124=예상등급!$V$1,LOOKUP(O124,예상등급!$V$5:$V$13,예상등급!$W$5:$W$13),IF(N124=예상등급!$Y$1,LOOKUP(O124,예상등급!$Y$5:$Y$13,예상등급!$Z$5:$Z$13),IF(N124=예상등급!$AB$1,LOOKUP(O124,예상등급!$AB$5:$AB$13,예상등급!$AC$5:$AC$13),IF(N124=예상등급!$AE$1,LOOKUP(O124,예상등급!$AE$5:$AE$13,예상등급!$AF$5:$AF$13),IF(N124=예상등급!$AH$1,LOOKUP(O124,예상등급!$AH$5:$AH$13,예상등급!$AI$5:$AI$13),IF(N124=예상등급!$AK$1,LOOKUP(O124,예상등급!$AK$5:$AK$13,예상등급!$AL$5:$AL$13),IF(N124=예상등급!$AN$1,LOOKUP(O124,예상등급!$AN$5:$AN$13,예상등급!$AO$5:$AO$13),IF(N124=예상등급!$AQ$1,LOOKUP(O124,예상등급!$AQ$5:$AQ$13,예상등급!$AR$5:$AR$13),IF(N124=예상등급!$AH$15,LOOKUP(O124,예상등급!$AH$19:$AH$27,예상등급!$AI$19:$AI$27),IF(N124=예상등급!$AK$15,LOOKUP(O124,예상등급!$AK$19:$AK$27,예상등급!$AL$19:$AL$27),IF(N124=예상등급!$AN$15,LOOKUP(O124,예상등급!$AN$19:$AN$27,예상등급!$AO$19:$AO$27),IF(N124=예상등급!$AQ$15,LOOKUP(O124,예상등급!$AQ$19:$AQ$27,예상등급!$AR$19:$AR$27),"")))))))))))))))))</f>
        <v>6</v>
      </c>
      <c r="Q124" s="110" t="s">
        <v>762</v>
      </c>
      <c r="R124" s="71">
        <v>32</v>
      </c>
      <c r="S124" s="385">
        <f>IF(Q124=예상등급!$G$1,LOOKUP(R124,예상등급!$G$5:$G$13,예상등급!$H$5:$H$13),IF(Q124=예상등급!$J$1,LOOKUP(R124,예상등급!$J$5:$J$13,예상등급!$K$5:$K$13),IF(Q124=예상등급!$M$1,LOOKUP(R124,예상등급!$M$5:$M$13,예상등급!$N$5:$N$13),IF(Q124=예상등급!$P$1,LOOKUP(R124,예상등급!$P$5:$P$13,예상등급!$Q$5:$Q$13),IF(Q124=예상등급!$S$1,LOOKUP(R124,예상등급!$S$5:$S$13,예상등급!$T$5:$T$13),IF(Q124=예상등급!$V$1,LOOKUP(R124,예상등급!$V$5:$V$13,예상등급!$W$5:$W$13),IF(Q124=예상등급!$Y$1,LOOKUP(R124,예상등급!$Y$5:$Y$13,예상등급!$Z$5:$Z$13),IF(Q124=예상등급!$AB$1,LOOKUP(R124,예상등급!$AB$5:$AB$13,예상등급!$AC$5:$AC$13),IF(Q124=예상등급!$AE$1,LOOKUP(R124,예상등급!$AE$5:$AE$13,예상등급!$AF$5:$AF$13),IF(Q124=예상등급!$AH$1,LOOKUP(R124,예상등급!$AH$5:$AH$13,예상등급!$AI$5:$AI$13),IF(Q124=예상등급!$AK$1,LOOKUP(R124,예상등급!$AK$5:$AK$13,예상등급!$AL$5:$AL$13),IF(Q124=예상등급!$AN$1,LOOKUP(R124,예상등급!$AN$5:$AN$13,예상등급!$AO$5:$AO$13),IF(Q124=예상등급!$AQ$1,LOOKUP(R124,예상등급!$AQ$5:$AQ$13,예상등급!$AR$5:$AR$13),IF(Q124=예상등급!$AH$15,LOOKUP(R124,예상등급!$AH$19:$AH$27,예상등급!$AI$19:$AI$27),IF(Q124=예상등급!$AK$15,LOOKUP(R124,예상등급!$AK$19:$AK$27,예상등급!$AL$19:$AL$27),IF(Q124=예상등급!$AN$15,LOOKUP(R124,예상등급!$AN$19:$AN$27,예상등급!$AO$19:$AO$27),IF(Q124=예상등급!$AQ$15,LOOKUP(R124,예상등급!$AQ$19:$AQ$27,예상등급!$AR$19:$AR$27),"")))))))))))))))))</f>
        <v>3</v>
      </c>
      <c r="T124" s="110">
        <v>11</v>
      </c>
      <c r="U124" s="382">
        <f>IF(T124="","",LOOKUP(T124,예상등급!$D$19:$D$27,예상등급!$E$19:$E$27))</f>
        <v>7</v>
      </c>
      <c r="V124" s="402">
        <f>SUM(L124,T124,R124,O124)</f>
        <v>224</v>
      </c>
      <c r="W124" s="278">
        <f>RANK(V124,$V$4:$V$491)</f>
        <v>121</v>
      </c>
    </row>
    <row r="125" spans="1:23" ht="24.95" customHeight="1" x14ac:dyDescent="0.15">
      <c r="A125" s="110">
        <v>9</v>
      </c>
      <c r="B125" s="71">
        <v>19</v>
      </c>
      <c r="C125" s="100" t="s">
        <v>977</v>
      </c>
      <c r="D125" s="110" t="s">
        <v>779</v>
      </c>
      <c r="E125" s="71">
        <v>56</v>
      </c>
      <c r="F125" s="382">
        <f>IF(D125=예상등급!$A$1,LOOKUP(E125,예상등급!$A$5:$A$13,예상등급!$B$5:$B$13),IF(D125=예상등급!$A$15,LOOKUP(E125,예상등급!$A$19:$A$27,예상등급!$B$19:$B$27),""))</f>
        <v>4</v>
      </c>
      <c r="G125" s="110" t="s">
        <v>780</v>
      </c>
      <c r="H125" s="71">
        <v>29</v>
      </c>
      <c r="I125" s="382">
        <f>IF(G125=예상등급!$G$15,LOOKUP(H125,예상등급!$G$19:$G$27,예상등급!$H$19:$H$27),IF(G125=예상등급!$J$15,LOOKUP(H125,예상등급!$J$19:$J$27,예상등급!$K$19:$K$27),IF(G125=예상등급!$M$15,LOOKUP(H125,예상등급!$M$19:$M$27,예상등급!$N$19:$N$27),"")))</f>
        <v>6</v>
      </c>
      <c r="J125" s="110">
        <v>67</v>
      </c>
      <c r="K125" s="382">
        <f>IF(J125="","",(LOOKUP(J125,예상등급!$D$5:$D$13,예상등급!$E$5:$E$13)))</f>
        <v>4</v>
      </c>
      <c r="L125" s="301">
        <f>SUM(E125,H125,J125)</f>
        <v>152</v>
      </c>
      <c r="M125" s="398">
        <f>RANK(L125,$L$4:$L$491)</f>
        <v>132</v>
      </c>
      <c r="N125" s="110" t="s">
        <v>761</v>
      </c>
      <c r="O125" s="71">
        <v>26</v>
      </c>
      <c r="P125" s="385">
        <f>IF(N125=예상등급!$G$1,LOOKUP(O125,예상등급!$G$5:$G$13,예상등급!$H$5:$H$13),IF(N125=예상등급!$J$1,LOOKUP(O125,예상등급!$J$5:$J$13,예상등급!$K$5:$K$13),IF(N125=예상등급!$M$1,LOOKUP(O125,예상등급!$M$5:$M$13,예상등급!$N$5:$N$13),IF(N125=예상등급!$P$1,LOOKUP(O125,예상등급!$P$5:$P$13,예상등급!$Q$5:$Q$13),IF(N125=예상등급!$S$1,LOOKUP(O125,예상등급!$S$5:$S$13,예상등급!$T$5:$T$13),IF(N125=예상등급!$V$1,LOOKUP(O125,예상등급!$V$5:$V$13,예상등급!$W$5:$W$13),IF(N125=예상등급!$Y$1,LOOKUP(O125,예상등급!$Y$5:$Y$13,예상등급!$Z$5:$Z$13),IF(N125=예상등급!$AB$1,LOOKUP(O125,예상등급!$AB$5:$AB$13,예상등급!$AC$5:$AC$13),IF(N125=예상등급!$AE$1,LOOKUP(O125,예상등급!$AE$5:$AE$13,예상등급!$AF$5:$AF$13),IF(N125=예상등급!$AH$1,LOOKUP(O125,예상등급!$AH$5:$AH$13,예상등급!$AI$5:$AI$13),IF(N125=예상등급!$AK$1,LOOKUP(O125,예상등급!$AK$5:$AK$13,예상등급!$AL$5:$AL$13),IF(N125=예상등급!$AN$1,LOOKUP(O125,예상등급!$AN$5:$AN$13,예상등급!$AO$5:$AO$13),IF(N125=예상등급!$AQ$1,LOOKUP(O125,예상등급!$AQ$5:$AQ$13,예상등급!$AR$5:$AR$13),IF(N125=예상등급!$AH$15,LOOKUP(O125,예상등급!$AH$19:$AH$27,예상등급!$AI$19:$AI$27),IF(N125=예상등급!$AK$15,LOOKUP(O125,예상등급!$AK$19:$AK$27,예상등급!$AL$19:$AL$27),IF(N125=예상등급!$AN$15,LOOKUP(O125,예상등급!$AN$19:$AN$27,예상등급!$AO$19:$AO$27),IF(N125=예상등급!$AQ$15,LOOKUP(O125,예상등급!$AQ$19:$AQ$27,예상등급!$AR$19:$AR$27),"")))))))))))))))))</f>
        <v>4</v>
      </c>
      <c r="Q125" s="110" t="s">
        <v>767</v>
      </c>
      <c r="R125" s="71">
        <v>36</v>
      </c>
      <c r="S125" s="385">
        <f>IF(Q125=예상등급!$G$1,LOOKUP(R125,예상등급!$G$5:$G$13,예상등급!$H$5:$H$13),IF(Q125=예상등급!$J$1,LOOKUP(R125,예상등급!$J$5:$J$13,예상등급!$K$5:$K$13),IF(Q125=예상등급!$M$1,LOOKUP(R125,예상등급!$M$5:$M$13,예상등급!$N$5:$N$13),IF(Q125=예상등급!$P$1,LOOKUP(R125,예상등급!$P$5:$P$13,예상등급!$Q$5:$Q$13),IF(Q125=예상등급!$S$1,LOOKUP(R125,예상등급!$S$5:$S$13,예상등급!$T$5:$T$13),IF(Q125=예상등급!$V$1,LOOKUP(R125,예상등급!$V$5:$V$13,예상등급!$W$5:$W$13),IF(Q125=예상등급!$Y$1,LOOKUP(R125,예상등급!$Y$5:$Y$13,예상등급!$Z$5:$Z$13),IF(Q125=예상등급!$AB$1,LOOKUP(R125,예상등급!$AB$5:$AB$13,예상등급!$AC$5:$AC$13),IF(Q125=예상등급!$AE$1,LOOKUP(R125,예상등급!$AE$5:$AE$13,예상등급!$AF$5:$AF$13),IF(Q125=예상등급!$AH$1,LOOKUP(R125,예상등급!$AH$5:$AH$13,예상등급!$AI$5:$AI$13),IF(Q125=예상등급!$AK$1,LOOKUP(R125,예상등급!$AK$5:$AK$13,예상등급!$AL$5:$AL$13),IF(Q125=예상등급!$AN$1,LOOKUP(R125,예상등급!$AN$5:$AN$13,예상등급!$AO$5:$AO$13),IF(Q125=예상등급!$AQ$1,LOOKUP(R125,예상등급!$AQ$5:$AQ$13,예상등급!$AR$5:$AR$13),IF(Q125=예상등급!$AH$15,LOOKUP(R125,예상등급!$AH$19:$AH$27,예상등급!$AI$19:$AI$27),IF(Q125=예상등급!$AK$15,LOOKUP(R125,예상등급!$AK$19:$AK$27,예상등급!$AL$19:$AL$27),IF(Q125=예상등급!$AN$15,LOOKUP(R125,예상등급!$AN$19:$AN$27,예상등급!$AO$19:$AO$27),IF(Q125=예상등급!$AQ$15,LOOKUP(R125,예상등급!$AQ$19:$AQ$27,예상등급!$AR$19:$AR$27),"")))))))))))))))))</f>
        <v>3</v>
      </c>
      <c r="T125" s="110">
        <v>10</v>
      </c>
      <c r="U125" s="382">
        <f>IF(T125="","",LOOKUP(T125,예상등급!$D$19:$D$27,예상등급!$E$19:$E$27))</f>
        <v>7</v>
      </c>
      <c r="V125" s="402">
        <f>SUM(L125,T125,R125,O125)</f>
        <v>224</v>
      </c>
      <c r="W125" s="278">
        <f>RANK(V125,$V$4:$V$491)</f>
        <v>121</v>
      </c>
    </row>
    <row r="126" spans="1:23" ht="24.95" customHeight="1" x14ac:dyDescent="0.15">
      <c r="A126" s="110">
        <v>10</v>
      </c>
      <c r="B126" s="71">
        <v>24</v>
      </c>
      <c r="C126" s="100" t="s">
        <v>1007</v>
      </c>
      <c r="D126" s="110" t="s">
        <v>779</v>
      </c>
      <c r="E126" s="71">
        <v>40</v>
      </c>
      <c r="F126" s="382">
        <f>IF(D126=예상등급!$A$1,LOOKUP(E126,예상등급!$A$5:$A$13,예상등급!$B$5:$B$13),IF(D126=예상등급!$A$15,LOOKUP(E126,예상등급!$A$19:$A$27,예상등급!$B$19:$B$27),""))</f>
        <v>6</v>
      </c>
      <c r="G126" s="110" t="s">
        <v>780</v>
      </c>
      <c r="H126" s="71">
        <v>52</v>
      </c>
      <c r="I126" s="382">
        <f>IF(G126=예상등급!$G$15,LOOKUP(H126,예상등급!$G$19:$G$27,예상등급!$H$19:$H$27),IF(G126=예상등급!$J$15,LOOKUP(H126,예상등급!$J$19:$J$27,예상등급!$K$19:$K$27),IF(G126=예상등급!$M$15,LOOKUP(H126,예상등급!$M$19:$M$27,예상등급!$N$19:$N$27),"")))</f>
        <v>5</v>
      </c>
      <c r="J126" s="110">
        <v>72</v>
      </c>
      <c r="K126" s="382">
        <f>IF(J126="","",(LOOKUP(J126,예상등급!$D$5:$D$13,예상등급!$E$5:$E$13)))</f>
        <v>3</v>
      </c>
      <c r="L126" s="301">
        <f>SUM(E126,H126,J126)</f>
        <v>164</v>
      </c>
      <c r="M126" s="398">
        <f>RANK(L126,$L$4:$L$491)</f>
        <v>105</v>
      </c>
      <c r="N126" s="110" t="s">
        <v>761</v>
      </c>
      <c r="O126" s="71">
        <v>15</v>
      </c>
      <c r="P126" s="385">
        <f>IF(N126=예상등급!$G$1,LOOKUP(O126,예상등급!$G$5:$G$13,예상등급!$H$5:$H$13),IF(N126=예상등급!$J$1,LOOKUP(O126,예상등급!$J$5:$J$13,예상등급!$K$5:$K$13),IF(N126=예상등급!$M$1,LOOKUP(O126,예상등급!$M$5:$M$13,예상등급!$N$5:$N$13),IF(N126=예상등급!$P$1,LOOKUP(O126,예상등급!$P$5:$P$13,예상등급!$Q$5:$Q$13),IF(N126=예상등급!$S$1,LOOKUP(O126,예상등급!$S$5:$S$13,예상등급!$T$5:$T$13),IF(N126=예상등급!$V$1,LOOKUP(O126,예상등급!$V$5:$V$13,예상등급!$W$5:$W$13),IF(N126=예상등급!$Y$1,LOOKUP(O126,예상등급!$Y$5:$Y$13,예상등급!$Z$5:$Z$13),IF(N126=예상등급!$AB$1,LOOKUP(O126,예상등급!$AB$5:$AB$13,예상등급!$AC$5:$AC$13),IF(N126=예상등급!$AE$1,LOOKUP(O126,예상등급!$AE$5:$AE$13,예상등급!$AF$5:$AF$13),IF(N126=예상등급!$AH$1,LOOKUP(O126,예상등급!$AH$5:$AH$13,예상등급!$AI$5:$AI$13),IF(N126=예상등급!$AK$1,LOOKUP(O126,예상등급!$AK$5:$AK$13,예상등급!$AL$5:$AL$13),IF(N126=예상등급!$AN$1,LOOKUP(O126,예상등급!$AN$5:$AN$13,예상등급!$AO$5:$AO$13),IF(N126=예상등급!$AQ$1,LOOKUP(O126,예상등급!$AQ$5:$AQ$13,예상등급!$AR$5:$AR$13),IF(N126=예상등급!$AH$15,LOOKUP(O126,예상등급!$AH$19:$AH$27,예상등급!$AI$19:$AI$27),IF(N126=예상등급!$AK$15,LOOKUP(O126,예상등급!$AK$19:$AK$27,예상등급!$AL$19:$AL$27),IF(N126=예상등급!$AN$15,LOOKUP(O126,예상등급!$AN$19:$AN$27,예상등급!$AO$19:$AO$27),IF(N126=예상등급!$AQ$15,LOOKUP(O126,예상등급!$AQ$19:$AQ$27,예상등급!$AR$19:$AR$27),"")))))))))))))))))</f>
        <v>6</v>
      </c>
      <c r="Q126" s="110" t="s">
        <v>762</v>
      </c>
      <c r="R126" s="71">
        <v>33</v>
      </c>
      <c r="S126" s="385">
        <f>IF(Q126=예상등급!$G$1,LOOKUP(R126,예상등급!$G$5:$G$13,예상등급!$H$5:$H$13),IF(Q126=예상등급!$J$1,LOOKUP(R126,예상등급!$J$5:$J$13,예상등급!$K$5:$K$13),IF(Q126=예상등급!$M$1,LOOKUP(R126,예상등급!$M$5:$M$13,예상등급!$N$5:$N$13),IF(Q126=예상등급!$P$1,LOOKUP(R126,예상등급!$P$5:$P$13,예상등급!$Q$5:$Q$13),IF(Q126=예상등급!$S$1,LOOKUP(R126,예상등급!$S$5:$S$13,예상등급!$T$5:$T$13),IF(Q126=예상등급!$V$1,LOOKUP(R126,예상등급!$V$5:$V$13,예상등급!$W$5:$W$13),IF(Q126=예상등급!$Y$1,LOOKUP(R126,예상등급!$Y$5:$Y$13,예상등급!$Z$5:$Z$13),IF(Q126=예상등급!$AB$1,LOOKUP(R126,예상등급!$AB$5:$AB$13,예상등급!$AC$5:$AC$13),IF(Q126=예상등급!$AE$1,LOOKUP(R126,예상등급!$AE$5:$AE$13,예상등급!$AF$5:$AF$13),IF(Q126=예상등급!$AH$1,LOOKUP(R126,예상등급!$AH$5:$AH$13,예상등급!$AI$5:$AI$13),IF(Q126=예상등급!$AK$1,LOOKUP(R126,예상등급!$AK$5:$AK$13,예상등급!$AL$5:$AL$13),IF(Q126=예상등급!$AN$1,LOOKUP(R126,예상등급!$AN$5:$AN$13,예상등급!$AO$5:$AO$13),IF(Q126=예상등급!$AQ$1,LOOKUP(R126,예상등급!$AQ$5:$AQ$13,예상등급!$AR$5:$AR$13),IF(Q126=예상등급!$AH$15,LOOKUP(R126,예상등급!$AH$19:$AH$27,예상등급!$AI$19:$AI$27),IF(Q126=예상등급!$AK$15,LOOKUP(R126,예상등급!$AK$19:$AK$27,예상등급!$AL$19:$AL$27),IF(Q126=예상등급!$AN$15,LOOKUP(R126,예상등급!$AN$19:$AN$27,예상등급!$AO$19:$AO$27),IF(Q126=예상등급!$AQ$15,LOOKUP(R126,예상등급!$AQ$19:$AQ$27,예상등급!$AR$19:$AR$27),"")))))))))))))))))</f>
        <v>3</v>
      </c>
      <c r="T126" s="110">
        <v>12</v>
      </c>
      <c r="U126" s="382">
        <f>IF(T126="","",LOOKUP(T126,예상등급!$D$19:$D$27,예상등급!$E$19:$E$27))</f>
        <v>7</v>
      </c>
      <c r="V126" s="402">
        <f>SUM(L126,T126,R126,O126)</f>
        <v>224</v>
      </c>
      <c r="W126" s="278">
        <f>RANK(V126,$V$4:$V$491)</f>
        <v>121</v>
      </c>
    </row>
    <row r="127" spans="1:23" ht="24.95" customHeight="1" x14ac:dyDescent="0.15">
      <c r="A127" s="110">
        <v>8</v>
      </c>
      <c r="B127" s="71">
        <v>2</v>
      </c>
      <c r="C127" s="100" t="s">
        <v>940</v>
      </c>
      <c r="D127" s="110" t="s">
        <v>779</v>
      </c>
      <c r="E127" s="71">
        <v>47</v>
      </c>
      <c r="F127" s="382">
        <f>IF(D127=예상등급!$A$1,LOOKUP(E127,예상등급!$A$5:$A$13,예상등급!$B$5:$B$13),IF(D127=예상등급!$A$15,LOOKUP(E127,예상등급!$A$19:$A$27,예상등급!$B$19:$B$27),""))</f>
        <v>5</v>
      </c>
      <c r="G127" s="110" t="s">
        <v>780</v>
      </c>
      <c r="H127" s="71">
        <v>25</v>
      </c>
      <c r="I127" s="382">
        <f>IF(G127=예상등급!$G$15,LOOKUP(H127,예상등급!$G$19:$G$27,예상등급!$H$19:$H$27),IF(G127=예상등급!$J$15,LOOKUP(H127,예상등급!$J$19:$J$27,예상등급!$K$19:$K$27),IF(G127=예상등급!$M$15,LOOKUP(H127,예상등급!$M$19:$M$27,예상등급!$N$19:$N$27),"")))</f>
        <v>6</v>
      </c>
      <c r="J127" s="110">
        <v>60</v>
      </c>
      <c r="K127" s="382">
        <f>IF(J127="","",(LOOKUP(J127,예상등급!$D$5:$D$13,예상등급!$E$5:$E$13)))</f>
        <v>4</v>
      </c>
      <c r="L127" s="301">
        <f>SUM(E127,H127,J127)</f>
        <v>132</v>
      </c>
      <c r="M127" s="398">
        <f>RANK(L127,$L$4:$L$491)</f>
        <v>160</v>
      </c>
      <c r="N127" s="110" t="s">
        <v>761</v>
      </c>
      <c r="O127" s="71">
        <v>33</v>
      </c>
      <c r="P127" s="385">
        <f>IF(N127=예상등급!$G$1,LOOKUP(O127,예상등급!$G$5:$G$13,예상등급!$H$5:$H$13),IF(N127=예상등급!$J$1,LOOKUP(O127,예상등급!$J$5:$J$13,예상등급!$K$5:$K$13),IF(N127=예상등급!$M$1,LOOKUP(O127,예상등급!$M$5:$M$13,예상등급!$N$5:$N$13),IF(N127=예상등급!$P$1,LOOKUP(O127,예상등급!$P$5:$P$13,예상등급!$Q$5:$Q$13),IF(N127=예상등급!$S$1,LOOKUP(O127,예상등급!$S$5:$S$13,예상등급!$T$5:$T$13),IF(N127=예상등급!$V$1,LOOKUP(O127,예상등급!$V$5:$V$13,예상등급!$W$5:$W$13),IF(N127=예상등급!$Y$1,LOOKUP(O127,예상등급!$Y$5:$Y$13,예상등급!$Z$5:$Z$13),IF(N127=예상등급!$AB$1,LOOKUP(O127,예상등급!$AB$5:$AB$13,예상등급!$AC$5:$AC$13),IF(N127=예상등급!$AE$1,LOOKUP(O127,예상등급!$AE$5:$AE$13,예상등급!$AF$5:$AF$13),IF(N127=예상등급!$AH$1,LOOKUP(O127,예상등급!$AH$5:$AH$13,예상등급!$AI$5:$AI$13),IF(N127=예상등급!$AK$1,LOOKUP(O127,예상등급!$AK$5:$AK$13,예상등급!$AL$5:$AL$13),IF(N127=예상등급!$AN$1,LOOKUP(O127,예상등급!$AN$5:$AN$13,예상등급!$AO$5:$AO$13),IF(N127=예상등급!$AQ$1,LOOKUP(O127,예상등급!$AQ$5:$AQ$13,예상등급!$AR$5:$AR$13),IF(N127=예상등급!$AH$15,LOOKUP(O127,예상등급!$AH$19:$AH$27,예상등급!$AI$19:$AI$27),IF(N127=예상등급!$AK$15,LOOKUP(O127,예상등급!$AK$19:$AK$27,예상등급!$AL$19:$AL$27),IF(N127=예상등급!$AN$15,LOOKUP(O127,예상등급!$AN$19:$AN$27,예상등급!$AO$19:$AO$27),IF(N127=예상등급!$AQ$15,LOOKUP(O127,예상등급!$AQ$19:$AQ$27,예상등급!$AR$19:$AR$27),"")))))))))))))))))</f>
        <v>3</v>
      </c>
      <c r="Q127" s="110" t="s">
        <v>762</v>
      </c>
      <c r="R127" s="71">
        <v>35</v>
      </c>
      <c r="S127" s="385">
        <f>IF(Q127=예상등급!$G$1,LOOKUP(R127,예상등급!$G$5:$G$13,예상등급!$H$5:$H$13),IF(Q127=예상등급!$J$1,LOOKUP(R127,예상등급!$J$5:$J$13,예상등급!$K$5:$K$13),IF(Q127=예상등급!$M$1,LOOKUP(R127,예상등급!$M$5:$M$13,예상등급!$N$5:$N$13),IF(Q127=예상등급!$P$1,LOOKUP(R127,예상등급!$P$5:$P$13,예상등급!$Q$5:$Q$13),IF(Q127=예상등급!$S$1,LOOKUP(R127,예상등급!$S$5:$S$13,예상등급!$T$5:$T$13),IF(Q127=예상등급!$V$1,LOOKUP(R127,예상등급!$V$5:$V$13,예상등급!$W$5:$W$13),IF(Q127=예상등급!$Y$1,LOOKUP(R127,예상등급!$Y$5:$Y$13,예상등급!$Z$5:$Z$13),IF(Q127=예상등급!$AB$1,LOOKUP(R127,예상등급!$AB$5:$AB$13,예상등급!$AC$5:$AC$13),IF(Q127=예상등급!$AE$1,LOOKUP(R127,예상등급!$AE$5:$AE$13,예상등급!$AF$5:$AF$13),IF(Q127=예상등급!$AH$1,LOOKUP(R127,예상등급!$AH$5:$AH$13,예상등급!$AI$5:$AI$13),IF(Q127=예상등급!$AK$1,LOOKUP(R127,예상등급!$AK$5:$AK$13,예상등급!$AL$5:$AL$13),IF(Q127=예상등급!$AN$1,LOOKUP(R127,예상등급!$AN$5:$AN$13,예상등급!$AO$5:$AO$13),IF(Q127=예상등급!$AQ$1,LOOKUP(R127,예상등급!$AQ$5:$AQ$13,예상등급!$AR$5:$AR$13),IF(Q127=예상등급!$AH$15,LOOKUP(R127,예상등급!$AH$19:$AH$27,예상등급!$AI$19:$AI$27),IF(Q127=예상등급!$AK$15,LOOKUP(R127,예상등급!$AK$19:$AK$27,예상등급!$AL$19:$AL$27),IF(Q127=예상등급!$AN$15,LOOKUP(R127,예상등급!$AN$19:$AN$27,예상등급!$AO$19:$AO$27),IF(Q127=예상등급!$AQ$15,LOOKUP(R127,예상등급!$AQ$19:$AQ$27,예상등급!$AR$19:$AR$27),"")))))))))))))))))</f>
        <v>3</v>
      </c>
      <c r="T127" s="110">
        <v>23</v>
      </c>
      <c r="U127" s="382">
        <f>IF(T127="","",LOOKUP(T127,예상등급!$D$19:$D$27,예상등급!$E$19:$E$27))</f>
        <v>5</v>
      </c>
      <c r="V127" s="402">
        <f>SUM(L127,T127,R127,O127)</f>
        <v>223</v>
      </c>
      <c r="W127" s="278">
        <f>RANK(V127,$V$4:$V$491)</f>
        <v>124</v>
      </c>
    </row>
    <row r="128" spans="1:23" ht="24.95" customHeight="1" x14ac:dyDescent="0.15">
      <c r="A128" s="110">
        <v>10</v>
      </c>
      <c r="B128" s="71">
        <v>22</v>
      </c>
      <c r="C128" s="100" t="s">
        <v>1005</v>
      </c>
      <c r="D128" s="110" t="s">
        <v>779</v>
      </c>
      <c r="E128" s="71">
        <v>52</v>
      </c>
      <c r="F128" s="382">
        <f>IF(D128=예상등급!$A$1,LOOKUP(E128,예상등급!$A$5:$A$13,예상등급!$B$5:$B$13),IF(D128=예상등급!$A$15,LOOKUP(E128,예상등급!$A$19:$A$27,예상등급!$B$19:$B$27),""))</f>
        <v>4</v>
      </c>
      <c r="G128" s="110" t="s">
        <v>780</v>
      </c>
      <c r="H128" s="71">
        <v>34</v>
      </c>
      <c r="I128" s="382">
        <f>IF(G128=예상등급!$G$15,LOOKUP(H128,예상등급!$G$19:$G$27,예상등급!$H$19:$H$27),IF(G128=예상등급!$J$15,LOOKUP(H128,예상등급!$J$19:$J$27,예상등급!$K$19:$K$27),IF(G128=예상등급!$M$15,LOOKUP(H128,예상등급!$M$19:$M$27,예상등급!$N$19:$N$27),"")))</f>
        <v>5</v>
      </c>
      <c r="J128" s="110">
        <v>63</v>
      </c>
      <c r="K128" s="382">
        <f>IF(J128="","",(LOOKUP(J128,예상등급!$D$5:$D$13,예상등급!$E$5:$E$13)))</f>
        <v>4</v>
      </c>
      <c r="L128" s="301">
        <f>SUM(E128,H128,J128)</f>
        <v>149</v>
      </c>
      <c r="M128" s="398">
        <f>RANK(L128,$L$4:$L$491)</f>
        <v>136</v>
      </c>
      <c r="N128" s="110" t="s">
        <v>762</v>
      </c>
      <c r="O128" s="71">
        <v>27</v>
      </c>
      <c r="P128" s="385">
        <f>IF(N128=예상등급!$G$1,LOOKUP(O128,예상등급!$G$5:$G$13,예상등급!$H$5:$H$13),IF(N128=예상등급!$J$1,LOOKUP(O128,예상등급!$J$5:$J$13,예상등급!$K$5:$K$13),IF(N128=예상등급!$M$1,LOOKUP(O128,예상등급!$M$5:$M$13,예상등급!$N$5:$N$13),IF(N128=예상등급!$P$1,LOOKUP(O128,예상등급!$P$5:$P$13,예상등급!$Q$5:$Q$13),IF(N128=예상등급!$S$1,LOOKUP(O128,예상등급!$S$5:$S$13,예상등급!$T$5:$T$13),IF(N128=예상등급!$V$1,LOOKUP(O128,예상등급!$V$5:$V$13,예상등급!$W$5:$W$13),IF(N128=예상등급!$Y$1,LOOKUP(O128,예상등급!$Y$5:$Y$13,예상등급!$Z$5:$Z$13),IF(N128=예상등급!$AB$1,LOOKUP(O128,예상등급!$AB$5:$AB$13,예상등급!$AC$5:$AC$13),IF(N128=예상등급!$AE$1,LOOKUP(O128,예상등급!$AE$5:$AE$13,예상등급!$AF$5:$AF$13),IF(N128=예상등급!$AH$1,LOOKUP(O128,예상등급!$AH$5:$AH$13,예상등급!$AI$5:$AI$13),IF(N128=예상등급!$AK$1,LOOKUP(O128,예상등급!$AK$5:$AK$13,예상등급!$AL$5:$AL$13),IF(N128=예상등급!$AN$1,LOOKUP(O128,예상등급!$AN$5:$AN$13,예상등급!$AO$5:$AO$13),IF(N128=예상등급!$AQ$1,LOOKUP(O128,예상등급!$AQ$5:$AQ$13,예상등급!$AR$5:$AR$13),IF(N128=예상등급!$AH$15,LOOKUP(O128,예상등급!$AH$19:$AH$27,예상등급!$AI$19:$AI$27),IF(N128=예상등급!$AK$15,LOOKUP(O128,예상등급!$AK$19:$AK$27,예상등급!$AL$19:$AL$27),IF(N128=예상등급!$AN$15,LOOKUP(O128,예상등급!$AN$19:$AN$27,예상등급!$AO$19:$AO$27),IF(N128=예상등급!$AQ$15,LOOKUP(O128,예상등급!$AQ$19:$AQ$27,예상등급!$AR$19:$AR$27),"")))))))))))))))))</f>
        <v>4</v>
      </c>
      <c r="Q128" s="110" t="s">
        <v>765</v>
      </c>
      <c r="R128" s="71">
        <v>36</v>
      </c>
      <c r="S128" s="385">
        <f>IF(Q128=예상등급!$G$1,LOOKUP(R128,예상등급!$G$5:$G$13,예상등급!$H$5:$H$13),IF(Q128=예상등급!$J$1,LOOKUP(R128,예상등급!$J$5:$J$13,예상등급!$K$5:$K$13),IF(Q128=예상등급!$M$1,LOOKUP(R128,예상등급!$M$5:$M$13,예상등급!$N$5:$N$13),IF(Q128=예상등급!$P$1,LOOKUP(R128,예상등급!$P$5:$P$13,예상등급!$Q$5:$Q$13),IF(Q128=예상등급!$S$1,LOOKUP(R128,예상등급!$S$5:$S$13,예상등급!$T$5:$T$13),IF(Q128=예상등급!$V$1,LOOKUP(R128,예상등급!$V$5:$V$13,예상등급!$W$5:$W$13),IF(Q128=예상등급!$Y$1,LOOKUP(R128,예상등급!$Y$5:$Y$13,예상등급!$Z$5:$Z$13),IF(Q128=예상등급!$AB$1,LOOKUP(R128,예상등급!$AB$5:$AB$13,예상등급!$AC$5:$AC$13),IF(Q128=예상등급!$AE$1,LOOKUP(R128,예상등급!$AE$5:$AE$13,예상등급!$AF$5:$AF$13),IF(Q128=예상등급!$AH$1,LOOKUP(R128,예상등급!$AH$5:$AH$13,예상등급!$AI$5:$AI$13),IF(Q128=예상등급!$AK$1,LOOKUP(R128,예상등급!$AK$5:$AK$13,예상등급!$AL$5:$AL$13),IF(Q128=예상등급!$AN$1,LOOKUP(R128,예상등급!$AN$5:$AN$13,예상등급!$AO$5:$AO$13),IF(Q128=예상등급!$AQ$1,LOOKUP(R128,예상등급!$AQ$5:$AQ$13,예상등급!$AR$5:$AR$13),IF(Q128=예상등급!$AH$15,LOOKUP(R128,예상등급!$AH$19:$AH$27,예상등급!$AI$19:$AI$27),IF(Q128=예상등급!$AK$15,LOOKUP(R128,예상등급!$AK$19:$AK$27,예상등급!$AL$19:$AL$27),IF(Q128=예상등급!$AN$15,LOOKUP(R128,예상등급!$AN$19:$AN$27,예상등급!$AO$19:$AO$27),IF(Q128=예상등급!$AQ$15,LOOKUP(R128,예상등급!$AQ$19:$AQ$27,예상등급!$AR$19:$AR$27),"")))))))))))))))))</f>
        <v>3</v>
      </c>
      <c r="T128" s="110">
        <v>11</v>
      </c>
      <c r="U128" s="382">
        <f>IF(T128="","",LOOKUP(T128,예상등급!$D$19:$D$27,예상등급!$E$19:$E$27))</f>
        <v>7</v>
      </c>
      <c r="V128" s="402">
        <f>SUM(L128,T128,R128,O128)</f>
        <v>223</v>
      </c>
      <c r="W128" s="278">
        <f>RANK(V128,$V$4:$V$491)</f>
        <v>124</v>
      </c>
    </row>
    <row r="129" spans="1:26" ht="24.95" customHeight="1" x14ac:dyDescent="0.15">
      <c r="A129" s="110">
        <v>3</v>
      </c>
      <c r="B129" s="71">
        <v>7</v>
      </c>
      <c r="C129" s="100" t="s">
        <v>843</v>
      </c>
      <c r="D129" s="110" t="s">
        <v>779</v>
      </c>
      <c r="E129" s="71">
        <v>61</v>
      </c>
      <c r="F129" s="382">
        <f>IF(D129=예상등급!$A$1,LOOKUP(E129,예상등급!$A$5:$A$13,예상등급!$B$5:$B$13),IF(D129=예상등급!$A$15,LOOKUP(E129,예상등급!$A$19:$A$27,예상등급!$B$19:$B$27),""))</f>
        <v>4</v>
      </c>
      <c r="G129" s="110" t="s">
        <v>780</v>
      </c>
      <c r="H129" s="71">
        <v>24</v>
      </c>
      <c r="I129" s="382">
        <f>IF(G129=예상등급!$G$15,LOOKUP(H129,예상등급!$G$19:$G$27,예상등급!$H$19:$H$27),IF(G129=예상등급!$J$15,LOOKUP(H129,예상등급!$J$19:$J$27,예상등급!$K$19:$K$27),IF(G129=예상등급!$M$15,LOOKUP(H129,예상등급!$M$19:$M$27,예상등급!$N$19:$N$27),"")))</f>
        <v>6</v>
      </c>
      <c r="J129" s="110">
        <v>63</v>
      </c>
      <c r="K129" s="382">
        <f>IF(J129="","",(LOOKUP(J129,예상등급!$D$5:$D$13,예상등급!$E$5:$E$13)))</f>
        <v>4</v>
      </c>
      <c r="L129" s="301">
        <f>SUM(E129,H129,J129)</f>
        <v>148</v>
      </c>
      <c r="M129" s="398">
        <f>RANK(L129,$L$4:$L$491)</f>
        <v>137</v>
      </c>
      <c r="N129" s="110" t="s">
        <v>767</v>
      </c>
      <c r="O129" s="71">
        <v>29</v>
      </c>
      <c r="P129" s="385">
        <f>IF(N129=예상등급!$G$1,LOOKUP(O129,예상등급!$G$5:$G$13,예상등급!$H$5:$H$13),IF(N129=예상등급!$J$1,LOOKUP(O129,예상등급!$J$5:$J$13,예상등급!$K$5:$K$13),IF(N129=예상등급!$M$1,LOOKUP(O129,예상등급!$M$5:$M$13,예상등급!$N$5:$N$13),IF(N129=예상등급!$P$1,LOOKUP(O129,예상등급!$P$5:$P$13,예상등급!$Q$5:$Q$13),IF(N129=예상등급!$S$1,LOOKUP(O129,예상등급!$S$5:$S$13,예상등급!$T$5:$T$13),IF(N129=예상등급!$V$1,LOOKUP(O129,예상등급!$V$5:$V$13,예상등급!$W$5:$W$13),IF(N129=예상등급!$Y$1,LOOKUP(O129,예상등급!$Y$5:$Y$13,예상등급!$Z$5:$Z$13),IF(N129=예상등급!$AB$1,LOOKUP(O129,예상등급!$AB$5:$AB$13,예상등급!$AC$5:$AC$13),IF(N129=예상등급!$AE$1,LOOKUP(O129,예상등급!$AE$5:$AE$13,예상등급!$AF$5:$AF$13),IF(N129=예상등급!$AH$1,LOOKUP(O129,예상등급!$AH$5:$AH$13,예상등급!$AI$5:$AI$13),IF(N129=예상등급!$AK$1,LOOKUP(O129,예상등급!$AK$5:$AK$13,예상등급!$AL$5:$AL$13),IF(N129=예상등급!$AN$1,LOOKUP(O129,예상등급!$AN$5:$AN$13,예상등급!$AO$5:$AO$13),IF(N129=예상등급!$AQ$1,LOOKUP(O129,예상등급!$AQ$5:$AQ$13,예상등급!$AR$5:$AR$13),IF(N129=예상등급!$AH$15,LOOKUP(O129,예상등급!$AH$19:$AH$27,예상등급!$AI$19:$AI$27),IF(N129=예상등급!$AK$15,LOOKUP(O129,예상등급!$AK$19:$AK$27,예상등급!$AL$19:$AL$27),IF(N129=예상등급!$AN$15,LOOKUP(O129,예상등급!$AN$19:$AN$27,예상등급!$AO$19:$AO$27),IF(N129=예상등급!$AQ$15,LOOKUP(O129,예상등급!$AQ$19:$AQ$27,예상등급!$AR$19:$AR$27),"")))))))))))))))))</f>
        <v>4</v>
      </c>
      <c r="Q129" s="110" t="s">
        <v>762</v>
      </c>
      <c r="R129" s="71">
        <v>19</v>
      </c>
      <c r="S129" s="385">
        <f>IF(Q129=예상등급!$G$1,LOOKUP(R129,예상등급!$G$5:$G$13,예상등급!$H$5:$H$13),IF(Q129=예상등급!$J$1,LOOKUP(R129,예상등급!$J$5:$J$13,예상등급!$K$5:$K$13),IF(Q129=예상등급!$M$1,LOOKUP(R129,예상등급!$M$5:$M$13,예상등급!$N$5:$N$13),IF(Q129=예상등급!$P$1,LOOKUP(R129,예상등급!$P$5:$P$13,예상등급!$Q$5:$Q$13),IF(Q129=예상등급!$S$1,LOOKUP(R129,예상등급!$S$5:$S$13,예상등급!$T$5:$T$13),IF(Q129=예상등급!$V$1,LOOKUP(R129,예상등급!$V$5:$V$13,예상등급!$W$5:$W$13),IF(Q129=예상등급!$Y$1,LOOKUP(R129,예상등급!$Y$5:$Y$13,예상등급!$Z$5:$Z$13),IF(Q129=예상등급!$AB$1,LOOKUP(R129,예상등급!$AB$5:$AB$13,예상등급!$AC$5:$AC$13),IF(Q129=예상등급!$AE$1,LOOKUP(R129,예상등급!$AE$5:$AE$13,예상등급!$AF$5:$AF$13),IF(Q129=예상등급!$AH$1,LOOKUP(R129,예상등급!$AH$5:$AH$13,예상등급!$AI$5:$AI$13),IF(Q129=예상등급!$AK$1,LOOKUP(R129,예상등급!$AK$5:$AK$13,예상등급!$AL$5:$AL$13),IF(Q129=예상등급!$AN$1,LOOKUP(R129,예상등급!$AN$5:$AN$13,예상등급!$AO$5:$AO$13),IF(Q129=예상등급!$AQ$1,LOOKUP(R129,예상등급!$AQ$5:$AQ$13,예상등급!$AR$5:$AR$13),IF(Q129=예상등급!$AH$15,LOOKUP(R129,예상등급!$AH$19:$AH$27,예상등급!$AI$19:$AI$27),IF(Q129=예상등급!$AK$15,LOOKUP(R129,예상등급!$AK$19:$AK$27,예상등급!$AL$19:$AL$27),IF(Q129=예상등급!$AN$15,LOOKUP(R129,예상등급!$AN$19:$AN$27,예상등급!$AO$19:$AO$27),IF(Q129=예상등급!$AQ$15,LOOKUP(R129,예상등급!$AQ$19:$AQ$27,예상등급!$AR$19:$AR$27),"")))))))))))))))))</f>
        <v>5</v>
      </c>
      <c r="T129" s="110">
        <v>25</v>
      </c>
      <c r="U129" s="382">
        <f>IF(T129="","",LOOKUP(T129,예상등급!$D$19:$D$27,예상등급!$E$19:$E$27))</f>
        <v>4</v>
      </c>
      <c r="V129" s="402">
        <f>SUM(L129,T129,R129,O129)</f>
        <v>221</v>
      </c>
      <c r="W129" s="278">
        <f>RANK(V129,$V$4:$V$491)</f>
        <v>126</v>
      </c>
    </row>
    <row r="130" spans="1:26" ht="24.95" customHeight="1" x14ac:dyDescent="0.15">
      <c r="A130" s="110">
        <v>8</v>
      </c>
      <c r="B130" s="71">
        <v>22</v>
      </c>
      <c r="C130" s="100" t="s">
        <v>956</v>
      </c>
      <c r="D130" s="110" t="s">
        <v>779</v>
      </c>
      <c r="E130" s="71">
        <v>56</v>
      </c>
      <c r="F130" s="382">
        <f>IF(D130=예상등급!$A$1,LOOKUP(E130,예상등급!$A$5:$A$13,예상등급!$B$5:$B$13),IF(D130=예상등급!$A$15,LOOKUP(E130,예상등급!$A$19:$A$27,예상등급!$B$19:$B$27),""))</f>
        <v>4</v>
      </c>
      <c r="G130" s="110" t="s">
        <v>780</v>
      </c>
      <c r="H130" s="71">
        <v>37</v>
      </c>
      <c r="I130" s="382">
        <f>IF(G130=예상등급!$G$15,LOOKUP(H130,예상등급!$G$19:$G$27,예상등급!$H$19:$H$27),IF(G130=예상등급!$J$15,LOOKUP(H130,예상등급!$J$19:$J$27,예상등급!$K$19:$K$27),IF(G130=예상등급!$M$15,LOOKUP(H130,예상등급!$M$19:$M$27,예상등급!$N$19:$N$27),"")))</f>
        <v>5</v>
      </c>
      <c r="J130" s="110">
        <v>72</v>
      </c>
      <c r="K130" s="382">
        <f>IF(J130="","",(LOOKUP(J130,예상등급!$D$5:$D$13,예상등급!$E$5:$E$13)))</f>
        <v>3</v>
      </c>
      <c r="L130" s="301">
        <f>SUM(E130,H130,J130)</f>
        <v>165</v>
      </c>
      <c r="M130" s="398">
        <f>RANK(L130,$L$4:$L$491)</f>
        <v>103</v>
      </c>
      <c r="N130" s="110" t="s">
        <v>770</v>
      </c>
      <c r="O130" s="71">
        <v>15</v>
      </c>
      <c r="P130" s="385">
        <f>IF(N130=예상등급!$G$1,LOOKUP(O130,예상등급!$G$5:$G$13,예상등급!$H$5:$H$13),IF(N130=예상등급!$J$1,LOOKUP(O130,예상등급!$J$5:$J$13,예상등급!$K$5:$K$13),IF(N130=예상등급!$M$1,LOOKUP(O130,예상등급!$M$5:$M$13,예상등급!$N$5:$N$13),IF(N130=예상등급!$P$1,LOOKUP(O130,예상등급!$P$5:$P$13,예상등급!$Q$5:$Q$13),IF(N130=예상등급!$S$1,LOOKUP(O130,예상등급!$S$5:$S$13,예상등급!$T$5:$T$13),IF(N130=예상등급!$V$1,LOOKUP(O130,예상등급!$V$5:$V$13,예상등급!$W$5:$W$13),IF(N130=예상등급!$Y$1,LOOKUP(O130,예상등급!$Y$5:$Y$13,예상등급!$Z$5:$Z$13),IF(N130=예상등급!$AB$1,LOOKUP(O130,예상등급!$AB$5:$AB$13,예상등급!$AC$5:$AC$13),IF(N130=예상등급!$AE$1,LOOKUP(O130,예상등급!$AE$5:$AE$13,예상등급!$AF$5:$AF$13),IF(N130=예상등급!$AH$1,LOOKUP(O130,예상등급!$AH$5:$AH$13,예상등급!$AI$5:$AI$13),IF(N130=예상등급!$AK$1,LOOKUP(O130,예상등급!$AK$5:$AK$13,예상등급!$AL$5:$AL$13),IF(N130=예상등급!$AN$1,LOOKUP(O130,예상등급!$AN$5:$AN$13,예상등급!$AO$5:$AO$13),IF(N130=예상등급!$AQ$1,LOOKUP(O130,예상등급!$AQ$5:$AQ$13,예상등급!$AR$5:$AR$13),IF(N130=예상등급!$AH$15,LOOKUP(O130,예상등급!$AH$19:$AH$27,예상등급!$AI$19:$AI$27),IF(N130=예상등급!$AK$15,LOOKUP(O130,예상등급!$AK$19:$AK$27,예상등급!$AL$19:$AL$27),IF(N130=예상등급!$AN$15,LOOKUP(O130,예상등급!$AN$19:$AN$27,예상등급!$AO$19:$AO$27),IF(N130=예상등급!$AQ$15,LOOKUP(O130,예상등급!$AQ$19:$AQ$27,예상등급!$AR$19:$AR$27),"")))))))))))))))))</f>
        <v>6</v>
      </c>
      <c r="Q130" s="110" t="s">
        <v>761</v>
      </c>
      <c r="R130" s="71">
        <v>23</v>
      </c>
      <c r="S130" s="385">
        <f>IF(Q130=예상등급!$G$1,LOOKUP(R130,예상등급!$G$5:$G$13,예상등급!$H$5:$H$13),IF(Q130=예상등급!$J$1,LOOKUP(R130,예상등급!$J$5:$J$13,예상등급!$K$5:$K$13),IF(Q130=예상등급!$M$1,LOOKUP(R130,예상등급!$M$5:$M$13,예상등급!$N$5:$N$13),IF(Q130=예상등급!$P$1,LOOKUP(R130,예상등급!$P$5:$P$13,예상등급!$Q$5:$Q$13),IF(Q130=예상등급!$S$1,LOOKUP(R130,예상등급!$S$5:$S$13,예상등급!$T$5:$T$13),IF(Q130=예상등급!$V$1,LOOKUP(R130,예상등급!$V$5:$V$13,예상등급!$W$5:$W$13),IF(Q130=예상등급!$Y$1,LOOKUP(R130,예상등급!$Y$5:$Y$13,예상등급!$Z$5:$Z$13),IF(Q130=예상등급!$AB$1,LOOKUP(R130,예상등급!$AB$5:$AB$13,예상등급!$AC$5:$AC$13),IF(Q130=예상등급!$AE$1,LOOKUP(R130,예상등급!$AE$5:$AE$13,예상등급!$AF$5:$AF$13),IF(Q130=예상등급!$AH$1,LOOKUP(R130,예상등급!$AH$5:$AH$13,예상등급!$AI$5:$AI$13),IF(Q130=예상등급!$AK$1,LOOKUP(R130,예상등급!$AK$5:$AK$13,예상등급!$AL$5:$AL$13),IF(Q130=예상등급!$AN$1,LOOKUP(R130,예상등급!$AN$5:$AN$13,예상등급!$AO$5:$AO$13),IF(Q130=예상등급!$AQ$1,LOOKUP(R130,예상등급!$AQ$5:$AQ$13,예상등급!$AR$5:$AR$13),IF(Q130=예상등급!$AH$15,LOOKUP(R130,예상등급!$AH$19:$AH$27,예상등급!$AI$19:$AI$27),IF(Q130=예상등급!$AK$15,LOOKUP(R130,예상등급!$AK$19:$AK$27,예상등급!$AL$19:$AL$27),IF(Q130=예상등급!$AN$15,LOOKUP(R130,예상등급!$AN$19:$AN$27,예상등급!$AO$19:$AO$27),IF(Q130=예상등급!$AQ$15,LOOKUP(R130,예상등급!$AQ$19:$AQ$27,예상등급!$AR$19:$AR$27),"")))))))))))))))))</f>
        <v>5</v>
      </c>
      <c r="T130" s="110">
        <v>18</v>
      </c>
      <c r="U130" s="382">
        <f>IF(T130="","",LOOKUP(T130,예상등급!$D$19:$D$27,예상등급!$E$19:$E$27))</f>
        <v>6</v>
      </c>
      <c r="V130" s="402">
        <f>SUM(L130,T130,R130,O130)</f>
        <v>221</v>
      </c>
      <c r="W130" s="278">
        <f>RANK(V130,$V$4:$V$491)</f>
        <v>126</v>
      </c>
    </row>
    <row r="131" spans="1:26" ht="24.95" customHeight="1" x14ac:dyDescent="0.15">
      <c r="A131" s="110">
        <v>10</v>
      </c>
      <c r="B131" s="71">
        <v>27</v>
      </c>
      <c r="C131" s="100" t="s">
        <v>1010</v>
      </c>
      <c r="D131" s="110" t="s">
        <v>778</v>
      </c>
      <c r="E131" s="71">
        <v>54</v>
      </c>
      <c r="F131" s="382">
        <f>IF(D131=예상등급!$A$1,LOOKUP(E131,예상등급!$A$5:$A$13,예상등급!$B$5:$B$13),IF(D131=예상등급!$A$15,LOOKUP(E131,예상등급!$A$19:$A$27,예상등급!$B$19:$B$27),""))</f>
        <v>4</v>
      </c>
      <c r="G131" s="110" t="s">
        <v>780</v>
      </c>
      <c r="H131" s="71">
        <v>54</v>
      </c>
      <c r="I131" s="382">
        <f>IF(G131=예상등급!$G$15,LOOKUP(H131,예상등급!$G$19:$G$27,예상등급!$H$19:$H$27),IF(G131=예상등급!$J$15,LOOKUP(H131,예상등급!$J$19:$J$27,예상등급!$K$19:$K$27),IF(G131=예상등급!$M$15,LOOKUP(H131,예상등급!$M$19:$M$27,예상등급!$N$19:$N$27),"")))</f>
        <v>5</v>
      </c>
      <c r="J131" s="110">
        <v>66</v>
      </c>
      <c r="K131" s="382">
        <f>IF(J131="","",(LOOKUP(J131,예상등급!$D$5:$D$13,예상등급!$E$5:$E$13)))</f>
        <v>4</v>
      </c>
      <c r="L131" s="301">
        <f>SUM(E131,H131,J131)</f>
        <v>174</v>
      </c>
      <c r="M131" s="398">
        <f>RANK(L131,$L$4:$L$491)</f>
        <v>87</v>
      </c>
      <c r="N131" s="110" t="s">
        <v>767</v>
      </c>
      <c r="O131" s="71">
        <v>15</v>
      </c>
      <c r="P131" s="385">
        <f>IF(N131=예상등급!$G$1,LOOKUP(O131,예상등급!$G$5:$G$13,예상등급!$H$5:$H$13),IF(N131=예상등급!$J$1,LOOKUP(O131,예상등급!$J$5:$J$13,예상등급!$K$5:$K$13),IF(N131=예상등급!$M$1,LOOKUP(O131,예상등급!$M$5:$M$13,예상등급!$N$5:$N$13),IF(N131=예상등급!$P$1,LOOKUP(O131,예상등급!$P$5:$P$13,예상등급!$Q$5:$Q$13),IF(N131=예상등급!$S$1,LOOKUP(O131,예상등급!$S$5:$S$13,예상등급!$T$5:$T$13),IF(N131=예상등급!$V$1,LOOKUP(O131,예상등급!$V$5:$V$13,예상등급!$W$5:$W$13),IF(N131=예상등급!$Y$1,LOOKUP(O131,예상등급!$Y$5:$Y$13,예상등급!$Z$5:$Z$13),IF(N131=예상등급!$AB$1,LOOKUP(O131,예상등급!$AB$5:$AB$13,예상등급!$AC$5:$AC$13),IF(N131=예상등급!$AE$1,LOOKUP(O131,예상등급!$AE$5:$AE$13,예상등급!$AF$5:$AF$13),IF(N131=예상등급!$AH$1,LOOKUP(O131,예상등급!$AH$5:$AH$13,예상등급!$AI$5:$AI$13),IF(N131=예상등급!$AK$1,LOOKUP(O131,예상등급!$AK$5:$AK$13,예상등급!$AL$5:$AL$13),IF(N131=예상등급!$AN$1,LOOKUP(O131,예상등급!$AN$5:$AN$13,예상등급!$AO$5:$AO$13),IF(N131=예상등급!$AQ$1,LOOKUP(O131,예상등급!$AQ$5:$AQ$13,예상등급!$AR$5:$AR$13),IF(N131=예상등급!$AH$15,LOOKUP(O131,예상등급!$AH$19:$AH$27,예상등급!$AI$19:$AI$27),IF(N131=예상등급!$AK$15,LOOKUP(O131,예상등급!$AK$19:$AK$27,예상등급!$AL$19:$AL$27),IF(N131=예상등급!$AN$15,LOOKUP(O131,예상등급!$AN$19:$AN$27,예상등급!$AO$19:$AO$27),IF(N131=예상등급!$AQ$15,LOOKUP(O131,예상등급!$AQ$19:$AQ$27,예상등급!$AR$19:$AR$27),"")))))))))))))))))</f>
        <v>5</v>
      </c>
      <c r="Q131" s="110" t="s">
        <v>761</v>
      </c>
      <c r="R131" s="71">
        <v>14</v>
      </c>
      <c r="S131" s="385">
        <f>IF(Q131=예상등급!$G$1,LOOKUP(R131,예상등급!$G$5:$G$13,예상등급!$H$5:$H$13),IF(Q131=예상등급!$J$1,LOOKUP(R131,예상등급!$J$5:$J$13,예상등급!$K$5:$K$13),IF(Q131=예상등급!$M$1,LOOKUP(R131,예상등급!$M$5:$M$13,예상등급!$N$5:$N$13),IF(Q131=예상등급!$P$1,LOOKUP(R131,예상등급!$P$5:$P$13,예상등급!$Q$5:$Q$13),IF(Q131=예상등급!$S$1,LOOKUP(R131,예상등급!$S$5:$S$13,예상등급!$T$5:$T$13),IF(Q131=예상등급!$V$1,LOOKUP(R131,예상등급!$V$5:$V$13,예상등급!$W$5:$W$13),IF(Q131=예상등급!$Y$1,LOOKUP(R131,예상등급!$Y$5:$Y$13,예상등급!$Z$5:$Z$13),IF(Q131=예상등급!$AB$1,LOOKUP(R131,예상등급!$AB$5:$AB$13,예상등급!$AC$5:$AC$13),IF(Q131=예상등급!$AE$1,LOOKUP(R131,예상등급!$AE$5:$AE$13,예상등급!$AF$5:$AF$13),IF(Q131=예상등급!$AH$1,LOOKUP(R131,예상등급!$AH$5:$AH$13,예상등급!$AI$5:$AI$13),IF(Q131=예상등급!$AK$1,LOOKUP(R131,예상등급!$AK$5:$AK$13,예상등급!$AL$5:$AL$13),IF(Q131=예상등급!$AN$1,LOOKUP(R131,예상등급!$AN$5:$AN$13,예상등급!$AO$5:$AO$13),IF(Q131=예상등급!$AQ$1,LOOKUP(R131,예상등급!$AQ$5:$AQ$13,예상등급!$AR$5:$AR$13),IF(Q131=예상등급!$AH$15,LOOKUP(R131,예상등급!$AH$19:$AH$27,예상등급!$AI$19:$AI$27),IF(Q131=예상등급!$AK$15,LOOKUP(R131,예상등급!$AK$19:$AK$27,예상등급!$AL$19:$AL$27),IF(Q131=예상등급!$AN$15,LOOKUP(R131,예상등급!$AN$19:$AN$27,예상등급!$AO$19:$AO$27),IF(Q131=예상등급!$AQ$15,LOOKUP(R131,예상등급!$AQ$19:$AQ$27,예상등급!$AR$19:$AR$27),"")))))))))))))))))</f>
        <v>6</v>
      </c>
      <c r="T131" s="110">
        <v>17</v>
      </c>
      <c r="U131" s="382">
        <f>IF(T131="","",LOOKUP(T131,예상등급!$D$19:$D$27,예상등급!$E$19:$E$27))</f>
        <v>6</v>
      </c>
      <c r="V131" s="402">
        <f>SUM(L131,T131,R131,O131)</f>
        <v>220</v>
      </c>
      <c r="W131" s="278">
        <f>RANK(V131,$V$4:$V$491)</f>
        <v>128</v>
      </c>
      <c r="Y131" s="149"/>
      <c r="Z131" s="149"/>
    </row>
    <row r="132" spans="1:26" ht="24.95" customHeight="1" x14ac:dyDescent="0.15">
      <c r="A132" s="110">
        <v>1</v>
      </c>
      <c r="B132" s="71">
        <v>21</v>
      </c>
      <c r="C132" s="100" t="s">
        <v>448</v>
      </c>
      <c r="D132" s="110" t="s">
        <v>779</v>
      </c>
      <c r="E132" s="71">
        <v>31</v>
      </c>
      <c r="F132" s="382">
        <f>IF(D132=예상등급!$A$1,LOOKUP(E132,예상등급!$A$5:$A$13,예상등급!$B$5:$B$13),IF(D132=예상등급!$A$15,LOOKUP(E132,예상등급!$A$19:$A$27,예상등급!$B$19:$B$27),""))</f>
        <v>6</v>
      </c>
      <c r="G132" s="110" t="s">
        <v>780</v>
      </c>
      <c r="H132" s="71">
        <v>65</v>
      </c>
      <c r="I132" s="382">
        <f>IF(G132=예상등급!$G$15,LOOKUP(H132,예상등급!$G$19:$G$27,예상등급!$H$19:$H$27),IF(G132=예상등급!$J$15,LOOKUP(H132,예상등급!$J$19:$J$27,예상등급!$K$19:$K$27),IF(G132=예상등급!$M$15,LOOKUP(H132,예상등급!$M$19:$M$27,예상등급!$N$19:$N$27),"")))</f>
        <v>4</v>
      </c>
      <c r="J132" s="110">
        <v>67</v>
      </c>
      <c r="K132" s="382">
        <f>IF(J132="","",(LOOKUP(J132,예상등급!$D$5:$D$13,예상등급!$E$5:$E$13)))</f>
        <v>4</v>
      </c>
      <c r="L132" s="301">
        <f>SUM(E132,H132,J132)</f>
        <v>163</v>
      </c>
      <c r="M132" s="398">
        <f>RANK(L132,$L$4:$L$491)</f>
        <v>107</v>
      </c>
      <c r="N132" s="110" t="s">
        <v>762</v>
      </c>
      <c r="O132" s="71">
        <v>18</v>
      </c>
      <c r="P132" s="385">
        <f>IF(N132=예상등급!$G$1,LOOKUP(O132,예상등급!$G$5:$G$13,예상등급!$H$5:$H$13),IF(N132=예상등급!$J$1,LOOKUP(O132,예상등급!$J$5:$J$13,예상등급!$K$5:$K$13),IF(N132=예상등급!$M$1,LOOKUP(O132,예상등급!$M$5:$M$13,예상등급!$N$5:$N$13),IF(N132=예상등급!$P$1,LOOKUP(O132,예상등급!$P$5:$P$13,예상등급!$Q$5:$Q$13),IF(N132=예상등급!$S$1,LOOKUP(O132,예상등급!$S$5:$S$13,예상등급!$T$5:$T$13),IF(N132=예상등급!$V$1,LOOKUP(O132,예상등급!$V$5:$V$13,예상등급!$W$5:$W$13),IF(N132=예상등급!$Y$1,LOOKUP(O132,예상등급!$Y$5:$Y$13,예상등급!$Z$5:$Z$13),IF(N132=예상등급!$AB$1,LOOKUP(O132,예상등급!$AB$5:$AB$13,예상등급!$AC$5:$AC$13),IF(N132=예상등급!$AE$1,LOOKUP(O132,예상등급!$AE$5:$AE$13,예상등급!$AF$5:$AF$13),IF(N132=예상등급!$AH$1,LOOKUP(O132,예상등급!$AH$5:$AH$13,예상등급!$AI$5:$AI$13),IF(N132=예상등급!$AK$1,LOOKUP(O132,예상등급!$AK$5:$AK$13,예상등급!$AL$5:$AL$13),IF(N132=예상등급!$AN$1,LOOKUP(O132,예상등급!$AN$5:$AN$13,예상등급!$AO$5:$AO$13),IF(N132=예상등급!$AQ$1,LOOKUP(O132,예상등급!$AQ$5:$AQ$13,예상등급!$AR$5:$AR$13),IF(N132=예상등급!$AH$15,LOOKUP(O132,예상등급!$AH$19:$AH$27,예상등급!$AI$19:$AI$27),IF(N132=예상등급!$AK$15,LOOKUP(O132,예상등급!$AK$19:$AK$27,예상등급!$AL$19:$AL$27),IF(N132=예상등급!$AN$15,LOOKUP(O132,예상등급!$AN$19:$AN$27,예상등급!$AO$19:$AO$27),IF(N132=예상등급!$AQ$15,LOOKUP(O132,예상등급!$AQ$19:$AQ$27,예상등급!$AR$19:$AR$27),"")))))))))))))))))</f>
        <v>6</v>
      </c>
      <c r="Q132" s="110" t="s">
        <v>770</v>
      </c>
      <c r="R132" s="71">
        <v>23</v>
      </c>
      <c r="S132" s="385">
        <f>IF(Q132=예상등급!$G$1,LOOKUP(R132,예상등급!$G$5:$G$13,예상등급!$H$5:$H$13),IF(Q132=예상등급!$J$1,LOOKUP(R132,예상등급!$J$5:$J$13,예상등급!$K$5:$K$13),IF(Q132=예상등급!$M$1,LOOKUP(R132,예상등급!$M$5:$M$13,예상등급!$N$5:$N$13),IF(Q132=예상등급!$P$1,LOOKUP(R132,예상등급!$P$5:$P$13,예상등급!$Q$5:$Q$13),IF(Q132=예상등급!$S$1,LOOKUP(R132,예상등급!$S$5:$S$13,예상등급!$T$5:$T$13),IF(Q132=예상등급!$V$1,LOOKUP(R132,예상등급!$V$5:$V$13,예상등급!$W$5:$W$13),IF(Q132=예상등급!$Y$1,LOOKUP(R132,예상등급!$Y$5:$Y$13,예상등급!$Z$5:$Z$13),IF(Q132=예상등급!$AB$1,LOOKUP(R132,예상등급!$AB$5:$AB$13,예상등급!$AC$5:$AC$13),IF(Q132=예상등급!$AE$1,LOOKUP(R132,예상등급!$AE$5:$AE$13,예상등급!$AF$5:$AF$13),IF(Q132=예상등급!$AH$1,LOOKUP(R132,예상등급!$AH$5:$AH$13,예상등급!$AI$5:$AI$13),IF(Q132=예상등급!$AK$1,LOOKUP(R132,예상등급!$AK$5:$AK$13,예상등급!$AL$5:$AL$13),IF(Q132=예상등급!$AN$1,LOOKUP(R132,예상등급!$AN$5:$AN$13,예상등급!$AO$5:$AO$13),IF(Q132=예상등급!$AQ$1,LOOKUP(R132,예상등급!$AQ$5:$AQ$13,예상등급!$AR$5:$AR$13),IF(Q132=예상등급!$AH$15,LOOKUP(R132,예상등급!$AH$19:$AH$27,예상등급!$AI$19:$AI$27),IF(Q132=예상등급!$AK$15,LOOKUP(R132,예상등급!$AK$19:$AK$27,예상등급!$AL$19:$AL$27),IF(Q132=예상등급!$AN$15,LOOKUP(R132,예상등급!$AN$19:$AN$27,예상등급!$AO$19:$AO$27),IF(Q132=예상등급!$AQ$15,LOOKUP(R132,예상등급!$AQ$19:$AQ$27,예상등급!$AR$19:$AR$27),"")))))))))))))))))</f>
        <v>5</v>
      </c>
      <c r="T132" s="110">
        <v>15</v>
      </c>
      <c r="U132" s="382">
        <f>IF(T132="","",LOOKUP(T132,예상등급!$D$19:$D$27,예상등급!$E$19:$E$27))</f>
        <v>6</v>
      </c>
      <c r="V132" s="402">
        <f>SUM(L132,T132,R132,O132)</f>
        <v>219</v>
      </c>
      <c r="W132" s="278">
        <f>RANK(V132,$V$4:$V$491)</f>
        <v>129</v>
      </c>
    </row>
    <row r="133" spans="1:26" ht="24.95" customHeight="1" x14ac:dyDescent="0.15">
      <c r="A133" s="110">
        <v>3</v>
      </c>
      <c r="B133" s="71">
        <v>19</v>
      </c>
      <c r="C133" s="100" t="s">
        <v>852</v>
      </c>
      <c r="D133" s="110" t="s">
        <v>779</v>
      </c>
      <c r="E133" s="71">
        <v>64</v>
      </c>
      <c r="F133" s="382">
        <f>IF(D133=예상등급!$A$1,LOOKUP(E133,예상등급!$A$5:$A$13,예상등급!$B$5:$B$13),IF(D133=예상등급!$A$15,LOOKUP(E133,예상등급!$A$19:$A$27,예상등급!$B$19:$B$27),""))</f>
        <v>3</v>
      </c>
      <c r="G133" s="110" t="s">
        <v>781</v>
      </c>
      <c r="H133" s="71">
        <v>47</v>
      </c>
      <c r="I133" s="382">
        <f>IF(G133=예상등급!$G$15,LOOKUP(H133,예상등급!$G$19:$G$27,예상등급!$H$19:$H$27),IF(G133=예상등급!$J$15,LOOKUP(H133,예상등급!$J$19:$J$27,예상등급!$K$19:$K$27),IF(G133=예상등급!$M$15,LOOKUP(H133,예상등급!$M$19:$M$27,예상등급!$N$19:$N$27),"")))</f>
        <v>5</v>
      </c>
      <c r="J133" s="110">
        <v>75</v>
      </c>
      <c r="K133" s="382">
        <f>IF(J133="","",(LOOKUP(J133,예상등급!$D$5:$D$13,예상등급!$E$5:$E$13)))</f>
        <v>3</v>
      </c>
      <c r="L133" s="301">
        <f>SUM(E133,H133,J133)</f>
        <v>186</v>
      </c>
      <c r="M133" s="398">
        <f>RANK(L133,$L$4:$L$491)</f>
        <v>68</v>
      </c>
      <c r="N133" s="110" t="s">
        <v>763</v>
      </c>
      <c r="O133" s="71">
        <v>18</v>
      </c>
      <c r="P133" s="385">
        <f>IF(N133=예상등급!$G$1,LOOKUP(O133,예상등급!$G$5:$G$13,예상등급!$H$5:$H$13),IF(N133=예상등급!$J$1,LOOKUP(O133,예상등급!$J$5:$J$13,예상등급!$K$5:$K$13),IF(N133=예상등급!$M$1,LOOKUP(O133,예상등급!$M$5:$M$13,예상등급!$N$5:$N$13),IF(N133=예상등급!$P$1,LOOKUP(O133,예상등급!$P$5:$P$13,예상등급!$Q$5:$Q$13),IF(N133=예상등급!$S$1,LOOKUP(O133,예상등급!$S$5:$S$13,예상등급!$T$5:$T$13),IF(N133=예상등급!$V$1,LOOKUP(O133,예상등급!$V$5:$V$13,예상등급!$W$5:$W$13),IF(N133=예상등급!$Y$1,LOOKUP(O133,예상등급!$Y$5:$Y$13,예상등급!$Z$5:$Z$13),IF(N133=예상등급!$AB$1,LOOKUP(O133,예상등급!$AB$5:$AB$13,예상등급!$AC$5:$AC$13),IF(N133=예상등급!$AE$1,LOOKUP(O133,예상등급!$AE$5:$AE$13,예상등급!$AF$5:$AF$13),IF(N133=예상등급!$AH$1,LOOKUP(O133,예상등급!$AH$5:$AH$13,예상등급!$AI$5:$AI$13),IF(N133=예상등급!$AK$1,LOOKUP(O133,예상등급!$AK$5:$AK$13,예상등급!$AL$5:$AL$13),IF(N133=예상등급!$AN$1,LOOKUP(O133,예상등급!$AN$5:$AN$13,예상등급!$AO$5:$AO$13),IF(N133=예상등급!$AQ$1,LOOKUP(O133,예상등급!$AQ$5:$AQ$13,예상등급!$AR$5:$AR$13),IF(N133=예상등급!$AH$15,LOOKUP(O133,예상등급!$AH$19:$AH$27,예상등급!$AI$19:$AI$27),IF(N133=예상등급!$AK$15,LOOKUP(O133,예상등급!$AK$19:$AK$27,예상등급!$AL$19:$AL$27),IF(N133=예상등급!$AN$15,LOOKUP(O133,예상등급!$AN$19:$AN$27,예상등급!$AO$19:$AO$27),IF(N133=예상등급!$AQ$15,LOOKUP(O133,예상등급!$AQ$19:$AQ$27,예상등급!$AR$19:$AR$27),"")))))))))))))))))</f>
        <v>5</v>
      </c>
      <c r="Q133" s="110" t="s">
        <v>764</v>
      </c>
      <c r="R133" s="71">
        <v>9</v>
      </c>
      <c r="S133" s="385">
        <f>IF(Q133=예상등급!$G$1,LOOKUP(R133,예상등급!$G$5:$G$13,예상등급!$H$5:$H$13),IF(Q133=예상등급!$J$1,LOOKUP(R133,예상등급!$J$5:$J$13,예상등급!$K$5:$K$13),IF(Q133=예상등급!$M$1,LOOKUP(R133,예상등급!$M$5:$M$13,예상등급!$N$5:$N$13),IF(Q133=예상등급!$P$1,LOOKUP(R133,예상등급!$P$5:$P$13,예상등급!$Q$5:$Q$13),IF(Q133=예상등급!$S$1,LOOKUP(R133,예상등급!$S$5:$S$13,예상등급!$T$5:$T$13),IF(Q133=예상등급!$V$1,LOOKUP(R133,예상등급!$V$5:$V$13,예상등급!$W$5:$W$13),IF(Q133=예상등급!$Y$1,LOOKUP(R133,예상등급!$Y$5:$Y$13,예상등급!$Z$5:$Z$13),IF(Q133=예상등급!$AB$1,LOOKUP(R133,예상등급!$AB$5:$AB$13,예상등급!$AC$5:$AC$13),IF(Q133=예상등급!$AE$1,LOOKUP(R133,예상등급!$AE$5:$AE$13,예상등급!$AF$5:$AF$13),IF(Q133=예상등급!$AH$1,LOOKUP(R133,예상등급!$AH$5:$AH$13,예상등급!$AI$5:$AI$13),IF(Q133=예상등급!$AK$1,LOOKUP(R133,예상등급!$AK$5:$AK$13,예상등급!$AL$5:$AL$13),IF(Q133=예상등급!$AN$1,LOOKUP(R133,예상등급!$AN$5:$AN$13,예상등급!$AO$5:$AO$13),IF(Q133=예상등급!$AQ$1,LOOKUP(R133,예상등급!$AQ$5:$AQ$13,예상등급!$AR$5:$AR$13),IF(Q133=예상등급!$AH$15,LOOKUP(R133,예상등급!$AH$19:$AH$27,예상등급!$AI$19:$AI$27),IF(Q133=예상등급!$AK$15,LOOKUP(R133,예상등급!$AK$19:$AK$27,예상등급!$AL$19:$AL$27),IF(Q133=예상등급!$AN$15,LOOKUP(R133,예상등급!$AN$19:$AN$27,예상등급!$AO$19:$AO$27),IF(Q133=예상등급!$AQ$15,LOOKUP(R133,예상등급!$AQ$19:$AQ$27,예상등급!$AR$19:$AR$27),"")))))))))))))))))</f>
        <v>7</v>
      </c>
      <c r="T133" s="110">
        <v>6</v>
      </c>
      <c r="U133" s="382">
        <f>IF(T133="","",LOOKUP(T133,예상등급!$D$19:$D$27,예상등급!$E$19:$E$27))</f>
        <v>8</v>
      </c>
      <c r="V133" s="402">
        <f>SUM(L133,T133,R133,O133)</f>
        <v>219</v>
      </c>
      <c r="W133" s="278">
        <f>RANK(V133,$V$4:$V$491)</f>
        <v>129</v>
      </c>
      <c r="Y133" s="149"/>
      <c r="Z133" s="149"/>
    </row>
    <row r="134" spans="1:26" ht="24.95" customHeight="1" x14ac:dyDescent="0.15">
      <c r="A134" s="110">
        <v>7</v>
      </c>
      <c r="B134" s="71">
        <v>20</v>
      </c>
      <c r="C134" s="100" t="s">
        <v>933</v>
      </c>
      <c r="D134" s="110" t="s">
        <v>779</v>
      </c>
      <c r="E134" s="71">
        <v>52</v>
      </c>
      <c r="F134" s="382">
        <f>IF(D134=예상등급!$A$1,LOOKUP(E134,예상등급!$A$5:$A$13,예상등급!$B$5:$B$13),IF(D134=예상등급!$A$15,LOOKUP(E134,예상등급!$A$19:$A$27,예상등급!$B$19:$B$27),""))</f>
        <v>4</v>
      </c>
      <c r="G134" s="110" t="s">
        <v>781</v>
      </c>
      <c r="H134" s="71">
        <v>30</v>
      </c>
      <c r="I134" s="382">
        <f>IF(G134=예상등급!$G$15,LOOKUP(H134,예상등급!$G$19:$G$27,예상등급!$H$19:$H$27),IF(G134=예상등급!$J$15,LOOKUP(H134,예상등급!$J$19:$J$27,예상등급!$K$19:$K$27),IF(G134=예상등급!$M$15,LOOKUP(H134,예상등급!$M$19:$M$27,예상등급!$N$19:$N$27),"")))</f>
        <v>5</v>
      </c>
      <c r="J134" s="110">
        <v>65</v>
      </c>
      <c r="K134" s="382">
        <f>IF(J134="","",(LOOKUP(J134,예상등급!$D$5:$D$13,예상등급!$E$5:$E$13)))</f>
        <v>4</v>
      </c>
      <c r="L134" s="301">
        <f>SUM(E134,H134,J134)</f>
        <v>147</v>
      </c>
      <c r="M134" s="398">
        <f>RANK(L134,$L$4:$L$491)</f>
        <v>140</v>
      </c>
      <c r="N134" s="110" t="s">
        <v>762</v>
      </c>
      <c r="O134" s="71">
        <v>18</v>
      </c>
      <c r="P134" s="385">
        <f>IF(N134=예상등급!$G$1,LOOKUP(O134,예상등급!$G$5:$G$13,예상등급!$H$5:$H$13),IF(N134=예상등급!$J$1,LOOKUP(O134,예상등급!$J$5:$J$13,예상등급!$K$5:$K$13),IF(N134=예상등급!$M$1,LOOKUP(O134,예상등급!$M$5:$M$13,예상등급!$N$5:$N$13),IF(N134=예상등급!$P$1,LOOKUP(O134,예상등급!$P$5:$P$13,예상등급!$Q$5:$Q$13),IF(N134=예상등급!$S$1,LOOKUP(O134,예상등급!$S$5:$S$13,예상등급!$T$5:$T$13),IF(N134=예상등급!$V$1,LOOKUP(O134,예상등급!$V$5:$V$13,예상등급!$W$5:$W$13),IF(N134=예상등급!$Y$1,LOOKUP(O134,예상등급!$Y$5:$Y$13,예상등급!$Z$5:$Z$13),IF(N134=예상등급!$AB$1,LOOKUP(O134,예상등급!$AB$5:$AB$13,예상등급!$AC$5:$AC$13),IF(N134=예상등급!$AE$1,LOOKUP(O134,예상등급!$AE$5:$AE$13,예상등급!$AF$5:$AF$13),IF(N134=예상등급!$AH$1,LOOKUP(O134,예상등급!$AH$5:$AH$13,예상등급!$AI$5:$AI$13),IF(N134=예상등급!$AK$1,LOOKUP(O134,예상등급!$AK$5:$AK$13,예상등급!$AL$5:$AL$13),IF(N134=예상등급!$AN$1,LOOKUP(O134,예상등급!$AN$5:$AN$13,예상등급!$AO$5:$AO$13),IF(N134=예상등급!$AQ$1,LOOKUP(O134,예상등급!$AQ$5:$AQ$13,예상등급!$AR$5:$AR$13),IF(N134=예상등급!$AH$15,LOOKUP(O134,예상등급!$AH$19:$AH$27,예상등급!$AI$19:$AI$27),IF(N134=예상등급!$AK$15,LOOKUP(O134,예상등급!$AK$19:$AK$27,예상등급!$AL$19:$AL$27),IF(N134=예상등급!$AN$15,LOOKUP(O134,예상등급!$AN$19:$AN$27,예상등급!$AO$19:$AO$27),IF(N134=예상등급!$AQ$15,LOOKUP(O134,예상등급!$AQ$19:$AQ$27,예상등급!$AR$19:$AR$27),"")))))))))))))))))</f>
        <v>6</v>
      </c>
      <c r="Q134" s="110" t="s">
        <v>770</v>
      </c>
      <c r="R134" s="71">
        <v>29</v>
      </c>
      <c r="S134" s="385">
        <f>IF(Q134=예상등급!$G$1,LOOKUP(R134,예상등급!$G$5:$G$13,예상등급!$H$5:$H$13),IF(Q134=예상등급!$J$1,LOOKUP(R134,예상등급!$J$5:$J$13,예상등급!$K$5:$K$13),IF(Q134=예상등급!$M$1,LOOKUP(R134,예상등급!$M$5:$M$13,예상등급!$N$5:$N$13),IF(Q134=예상등급!$P$1,LOOKUP(R134,예상등급!$P$5:$P$13,예상등급!$Q$5:$Q$13),IF(Q134=예상등급!$S$1,LOOKUP(R134,예상등급!$S$5:$S$13,예상등급!$T$5:$T$13),IF(Q134=예상등급!$V$1,LOOKUP(R134,예상등급!$V$5:$V$13,예상등급!$W$5:$W$13),IF(Q134=예상등급!$Y$1,LOOKUP(R134,예상등급!$Y$5:$Y$13,예상등급!$Z$5:$Z$13),IF(Q134=예상등급!$AB$1,LOOKUP(R134,예상등급!$AB$5:$AB$13,예상등급!$AC$5:$AC$13),IF(Q134=예상등급!$AE$1,LOOKUP(R134,예상등급!$AE$5:$AE$13,예상등급!$AF$5:$AF$13),IF(Q134=예상등급!$AH$1,LOOKUP(R134,예상등급!$AH$5:$AH$13,예상등급!$AI$5:$AI$13),IF(Q134=예상등급!$AK$1,LOOKUP(R134,예상등급!$AK$5:$AK$13,예상등급!$AL$5:$AL$13),IF(Q134=예상등급!$AN$1,LOOKUP(R134,예상등급!$AN$5:$AN$13,예상등급!$AO$5:$AO$13),IF(Q134=예상등급!$AQ$1,LOOKUP(R134,예상등급!$AQ$5:$AQ$13,예상등급!$AR$5:$AR$13),IF(Q134=예상등급!$AH$15,LOOKUP(R134,예상등급!$AH$19:$AH$27,예상등급!$AI$19:$AI$27),IF(Q134=예상등급!$AK$15,LOOKUP(R134,예상등급!$AK$19:$AK$27,예상등급!$AL$19:$AL$27),IF(Q134=예상등급!$AN$15,LOOKUP(R134,예상등급!$AN$19:$AN$27,예상등급!$AO$19:$AO$27),IF(Q134=예상등급!$AQ$15,LOOKUP(R134,예상등급!$AQ$19:$AQ$27,예상등급!$AR$19:$AR$27),"")))))))))))))))))</f>
        <v>4</v>
      </c>
      <c r="T134" s="110">
        <v>24</v>
      </c>
      <c r="U134" s="382">
        <f>IF(T134="","",LOOKUP(T134,예상등급!$D$19:$D$27,예상등급!$E$19:$E$27))</f>
        <v>5</v>
      </c>
      <c r="V134" s="402">
        <f>SUM(L134,T134,R134,O134)</f>
        <v>218</v>
      </c>
      <c r="W134" s="278">
        <f>RANK(V134,$V$4:$V$491)</f>
        <v>131</v>
      </c>
    </row>
    <row r="135" spans="1:26" ht="24.95" customHeight="1" x14ac:dyDescent="0.15">
      <c r="A135" s="110">
        <v>5</v>
      </c>
      <c r="B135" s="71">
        <v>8</v>
      </c>
      <c r="C135" s="100" t="s">
        <v>880</v>
      </c>
      <c r="D135" s="110" t="s">
        <v>779</v>
      </c>
      <c r="E135" s="71">
        <v>67</v>
      </c>
      <c r="F135" s="382">
        <f>IF(D135=예상등급!$A$1,LOOKUP(E135,예상등급!$A$5:$A$13,예상등급!$B$5:$B$13),IF(D135=예상등급!$A$15,LOOKUP(E135,예상등급!$A$19:$A$27,예상등급!$B$19:$B$27),""))</f>
        <v>3</v>
      </c>
      <c r="G135" s="110" t="s">
        <v>780</v>
      </c>
      <c r="H135" s="71">
        <v>6</v>
      </c>
      <c r="I135" s="382">
        <f>IF(G135=예상등급!$G$15,LOOKUP(H135,예상등급!$G$19:$G$27,예상등급!$H$19:$H$27),IF(G135=예상등급!$J$15,LOOKUP(H135,예상등급!$J$19:$J$27,예상등급!$K$19:$K$27),IF(G135=예상등급!$M$15,LOOKUP(H135,예상등급!$M$19:$M$27,예상등급!$N$19:$N$27),"")))</f>
        <v>9</v>
      </c>
      <c r="J135" s="110">
        <v>52</v>
      </c>
      <c r="K135" s="382">
        <f>IF(J135="","",(LOOKUP(J135,예상등급!$D$5:$D$13,예상등급!$E$5:$E$13)))</f>
        <v>5</v>
      </c>
      <c r="L135" s="301">
        <f>SUM(E135,H135,J135)</f>
        <v>125</v>
      </c>
      <c r="M135" s="398">
        <f>RANK(L135,$L$4:$L$491)</f>
        <v>166</v>
      </c>
      <c r="N135" s="110" t="s">
        <v>762</v>
      </c>
      <c r="O135" s="71">
        <v>22</v>
      </c>
      <c r="P135" s="385">
        <f>IF(N135=예상등급!$G$1,LOOKUP(O135,예상등급!$G$5:$G$13,예상등급!$H$5:$H$13),IF(N135=예상등급!$J$1,LOOKUP(O135,예상등급!$J$5:$J$13,예상등급!$K$5:$K$13),IF(N135=예상등급!$M$1,LOOKUP(O135,예상등급!$M$5:$M$13,예상등급!$N$5:$N$13),IF(N135=예상등급!$P$1,LOOKUP(O135,예상등급!$P$5:$P$13,예상등급!$Q$5:$Q$13),IF(N135=예상등급!$S$1,LOOKUP(O135,예상등급!$S$5:$S$13,예상등급!$T$5:$T$13),IF(N135=예상등급!$V$1,LOOKUP(O135,예상등급!$V$5:$V$13,예상등급!$W$5:$W$13),IF(N135=예상등급!$Y$1,LOOKUP(O135,예상등급!$Y$5:$Y$13,예상등급!$Z$5:$Z$13),IF(N135=예상등급!$AB$1,LOOKUP(O135,예상등급!$AB$5:$AB$13,예상등급!$AC$5:$AC$13),IF(N135=예상등급!$AE$1,LOOKUP(O135,예상등급!$AE$5:$AE$13,예상등급!$AF$5:$AF$13),IF(N135=예상등급!$AH$1,LOOKUP(O135,예상등급!$AH$5:$AH$13,예상등급!$AI$5:$AI$13),IF(N135=예상등급!$AK$1,LOOKUP(O135,예상등급!$AK$5:$AK$13,예상등급!$AL$5:$AL$13),IF(N135=예상등급!$AN$1,LOOKUP(O135,예상등급!$AN$5:$AN$13,예상등급!$AO$5:$AO$13),IF(N135=예상등급!$AQ$1,LOOKUP(O135,예상등급!$AQ$5:$AQ$13,예상등급!$AR$5:$AR$13),IF(N135=예상등급!$AH$15,LOOKUP(O135,예상등급!$AH$19:$AH$27,예상등급!$AI$19:$AI$27),IF(N135=예상등급!$AK$15,LOOKUP(O135,예상등급!$AK$19:$AK$27,예상등급!$AL$19:$AL$27),IF(N135=예상등급!$AN$15,LOOKUP(O135,예상등급!$AN$19:$AN$27,예상등급!$AO$19:$AO$27),IF(N135=예상등급!$AQ$15,LOOKUP(O135,예상등급!$AQ$19:$AQ$27,예상등급!$AR$19:$AR$27),"")))))))))))))))))</f>
        <v>5</v>
      </c>
      <c r="Q135" s="110" t="s">
        <v>767</v>
      </c>
      <c r="R135" s="71">
        <v>32</v>
      </c>
      <c r="S135" s="385">
        <f>IF(Q135=예상등급!$G$1,LOOKUP(R135,예상등급!$G$5:$G$13,예상등급!$H$5:$H$13),IF(Q135=예상등급!$J$1,LOOKUP(R135,예상등급!$J$5:$J$13,예상등급!$K$5:$K$13),IF(Q135=예상등급!$M$1,LOOKUP(R135,예상등급!$M$5:$M$13,예상등급!$N$5:$N$13),IF(Q135=예상등급!$P$1,LOOKUP(R135,예상등급!$P$5:$P$13,예상등급!$Q$5:$Q$13),IF(Q135=예상등급!$S$1,LOOKUP(R135,예상등급!$S$5:$S$13,예상등급!$T$5:$T$13),IF(Q135=예상등급!$V$1,LOOKUP(R135,예상등급!$V$5:$V$13,예상등급!$W$5:$W$13),IF(Q135=예상등급!$Y$1,LOOKUP(R135,예상등급!$Y$5:$Y$13,예상등급!$Z$5:$Z$13),IF(Q135=예상등급!$AB$1,LOOKUP(R135,예상등급!$AB$5:$AB$13,예상등급!$AC$5:$AC$13),IF(Q135=예상등급!$AE$1,LOOKUP(R135,예상등급!$AE$5:$AE$13,예상등급!$AF$5:$AF$13),IF(Q135=예상등급!$AH$1,LOOKUP(R135,예상등급!$AH$5:$AH$13,예상등급!$AI$5:$AI$13),IF(Q135=예상등급!$AK$1,LOOKUP(R135,예상등급!$AK$5:$AK$13,예상등급!$AL$5:$AL$13),IF(Q135=예상등급!$AN$1,LOOKUP(R135,예상등급!$AN$5:$AN$13,예상등급!$AO$5:$AO$13),IF(Q135=예상등급!$AQ$1,LOOKUP(R135,예상등급!$AQ$5:$AQ$13,예상등급!$AR$5:$AR$13),IF(Q135=예상등급!$AH$15,LOOKUP(R135,예상등급!$AH$19:$AH$27,예상등급!$AI$19:$AI$27),IF(Q135=예상등급!$AK$15,LOOKUP(R135,예상등급!$AK$19:$AK$27,예상등급!$AL$19:$AL$27),IF(Q135=예상등급!$AN$15,LOOKUP(R135,예상등급!$AN$19:$AN$27,예상등급!$AO$19:$AO$27),IF(Q135=예상등급!$AQ$15,LOOKUP(R135,예상등급!$AQ$19:$AQ$27,예상등급!$AR$19:$AR$27),"")))))))))))))))))</f>
        <v>3</v>
      </c>
      <c r="T135" s="110">
        <v>37</v>
      </c>
      <c r="U135" s="382">
        <f>IF(T135="","",LOOKUP(T135,예상등급!$D$19:$D$27,예상등급!$E$19:$E$27))</f>
        <v>2</v>
      </c>
      <c r="V135" s="402">
        <f>SUM(L135,T135,R135,O135)</f>
        <v>216</v>
      </c>
      <c r="W135" s="278">
        <f>RANK(V135,$V$4:$V$491)</f>
        <v>132</v>
      </c>
    </row>
    <row r="136" spans="1:26" ht="24.95" customHeight="1" x14ac:dyDescent="0.15">
      <c r="A136" s="110">
        <v>10</v>
      </c>
      <c r="B136" s="71">
        <v>6</v>
      </c>
      <c r="C136" s="100" t="s">
        <v>989</v>
      </c>
      <c r="D136" s="110" t="s">
        <v>779</v>
      </c>
      <c r="E136" s="71">
        <v>50</v>
      </c>
      <c r="F136" s="382">
        <f>IF(D136=예상등급!$A$1,LOOKUP(E136,예상등급!$A$5:$A$13,예상등급!$B$5:$B$13),IF(D136=예상등급!$A$15,LOOKUP(E136,예상등급!$A$19:$A$27,예상등급!$B$19:$B$27),""))</f>
        <v>5</v>
      </c>
      <c r="G136" s="110" t="s">
        <v>780</v>
      </c>
      <c r="H136" s="71">
        <v>48</v>
      </c>
      <c r="I136" s="382">
        <f>IF(G136=예상등급!$G$15,LOOKUP(H136,예상등급!$G$19:$G$27,예상등급!$H$19:$H$27),IF(G136=예상등급!$J$15,LOOKUP(H136,예상등급!$J$19:$J$27,예상등급!$K$19:$K$27),IF(G136=예상등급!$M$15,LOOKUP(H136,예상등급!$M$19:$M$27,예상등급!$N$19:$N$27),"")))</f>
        <v>5</v>
      </c>
      <c r="J136" s="110">
        <v>62</v>
      </c>
      <c r="K136" s="382">
        <f>IF(J136="","",(LOOKUP(J136,예상등급!$D$5:$D$13,예상등급!$E$5:$E$13)))</f>
        <v>4</v>
      </c>
      <c r="L136" s="301">
        <f>SUM(E136,H136,J136)</f>
        <v>160</v>
      </c>
      <c r="M136" s="398">
        <f>RANK(L136,$L$4:$L$491)</f>
        <v>112</v>
      </c>
      <c r="N136" s="110" t="s">
        <v>762</v>
      </c>
      <c r="O136" s="71">
        <v>23</v>
      </c>
      <c r="P136" s="385">
        <f>IF(N136=예상등급!$G$1,LOOKUP(O136,예상등급!$G$5:$G$13,예상등급!$H$5:$H$13),IF(N136=예상등급!$J$1,LOOKUP(O136,예상등급!$J$5:$J$13,예상등급!$K$5:$K$13),IF(N136=예상등급!$M$1,LOOKUP(O136,예상등급!$M$5:$M$13,예상등급!$N$5:$N$13),IF(N136=예상등급!$P$1,LOOKUP(O136,예상등급!$P$5:$P$13,예상등급!$Q$5:$Q$13),IF(N136=예상등급!$S$1,LOOKUP(O136,예상등급!$S$5:$S$13,예상등급!$T$5:$T$13),IF(N136=예상등급!$V$1,LOOKUP(O136,예상등급!$V$5:$V$13,예상등급!$W$5:$W$13),IF(N136=예상등급!$Y$1,LOOKUP(O136,예상등급!$Y$5:$Y$13,예상등급!$Z$5:$Z$13),IF(N136=예상등급!$AB$1,LOOKUP(O136,예상등급!$AB$5:$AB$13,예상등급!$AC$5:$AC$13),IF(N136=예상등급!$AE$1,LOOKUP(O136,예상등급!$AE$5:$AE$13,예상등급!$AF$5:$AF$13),IF(N136=예상등급!$AH$1,LOOKUP(O136,예상등급!$AH$5:$AH$13,예상등급!$AI$5:$AI$13),IF(N136=예상등급!$AK$1,LOOKUP(O136,예상등급!$AK$5:$AK$13,예상등급!$AL$5:$AL$13),IF(N136=예상등급!$AN$1,LOOKUP(O136,예상등급!$AN$5:$AN$13,예상등급!$AO$5:$AO$13),IF(N136=예상등급!$AQ$1,LOOKUP(O136,예상등급!$AQ$5:$AQ$13,예상등급!$AR$5:$AR$13),IF(N136=예상등급!$AH$15,LOOKUP(O136,예상등급!$AH$19:$AH$27,예상등급!$AI$19:$AI$27),IF(N136=예상등급!$AK$15,LOOKUP(O136,예상등급!$AK$19:$AK$27,예상등급!$AL$19:$AL$27),IF(N136=예상등급!$AN$15,LOOKUP(O136,예상등급!$AN$19:$AN$27,예상등급!$AO$19:$AO$27),IF(N136=예상등급!$AQ$15,LOOKUP(O136,예상등급!$AQ$19:$AQ$27,예상등급!$AR$19:$AR$27),"")))))))))))))))))</f>
        <v>5</v>
      </c>
      <c r="Q136" s="110" t="s">
        <v>761</v>
      </c>
      <c r="R136" s="71">
        <v>19</v>
      </c>
      <c r="S136" s="385">
        <f>IF(Q136=예상등급!$G$1,LOOKUP(R136,예상등급!$G$5:$G$13,예상등급!$H$5:$H$13),IF(Q136=예상등급!$J$1,LOOKUP(R136,예상등급!$J$5:$J$13,예상등급!$K$5:$K$13),IF(Q136=예상등급!$M$1,LOOKUP(R136,예상등급!$M$5:$M$13,예상등급!$N$5:$N$13),IF(Q136=예상등급!$P$1,LOOKUP(R136,예상등급!$P$5:$P$13,예상등급!$Q$5:$Q$13),IF(Q136=예상등급!$S$1,LOOKUP(R136,예상등급!$S$5:$S$13,예상등급!$T$5:$T$13),IF(Q136=예상등급!$V$1,LOOKUP(R136,예상등급!$V$5:$V$13,예상등급!$W$5:$W$13),IF(Q136=예상등급!$Y$1,LOOKUP(R136,예상등급!$Y$5:$Y$13,예상등급!$Z$5:$Z$13),IF(Q136=예상등급!$AB$1,LOOKUP(R136,예상등급!$AB$5:$AB$13,예상등급!$AC$5:$AC$13),IF(Q136=예상등급!$AE$1,LOOKUP(R136,예상등급!$AE$5:$AE$13,예상등급!$AF$5:$AF$13),IF(Q136=예상등급!$AH$1,LOOKUP(R136,예상등급!$AH$5:$AH$13,예상등급!$AI$5:$AI$13),IF(Q136=예상등급!$AK$1,LOOKUP(R136,예상등급!$AK$5:$AK$13,예상등급!$AL$5:$AL$13),IF(Q136=예상등급!$AN$1,LOOKUP(R136,예상등급!$AN$5:$AN$13,예상등급!$AO$5:$AO$13),IF(Q136=예상등급!$AQ$1,LOOKUP(R136,예상등급!$AQ$5:$AQ$13,예상등급!$AR$5:$AR$13),IF(Q136=예상등급!$AH$15,LOOKUP(R136,예상등급!$AH$19:$AH$27,예상등급!$AI$19:$AI$27),IF(Q136=예상등급!$AK$15,LOOKUP(R136,예상등급!$AK$19:$AK$27,예상등급!$AL$19:$AL$27),IF(Q136=예상등급!$AN$15,LOOKUP(R136,예상등급!$AN$19:$AN$27,예상등급!$AO$19:$AO$27),IF(Q136=예상등급!$AQ$15,LOOKUP(R136,예상등급!$AQ$19:$AQ$27,예상등급!$AR$19:$AR$27),"")))))))))))))))))</f>
        <v>5</v>
      </c>
      <c r="T136" s="110">
        <v>14</v>
      </c>
      <c r="U136" s="382">
        <f>IF(T136="","",LOOKUP(T136,예상등급!$D$19:$D$27,예상등급!$E$19:$E$27))</f>
        <v>7</v>
      </c>
      <c r="V136" s="402">
        <f>SUM(L136,T136,R136,O136)</f>
        <v>216</v>
      </c>
      <c r="W136" s="278">
        <f>RANK(V136,$V$4:$V$491)</f>
        <v>132</v>
      </c>
    </row>
    <row r="137" spans="1:26" s="7" customFormat="1" ht="24.95" customHeight="1" x14ac:dyDescent="0.15">
      <c r="A137" s="110">
        <v>6</v>
      </c>
      <c r="B137" s="71">
        <v>13</v>
      </c>
      <c r="C137" s="100" t="s">
        <v>904</v>
      </c>
      <c r="D137" s="110" t="s">
        <v>779</v>
      </c>
      <c r="E137" s="71">
        <v>36</v>
      </c>
      <c r="F137" s="382">
        <f>IF(D137=예상등급!$A$1,LOOKUP(E137,예상등급!$A$5:$A$13,예상등급!$B$5:$B$13),IF(D137=예상등급!$A$15,LOOKUP(E137,예상등급!$A$19:$A$27,예상등급!$B$19:$B$27),""))</f>
        <v>6</v>
      </c>
      <c r="G137" s="110" t="s">
        <v>781</v>
      </c>
      <c r="H137" s="71">
        <v>50</v>
      </c>
      <c r="I137" s="382">
        <f>IF(G137=예상등급!$G$15,LOOKUP(H137,예상등급!$G$19:$G$27,예상등급!$H$19:$H$27),IF(G137=예상등급!$J$15,LOOKUP(H137,예상등급!$J$19:$J$27,예상등급!$K$19:$K$27),IF(G137=예상등급!$M$15,LOOKUP(H137,예상등급!$M$19:$M$27,예상등급!$N$19:$N$27),"")))</f>
        <v>4</v>
      </c>
      <c r="J137" s="110">
        <v>72</v>
      </c>
      <c r="K137" s="382">
        <f>IF(J137="","",(LOOKUP(J137,예상등급!$D$5:$D$13,예상등급!$E$5:$E$13)))</f>
        <v>3</v>
      </c>
      <c r="L137" s="301">
        <f>SUM(E137,H137,J137)</f>
        <v>158</v>
      </c>
      <c r="M137" s="398">
        <f>RANK(L137,$L$4:$L$491)</f>
        <v>120</v>
      </c>
      <c r="N137" s="110" t="s">
        <v>762</v>
      </c>
      <c r="O137" s="71">
        <v>23</v>
      </c>
      <c r="P137" s="385">
        <f>IF(N137=예상등급!$G$1,LOOKUP(O137,예상등급!$G$5:$G$13,예상등급!$H$5:$H$13),IF(N137=예상등급!$J$1,LOOKUP(O137,예상등급!$J$5:$J$13,예상등급!$K$5:$K$13),IF(N137=예상등급!$M$1,LOOKUP(O137,예상등급!$M$5:$M$13,예상등급!$N$5:$N$13),IF(N137=예상등급!$P$1,LOOKUP(O137,예상등급!$P$5:$P$13,예상등급!$Q$5:$Q$13),IF(N137=예상등급!$S$1,LOOKUP(O137,예상등급!$S$5:$S$13,예상등급!$T$5:$T$13),IF(N137=예상등급!$V$1,LOOKUP(O137,예상등급!$V$5:$V$13,예상등급!$W$5:$W$13),IF(N137=예상등급!$Y$1,LOOKUP(O137,예상등급!$Y$5:$Y$13,예상등급!$Z$5:$Z$13),IF(N137=예상등급!$AB$1,LOOKUP(O137,예상등급!$AB$5:$AB$13,예상등급!$AC$5:$AC$13),IF(N137=예상등급!$AE$1,LOOKUP(O137,예상등급!$AE$5:$AE$13,예상등급!$AF$5:$AF$13),IF(N137=예상등급!$AH$1,LOOKUP(O137,예상등급!$AH$5:$AH$13,예상등급!$AI$5:$AI$13),IF(N137=예상등급!$AK$1,LOOKUP(O137,예상등급!$AK$5:$AK$13,예상등급!$AL$5:$AL$13),IF(N137=예상등급!$AN$1,LOOKUP(O137,예상등급!$AN$5:$AN$13,예상등급!$AO$5:$AO$13),IF(N137=예상등급!$AQ$1,LOOKUP(O137,예상등급!$AQ$5:$AQ$13,예상등급!$AR$5:$AR$13),IF(N137=예상등급!$AH$15,LOOKUP(O137,예상등급!$AH$19:$AH$27,예상등급!$AI$19:$AI$27),IF(N137=예상등급!$AK$15,LOOKUP(O137,예상등급!$AK$19:$AK$27,예상등급!$AL$19:$AL$27),IF(N137=예상등급!$AN$15,LOOKUP(O137,예상등급!$AN$19:$AN$27,예상등급!$AO$19:$AO$27),IF(N137=예상등급!$AQ$15,LOOKUP(O137,예상등급!$AQ$19:$AQ$27,예상등급!$AR$19:$AR$27),"")))))))))))))))))</f>
        <v>5</v>
      </c>
      <c r="Q137" s="110" t="s">
        <v>765</v>
      </c>
      <c r="R137" s="71">
        <v>28</v>
      </c>
      <c r="S137" s="385">
        <f>IF(Q137=예상등급!$G$1,LOOKUP(R137,예상등급!$G$5:$G$13,예상등급!$H$5:$H$13),IF(Q137=예상등급!$J$1,LOOKUP(R137,예상등급!$J$5:$J$13,예상등급!$K$5:$K$13),IF(Q137=예상등급!$M$1,LOOKUP(R137,예상등급!$M$5:$M$13,예상등급!$N$5:$N$13),IF(Q137=예상등급!$P$1,LOOKUP(R137,예상등급!$P$5:$P$13,예상등급!$Q$5:$Q$13),IF(Q137=예상등급!$S$1,LOOKUP(R137,예상등급!$S$5:$S$13,예상등급!$T$5:$T$13),IF(Q137=예상등급!$V$1,LOOKUP(R137,예상등급!$V$5:$V$13,예상등급!$W$5:$W$13),IF(Q137=예상등급!$Y$1,LOOKUP(R137,예상등급!$Y$5:$Y$13,예상등급!$Z$5:$Z$13),IF(Q137=예상등급!$AB$1,LOOKUP(R137,예상등급!$AB$5:$AB$13,예상등급!$AC$5:$AC$13),IF(Q137=예상등급!$AE$1,LOOKUP(R137,예상등급!$AE$5:$AE$13,예상등급!$AF$5:$AF$13),IF(Q137=예상등급!$AH$1,LOOKUP(R137,예상등급!$AH$5:$AH$13,예상등급!$AI$5:$AI$13),IF(Q137=예상등급!$AK$1,LOOKUP(R137,예상등급!$AK$5:$AK$13,예상등급!$AL$5:$AL$13),IF(Q137=예상등급!$AN$1,LOOKUP(R137,예상등급!$AN$5:$AN$13,예상등급!$AO$5:$AO$13),IF(Q137=예상등급!$AQ$1,LOOKUP(R137,예상등급!$AQ$5:$AQ$13,예상등급!$AR$5:$AR$13),IF(Q137=예상등급!$AH$15,LOOKUP(R137,예상등급!$AH$19:$AH$27,예상등급!$AI$19:$AI$27),IF(Q137=예상등급!$AK$15,LOOKUP(R137,예상등급!$AK$19:$AK$27,예상등급!$AL$19:$AL$27),IF(Q137=예상등급!$AN$15,LOOKUP(R137,예상등급!$AN$19:$AN$27,예상등급!$AO$19:$AO$27),IF(Q137=예상등급!$AQ$15,LOOKUP(R137,예상등급!$AQ$19:$AQ$27,예상등급!$AR$19:$AR$27),"")))))))))))))))))</f>
        <v>4</v>
      </c>
      <c r="T137" s="110">
        <v>6</v>
      </c>
      <c r="U137" s="382">
        <f>IF(T137="","",LOOKUP(T137,예상등급!$D$19:$D$27,예상등급!$E$19:$E$27))</f>
        <v>8</v>
      </c>
      <c r="V137" s="402">
        <f>SUM(L137,T137,R137,O137)</f>
        <v>215</v>
      </c>
      <c r="W137" s="278">
        <f>RANK(V137,$V$4:$V$491)</f>
        <v>134</v>
      </c>
      <c r="Y137" s="150"/>
      <c r="Z137" s="150"/>
    </row>
    <row r="138" spans="1:26" s="7" customFormat="1" ht="24.95" customHeight="1" x14ac:dyDescent="0.15">
      <c r="A138" s="110">
        <v>3</v>
      </c>
      <c r="B138" s="71">
        <v>13</v>
      </c>
      <c r="C138" s="100" t="s">
        <v>847</v>
      </c>
      <c r="D138" s="110" t="s">
        <v>779</v>
      </c>
      <c r="E138" s="71">
        <v>53</v>
      </c>
      <c r="F138" s="382">
        <f>IF(D138=예상등급!$A$1,LOOKUP(E138,예상등급!$A$5:$A$13,예상등급!$B$5:$B$13),IF(D138=예상등급!$A$15,LOOKUP(E138,예상등급!$A$19:$A$27,예상등급!$B$19:$B$27),""))</f>
        <v>4</v>
      </c>
      <c r="G138" s="110" t="s">
        <v>781</v>
      </c>
      <c r="H138" s="71">
        <v>48</v>
      </c>
      <c r="I138" s="382">
        <f>IF(G138=예상등급!$G$15,LOOKUP(H138,예상등급!$G$19:$G$27,예상등급!$H$19:$H$27),IF(G138=예상등급!$J$15,LOOKUP(H138,예상등급!$J$19:$J$27,예상등급!$K$19:$K$27),IF(G138=예상등급!$M$15,LOOKUP(H138,예상등급!$M$19:$M$27,예상등급!$N$19:$N$27),"")))</f>
        <v>5</v>
      </c>
      <c r="J138" s="110">
        <v>68</v>
      </c>
      <c r="K138" s="382">
        <f>IF(J138="","",(LOOKUP(J138,예상등급!$D$5:$D$13,예상등급!$E$5:$E$13)))</f>
        <v>4</v>
      </c>
      <c r="L138" s="301">
        <f>SUM(E138,H138,J138)</f>
        <v>169</v>
      </c>
      <c r="M138" s="398">
        <f>RANK(L138,$L$4:$L$491)</f>
        <v>94</v>
      </c>
      <c r="N138" s="110" t="s">
        <v>772</v>
      </c>
      <c r="O138" s="71">
        <v>27</v>
      </c>
      <c r="P138" s="385">
        <f>IF(N138=예상등급!$G$1,LOOKUP(O138,예상등급!$G$5:$G$13,예상등급!$H$5:$H$13),IF(N138=예상등급!$J$1,LOOKUP(O138,예상등급!$J$5:$J$13,예상등급!$K$5:$K$13),IF(N138=예상등급!$M$1,LOOKUP(O138,예상등급!$M$5:$M$13,예상등급!$N$5:$N$13),IF(N138=예상등급!$P$1,LOOKUP(O138,예상등급!$P$5:$P$13,예상등급!$Q$5:$Q$13),IF(N138=예상등급!$S$1,LOOKUP(O138,예상등급!$S$5:$S$13,예상등급!$T$5:$T$13),IF(N138=예상등급!$V$1,LOOKUP(O138,예상등급!$V$5:$V$13,예상등급!$W$5:$W$13),IF(N138=예상등급!$Y$1,LOOKUP(O138,예상등급!$Y$5:$Y$13,예상등급!$Z$5:$Z$13),IF(N138=예상등급!$AB$1,LOOKUP(O138,예상등급!$AB$5:$AB$13,예상등급!$AC$5:$AC$13),IF(N138=예상등급!$AE$1,LOOKUP(O138,예상등급!$AE$5:$AE$13,예상등급!$AF$5:$AF$13),IF(N138=예상등급!$AH$1,LOOKUP(O138,예상등급!$AH$5:$AH$13,예상등급!$AI$5:$AI$13),IF(N138=예상등급!$AK$1,LOOKUP(O138,예상등급!$AK$5:$AK$13,예상등급!$AL$5:$AL$13),IF(N138=예상등급!$AN$1,LOOKUP(O138,예상등급!$AN$5:$AN$13,예상등급!$AO$5:$AO$13),IF(N138=예상등급!$AQ$1,LOOKUP(O138,예상등급!$AQ$5:$AQ$13,예상등급!$AR$5:$AR$13),IF(N138=예상등급!$AH$15,LOOKUP(O138,예상등급!$AH$19:$AH$27,예상등급!$AI$19:$AI$27),IF(N138=예상등급!$AK$15,LOOKUP(O138,예상등급!$AK$19:$AK$27,예상등급!$AL$19:$AL$27),IF(N138=예상등급!$AN$15,LOOKUP(O138,예상등급!$AN$19:$AN$27,예상등급!$AO$19:$AO$27),IF(N138=예상등급!$AQ$15,LOOKUP(O138,예상등급!$AQ$19:$AQ$27,예상등급!$AR$19:$AR$27),"")))))))))))))))))</f>
        <v>3</v>
      </c>
      <c r="Q138" s="110" t="s">
        <v>761</v>
      </c>
      <c r="R138" s="71">
        <v>8</v>
      </c>
      <c r="S138" s="385">
        <f>IF(Q138=예상등급!$G$1,LOOKUP(R138,예상등급!$G$5:$G$13,예상등급!$H$5:$H$13),IF(Q138=예상등급!$J$1,LOOKUP(R138,예상등급!$J$5:$J$13,예상등급!$K$5:$K$13),IF(Q138=예상등급!$M$1,LOOKUP(R138,예상등급!$M$5:$M$13,예상등급!$N$5:$N$13),IF(Q138=예상등급!$P$1,LOOKUP(R138,예상등급!$P$5:$P$13,예상등급!$Q$5:$Q$13),IF(Q138=예상등급!$S$1,LOOKUP(R138,예상등급!$S$5:$S$13,예상등급!$T$5:$T$13),IF(Q138=예상등급!$V$1,LOOKUP(R138,예상등급!$V$5:$V$13,예상등급!$W$5:$W$13),IF(Q138=예상등급!$Y$1,LOOKUP(R138,예상등급!$Y$5:$Y$13,예상등급!$Z$5:$Z$13),IF(Q138=예상등급!$AB$1,LOOKUP(R138,예상등급!$AB$5:$AB$13,예상등급!$AC$5:$AC$13),IF(Q138=예상등급!$AE$1,LOOKUP(R138,예상등급!$AE$5:$AE$13,예상등급!$AF$5:$AF$13),IF(Q138=예상등급!$AH$1,LOOKUP(R138,예상등급!$AH$5:$AH$13,예상등급!$AI$5:$AI$13),IF(Q138=예상등급!$AK$1,LOOKUP(R138,예상등급!$AK$5:$AK$13,예상등급!$AL$5:$AL$13),IF(Q138=예상등급!$AN$1,LOOKUP(R138,예상등급!$AN$5:$AN$13,예상등급!$AO$5:$AO$13),IF(Q138=예상등급!$AQ$1,LOOKUP(R138,예상등급!$AQ$5:$AQ$13,예상등급!$AR$5:$AR$13),IF(Q138=예상등급!$AH$15,LOOKUP(R138,예상등급!$AH$19:$AH$27,예상등급!$AI$19:$AI$27),IF(Q138=예상등급!$AK$15,LOOKUP(R138,예상등급!$AK$19:$AK$27,예상등급!$AL$19:$AL$27),IF(Q138=예상등급!$AN$15,LOOKUP(R138,예상등급!$AN$19:$AN$27,예상등급!$AO$19:$AO$27),IF(Q138=예상등급!$AQ$15,LOOKUP(R138,예상등급!$AQ$19:$AQ$27,예상등급!$AR$19:$AR$27),"")))))))))))))))))</f>
        <v>8</v>
      </c>
      <c r="T138" s="110">
        <v>10</v>
      </c>
      <c r="U138" s="382">
        <f>IF(T138="","",LOOKUP(T138,예상등급!$D$19:$D$27,예상등급!$E$19:$E$27))</f>
        <v>7</v>
      </c>
      <c r="V138" s="402">
        <f>SUM(L138,T138,R138,O138)</f>
        <v>214</v>
      </c>
      <c r="W138" s="278">
        <f>RANK(V138,$V$4:$V$491)</f>
        <v>135</v>
      </c>
    </row>
    <row r="139" spans="1:26" s="7" customFormat="1" ht="24.95" customHeight="1" x14ac:dyDescent="0.15">
      <c r="A139" s="110">
        <v>4</v>
      </c>
      <c r="B139" s="71">
        <v>12</v>
      </c>
      <c r="C139" s="100" t="s">
        <v>865</v>
      </c>
      <c r="D139" s="110" t="s">
        <v>779</v>
      </c>
      <c r="E139" s="71">
        <v>52</v>
      </c>
      <c r="F139" s="382">
        <f>IF(D139=예상등급!$A$1,LOOKUP(E139,예상등급!$A$5:$A$13,예상등급!$B$5:$B$13),IF(D139=예상등급!$A$15,LOOKUP(E139,예상등급!$A$19:$A$27,예상등급!$B$19:$B$27),""))</f>
        <v>4</v>
      </c>
      <c r="G139" s="110" t="s">
        <v>780</v>
      </c>
      <c r="H139" s="71">
        <v>52</v>
      </c>
      <c r="I139" s="382">
        <f>IF(G139=예상등급!$G$15,LOOKUP(H139,예상등급!$G$19:$G$27,예상등급!$H$19:$H$27),IF(G139=예상등급!$J$15,LOOKUP(H139,예상등급!$J$19:$J$27,예상등급!$K$19:$K$27),IF(G139=예상등급!$M$15,LOOKUP(H139,예상등급!$M$19:$M$27,예상등급!$N$19:$N$27),"")))</f>
        <v>5</v>
      </c>
      <c r="J139" s="110">
        <v>46</v>
      </c>
      <c r="K139" s="382">
        <f>IF(J139="","",(LOOKUP(J139,예상등급!$D$5:$D$13,예상등급!$E$5:$E$13)))</f>
        <v>6</v>
      </c>
      <c r="L139" s="301">
        <f>SUM(E139,H139,J139)</f>
        <v>150</v>
      </c>
      <c r="M139" s="398">
        <f>RANK(L139,$L$4:$L$491)</f>
        <v>133</v>
      </c>
      <c r="N139" s="110" t="s">
        <v>761</v>
      </c>
      <c r="O139" s="71">
        <v>22</v>
      </c>
      <c r="P139" s="385">
        <f>IF(N139=예상등급!$G$1,LOOKUP(O139,예상등급!$G$5:$G$13,예상등급!$H$5:$H$13),IF(N139=예상등급!$J$1,LOOKUP(O139,예상등급!$J$5:$J$13,예상등급!$K$5:$K$13),IF(N139=예상등급!$M$1,LOOKUP(O139,예상등급!$M$5:$M$13,예상등급!$N$5:$N$13),IF(N139=예상등급!$P$1,LOOKUP(O139,예상등급!$P$5:$P$13,예상등급!$Q$5:$Q$13),IF(N139=예상등급!$S$1,LOOKUP(O139,예상등급!$S$5:$S$13,예상등급!$T$5:$T$13),IF(N139=예상등급!$V$1,LOOKUP(O139,예상등급!$V$5:$V$13,예상등급!$W$5:$W$13),IF(N139=예상등급!$Y$1,LOOKUP(O139,예상등급!$Y$5:$Y$13,예상등급!$Z$5:$Z$13),IF(N139=예상등급!$AB$1,LOOKUP(O139,예상등급!$AB$5:$AB$13,예상등급!$AC$5:$AC$13),IF(N139=예상등급!$AE$1,LOOKUP(O139,예상등급!$AE$5:$AE$13,예상등급!$AF$5:$AF$13),IF(N139=예상등급!$AH$1,LOOKUP(O139,예상등급!$AH$5:$AH$13,예상등급!$AI$5:$AI$13),IF(N139=예상등급!$AK$1,LOOKUP(O139,예상등급!$AK$5:$AK$13,예상등급!$AL$5:$AL$13),IF(N139=예상등급!$AN$1,LOOKUP(O139,예상등급!$AN$5:$AN$13,예상등급!$AO$5:$AO$13),IF(N139=예상등급!$AQ$1,LOOKUP(O139,예상등급!$AQ$5:$AQ$13,예상등급!$AR$5:$AR$13),IF(N139=예상등급!$AH$15,LOOKUP(O139,예상등급!$AH$19:$AH$27,예상등급!$AI$19:$AI$27),IF(N139=예상등급!$AK$15,LOOKUP(O139,예상등급!$AK$19:$AK$27,예상등급!$AL$19:$AL$27),IF(N139=예상등급!$AN$15,LOOKUP(O139,예상등급!$AN$19:$AN$27,예상등급!$AO$19:$AO$27),IF(N139=예상등급!$AQ$15,LOOKUP(O139,예상등급!$AQ$19:$AQ$27,예상등급!$AR$19:$AR$27),"")))))))))))))))))</f>
        <v>5</v>
      </c>
      <c r="Q139" s="110" t="s">
        <v>762</v>
      </c>
      <c r="R139" s="71">
        <v>24</v>
      </c>
      <c r="S139" s="385">
        <f>IF(Q139=예상등급!$G$1,LOOKUP(R139,예상등급!$G$5:$G$13,예상등급!$H$5:$H$13),IF(Q139=예상등급!$J$1,LOOKUP(R139,예상등급!$J$5:$J$13,예상등급!$K$5:$K$13),IF(Q139=예상등급!$M$1,LOOKUP(R139,예상등급!$M$5:$M$13,예상등급!$N$5:$N$13),IF(Q139=예상등급!$P$1,LOOKUP(R139,예상등급!$P$5:$P$13,예상등급!$Q$5:$Q$13),IF(Q139=예상등급!$S$1,LOOKUP(R139,예상등급!$S$5:$S$13,예상등급!$T$5:$T$13),IF(Q139=예상등급!$V$1,LOOKUP(R139,예상등급!$V$5:$V$13,예상등급!$W$5:$W$13),IF(Q139=예상등급!$Y$1,LOOKUP(R139,예상등급!$Y$5:$Y$13,예상등급!$Z$5:$Z$13),IF(Q139=예상등급!$AB$1,LOOKUP(R139,예상등급!$AB$5:$AB$13,예상등급!$AC$5:$AC$13),IF(Q139=예상등급!$AE$1,LOOKUP(R139,예상등급!$AE$5:$AE$13,예상등급!$AF$5:$AF$13),IF(Q139=예상등급!$AH$1,LOOKUP(R139,예상등급!$AH$5:$AH$13,예상등급!$AI$5:$AI$13),IF(Q139=예상등급!$AK$1,LOOKUP(R139,예상등급!$AK$5:$AK$13,예상등급!$AL$5:$AL$13),IF(Q139=예상등급!$AN$1,LOOKUP(R139,예상등급!$AN$5:$AN$13,예상등급!$AO$5:$AO$13),IF(Q139=예상등급!$AQ$1,LOOKUP(R139,예상등급!$AQ$5:$AQ$13,예상등급!$AR$5:$AR$13),IF(Q139=예상등급!$AH$15,LOOKUP(R139,예상등급!$AH$19:$AH$27,예상등급!$AI$19:$AI$27),IF(Q139=예상등급!$AK$15,LOOKUP(R139,예상등급!$AK$19:$AK$27,예상등급!$AL$19:$AL$27),IF(Q139=예상등급!$AN$15,LOOKUP(R139,예상등급!$AN$19:$AN$27,예상등급!$AO$19:$AO$27),IF(Q139=예상등급!$AQ$15,LOOKUP(R139,예상등급!$AQ$19:$AQ$27,예상등급!$AR$19:$AR$27),"")))))))))))))))))</f>
        <v>5</v>
      </c>
      <c r="T139" s="110">
        <v>15</v>
      </c>
      <c r="U139" s="382">
        <f>IF(T139="","",LOOKUP(T139,예상등급!$D$19:$D$27,예상등급!$E$19:$E$27))</f>
        <v>6</v>
      </c>
      <c r="V139" s="402">
        <f>SUM(L139,T139,R139,O139)</f>
        <v>211</v>
      </c>
      <c r="W139" s="278">
        <f>RANK(V139,$V$4:$V$491)</f>
        <v>136</v>
      </c>
    </row>
    <row r="140" spans="1:26" s="7" customFormat="1" ht="24.95" customHeight="1" x14ac:dyDescent="0.15">
      <c r="A140" s="110">
        <v>4</v>
      </c>
      <c r="B140" s="71">
        <v>14</v>
      </c>
      <c r="C140" s="100" t="s">
        <v>867</v>
      </c>
      <c r="D140" s="110" t="s">
        <v>779</v>
      </c>
      <c r="E140" s="71">
        <v>46</v>
      </c>
      <c r="F140" s="382">
        <f>IF(D140=예상등급!$A$1,LOOKUP(E140,예상등급!$A$5:$A$13,예상등급!$B$5:$B$13),IF(D140=예상등급!$A$15,LOOKUP(E140,예상등급!$A$19:$A$27,예상등급!$B$19:$B$27),""))</f>
        <v>5</v>
      </c>
      <c r="G140" s="110" t="s">
        <v>781</v>
      </c>
      <c r="H140" s="71">
        <v>34</v>
      </c>
      <c r="I140" s="382">
        <f>IF(G140=예상등급!$G$15,LOOKUP(H140,예상등급!$G$19:$G$27,예상등급!$H$19:$H$27),IF(G140=예상등급!$J$15,LOOKUP(H140,예상등급!$J$19:$J$27,예상등급!$K$19:$K$27),IF(G140=예상등급!$M$15,LOOKUP(H140,예상등급!$M$19:$M$27,예상등급!$N$19:$N$27),"")))</f>
        <v>5</v>
      </c>
      <c r="J140" s="110">
        <v>73</v>
      </c>
      <c r="K140" s="382">
        <f>IF(J140="","",(LOOKUP(J140,예상등급!$D$5:$D$13,예상등급!$E$5:$E$13)))</f>
        <v>3</v>
      </c>
      <c r="L140" s="301">
        <f>SUM(E140,H140,J140)</f>
        <v>153</v>
      </c>
      <c r="M140" s="398">
        <f>RANK(L140,$L$4:$L$491)</f>
        <v>129</v>
      </c>
      <c r="N140" s="110" t="s">
        <v>769</v>
      </c>
      <c r="O140" s="71">
        <v>17</v>
      </c>
      <c r="P140" s="385">
        <f>IF(N140=예상등급!$G$1,LOOKUP(O140,예상등급!$G$5:$G$13,예상등급!$H$5:$H$13),IF(N140=예상등급!$J$1,LOOKUP(O140,예상등급!$J$5:$J$13,예상등급!$K$5:$K$13),IF(N140=예상등급!$M$1,LOOKUP(O140,예상등급!$M$5:$M$13,예상등급!$N$5:$N$13),IF(N140=예상등급!$P$1,LOOKUP(O140,예상등급!$P$5:$P$13,예상등급!$Q$5:$Q$13),IF(N140=예상등급!$S$1,LOOKUP(O140,예상등급!$S$5:$S$13,예상등급!$T$5:$T$13),IF(N140=예상등급!$V$1,LOOKUP(O140,예상등급!$V$5:$V$13,예상등급!$W$5:$W$13),IF(N140=예상등급!$Y$1,LOOKUP(O140,예상등급!$Y$5:$Y$13,예상등급!$Z$5:$Z$13),IF(N140=예상등급!$AB$1,LOOKUP(O140,예상등급!$AB$5:$AB$13,예상등급!$AC$5:$AC$13),IF(N140=예상등급!$AE$1,LOOKUP(O140,예상등급!$AE$5:$AE$13,예상등급!$AF$5:$AF$13),IF(N140=예상등급!$AH$1,LOOKUP(O140,예상등급!$AH$5:$AH$13,예상등급!$AI$5:$AI$13),IF(N140=예상등급!$AK$1,LOOKUP(O140,예상등급!$AK$5:$AK$13,예상등급!$AL$5:$AL$13),IF(N140=예상등급!$AN$1,LOOKUP(O140,예상등급!$AN$5:$AN$13,예상등급!$AO$5:$AO$13),IF(N140=예상등급!$AQ$1,LOOKUP(O140,예상등급!$AQ$5:$AQ$13,예상등급!$AR$5:$AR$13),IF(N140=예상등급!$AH$15,LOOKUP(O140,예상등급!$AH$19:$AH$27,예상등급!$AI$19:$AI$27),IF(N140=예상등급!$AK$15,LOOKUP(O140,예상등급!$AK$19:$AK$27,예상등급!$AL$19:$AL$27),IF(N140=예상등급!$AN$15,LOOKUP(O140,예상등급!$AN$19:$AN$27,예상등급!$AO$19:$AO$27),IF(N140=예상등급!$AQ$15,LOOKUP(O140,예상등급!$AQ$19:$AQ$27,예상등급!$AR$19:$AR$27),"")))))))))))))))))</f>
        <v>5</v>
      </c>
      <c r="Q140" s="110" t="s">
        <v>762</v>
      </c>
      <c r="R140" s="71">
        <v>17</v>
      </c>
      <c r="S140" s="385">
        <f>IF(Q140=예상등급!$G$1,LOOKUP(R140,예상등급!$G$5:$G$13,예상등급!$H$5:$H$13),IF(Q140=예상등급!$J$1,LOOKUP(R140,예상등급!$J$5:$J$13,예상등급!$K$5:$K$13),IF(Q140=예상등급!$M$1,LOOKUP(R140,예상등급!$M$5:$M$13,예상등급!$N$5:$N$13),IF(Q140=예상등급!$P$1,LOOKUP(R140,예상등급!$P$5:$P$13,예상등급!$Q$5:$Q$13),IF(Q140=예상등급!$S$1,LOOKUP(R140,예상등급!$S$5:$S$13,예상등급!$T$5:$T$13),IF(Q140=예상등급!$V$1,LOOKUP(R140,예상등급!$V$5:$V$13,예상등급!$W$5:$W$13),IF(Q140=예상등급!$Y$1,LOOKUP(R140,예상등급!$Y$5:$Y$13,예상등급!$Z$5:$Z$13),IF(Q140=예상등급!$AB$1,LOOKUP(R140,예상등급!$AB$5:$AB$13,예상등급!$AC$5:$AC$13),IF(Q140=예상등급!$AE$1,LOOKUP(R140,예상등급!$AE$5:$AE$13,예상등급!$AF$5:$AF$13),IF(Q140=예상등급!$AH$1,LOOKUP(R140,예상등급!$AH$5:$AH$13,예상등급!$AI$5:$AI$13),IF(Q140=예상등급!$AK$1,LOOKUP(R140,예상등급!$AK$5:$AK$13,예상등급!$AL$5:$AL$13),IF(Q140=예상등급!$AN$1,LOOKUP(R140,예상등급!$AN$5:$AN$13,예상등급!$AO$5:$AO$13),IF(Q140=예상등급!$AQ$1,LOOKUP(R140,예상등급!$AQ$5:$AQ$13,예상등급!$AR$5:$AR$13),IF(Q140=예상등급!$AH$15,LOOKUP(R140,예상등급!$AH$19:$AH$27,예상등급!$AI$19:$AI$27),IF(Q140=예상등급!$AK$15,LOOKUP(R140,예상등급!$AK$19:$AK$27,예상등급!$AL$19:$AL$27),IF(Q140=예상등급!$AN$15,LOOKUP(R140,예상등급!$AN$19:$AN$27,예상등급!$AO$19:$AO$27),IF(Q140=예상등급!$AQ$15,LOOKUP(R140,예상등급!$AQ$19:$AQ$27,예상등급!$AR$19:$AR$27),"")))))))))))))))))</f>
        <v>6</v>
      </c>
      <c r="T140" s="110">
        <v>24</v>
      </c>
      <c r="U140" s="382">
        <f>IF(T140="","",LOOKUP(T140,예상등급!$D$19:$D$27,예상등급!$E$19:$E$27))</f>
        <v>5</v>
      </c>
      <c r="V140" s="402">
        <f>SUM(L140,T140,R140,O140)</f>
        <v>211</v>
      </c>
      <c r="W140" s="278">
        <f>RANK(V140,$V$4:$V$491)</f>
        <v>136</v>
      </c>
      <c r="Y140" s="150"/>
      <c r="Z140" s="150"/>
    </row>
    <row r="141" spans="1:26" s="7" customFormat="1" ht="24.95" customHeight="1" x14ac:dyDescent="0.15">
      <c r="A141" s="110">
        <v>4</v>
      </c>
      <c r="B141" s="71">
        <v>20</v>
      </c>
      <c r="C141" s="100" t="s">
        <v>871</v>
      </c>
      <c r="D141" s="110" t="s">
        <v>779</v>
      </c>
      <c r="E141" s="71">
        <v>45</v>
      </c>
      <c r="F141" s="382">
        <f>IF(D141=예상등급!$A$1,LOOKUP(E141,예상등급!$A$5:$A$13,예상등급!$B$5:$B$13),IF(D141=예상등급!$A$15,LOOKUP(E141,예상등급!$A$19:$A$27,예상등급!$B$19:$B$27),""))</f>
        <v>5</v>
      </c>
      <c r="G141" s="110" t="s">
        <v>780</v>
      </c>
      <c r="H141" s="71">
        <v>47</v>
      </c>
      <c r="I141" s="382">
        <f>IF(G141=예상등급!$G$15,LOOKUP(H141,예상등급!$G$19:$G$27,예상등급!$H$19:$H$27),IF(G141=예상등급!$J$15,LOOKUP(H141,예상등급!$J$19:$J$27,예상등급!$K$19:$K$27),IF(G141=예상등급!$M$15,LOOKUP(H141,예상등급!$M$19:$M$27,예상등급!$N$19:$N$27),"")))</f>
        <v>5</v>
      </c>
      <c r="J141" s="110">
        <v>62</v>
      </c>
      <c r="K141" s="382">
        <f>IF(J141="","",(LOOKUP(J141,예상등급!$D$5:$D$13,예상등급!$E$5:$E$13)))</f>
        <v>4</v>
      </c>
      <c r="L141" s="301">
        <f>SUM(E141,H141,J141)</f>
        <v>154</v>
      </c>
      <c r="M141" s="398">
        <f>RANK(L141,$L$4:$L$491)</f>
        <v>126</v>
      </c>
      <c r="N141" s="110" t="s">
        <v>761</v>
      </c>
      <c r="O141" s="71">
        <v>21</v>
      </c>
      <c r="P141" s="385">
        <f>IF(N141=예상등급!$G$1,LOOKUP(O141,예상등급!$G$5:$G$13,예상등급!$H$5:$H$13),IF(N141=예상등급!$J$1,LOOKUP(O141,예상등급!$J$5:$J$13,예상등급!$K$5:$K$13),IF(N141=예상등급!$M$1,LOOKUP(O141,예상등급!$M$5:$M$13,예상등급!$N$5:$N$13),IF(N141=예상등급!$P$1,LOOKUP(O141,예상등급!$P$5:$P$13,예상등급!$Q$5:$Q$13),IF(N141=예상등급!$S$1,LOOKUP(O141,예상등급!$S$5:$S$13,예상등급!$T$5:$T$13),IF(N141=예상등급!$V$1,LOOKUP(O141,예상등급!$V$5:$V$13,예상등급!$W$5:$W$13),IF(N141=예상등급!$Y$1,LOOKUP(O141,예상등급!$Y$5:$Y$13,예상등급!$Z$5:$Z$13),IF(N141=예상등급!$AB$1,LOOKUP(O141,예상등급!$AB$5:$AB$13,예상등급!$AC$5:$AC$13),IF(N141=예상등급!$AE$1,LOOKUP(O141,예상등급!$AE$5:$AE$13,예상등급!$AF$5:$AF$13),IF(N141=예상등급!$AH$1,LOOKUP(O141,예상등급!$AH$5:$AH$13,예상등급!$AI$5:$AI$13),IF(N141=예상등급!$AK$1,LOOKUP(O141,예상등급!$AK$5:$AK$13,예상등급!$AL$5:$AL$13),IF(N141=예상등급!$AN$1,LOOKUP(O141,예상등급!$AN$5:$AN$13,예상등급!$AO$5:$AO$13),IF(N141=예상등급!$AQ$1,LOOKUP(O141,예상등급!$AQ$5:$AQ$13,예상등급!$AR$5:$AR$13),IF(N141=예상등급!$AH$15,LOOKUP(O141,예상등급!$AH$19:$AH$27,예상등급!$AI$19:$AI$27),IF(N141=예상등급!$AK$15,LOOKUP(O141,예상등급!$AK$19:$AK$27,예상등급!$AL$19:$AL$27),IF(N141=예상등급!$AN$15,LOOKUP(O141,예상등급!$AN$19:$AN$27,예상등급!$AO$19:$AO$27),IF(N141=예상등급!$AQ$15,LOOKUP(O141,예상등급!$AQ$19:$AQ$27,예상등급!$AR$19:$AR$27),"")))))))))))))))))</f>
        <v>5</v>
      </c>
      <c r="Q141" s="110" t="s">
        <v>762</v>
      </c>
      <c r="R141" s="71">
        <v>26</v>
      </c>
      <c r="S141" s="385">
        <f>IF(Q141=예상등급!$G$1,LOOKUP(R141,예상등급!$G$5:$G$13,예상등급!$H$5:$H$13),IF(Q141=예상등급!$J$1,LOOKUP(R141,예상등급!$J$5:$J$13,예상등급!$K$5:$K$13),IF(Q141=예상등급!$M$1,LOOKUP(R141,예상등급!$M$5:$M$13,예상등급!$N$5:$N$13),IF(Q141=예상등급!$P$1,LOOKUP(R141,예상등급!$P$5:$P$13,예상등급!$Q$5:$Q$13),IF(Q141=예상등급!$S$1,LOOKUP(R141,예상등급!$S$5:$S$13,예상등급!$T$5:$T$13),IF(Q141=예상등급!$V$1,LOOKUP(R141,예상등급!$V$5:$V$13,예상등급!$W$5:$W$13),IF(Q141=예상등급!$Y$1,LOOKUP(R141,예상등급!$Y$5:$Y$13,예상등급!$Z$5:$Z$13),IF(Q141=예상등급!$AB$1,LOOKUP(R141,예상등급!$AB$5:$AB$13,예상등급!$AC$5:$AC$13),IF(Q141=예상등급!$AE$1,LOOKUP(R141,예상등급!$AE$5:$AE$13,예상등급!$AF$5:$AF$13),IF(Q141=예상등급!$AH$1,LOOKUP(R141,예상등급!$AH$5:$AH$13,예상등급!$AI$5:$AI$13),IF(Q141=예상등급!$AK$1,LOOKUP(R141,예상등급!$AK$5:$AK$13,예상등급!$AL$5:$AL$13),IF(Q141=예상등급!$AN$1,LOOKUP(R141,예상등급!$AN$5:$AN$13,예상등급!$AO$5:$AO$13),IF(Q141=예상등급!$AQ$1,LOOKUP(R141,예상등급!$AQ$5:$AQ$13,예상등급!$AR$5:$AR$13),IF(Q141=예상등급!$AH$15,LOOKUP(R141,예상등급!$AH$19:$AH$27,예상등급!$AI$19:$AI$27),IF(Q141=예상등급!$AK$15,LOOKUP(R141,예상등급!$AK$19:$AK$27,예상등급!$AL$19:$AL$27),IF(Q141=예상등급!$AN$15,LOOKUP(R141,예상등급!$AN$19:$AN$27,예상등급!$AO$19:$AO$27),IF(Q141=예상등급!$AQ$15,LOOKUP(R141,예상등급!$AQ$19:$AQ$27,예상등급!$AR$19:$AR$27),"")))))))))))))))))</f>
        <v>5</v>
      </c>
      <c r="T141" s="110">
        <v>10</v>
      </c>
      <c r="U141" s="382">
        <f>IF(T141="","",LOOKUP(T141,예상등급!$D$19:$D$27,예상등급!$E$19:$E$27))</f>
        <v>7</v>
      </c>
      <c r="V141" s="402">
        <f>SUM(L141,T141,R141,O141)</f>
        <v>211</v>
      </c>
      <c r="W141" s="278">
        <f>RANK(V141,$V$4:$V$491)</f>
        <v>136</v>
      </c>
    </row>
    <row r="142" spans="1:26" s="7" customFormat="1" ht="24.95" customHeight="1" x14ac:dyDescent="0.15">
      <c r="A142" s="110">
        <v>4</v>
      </c>
      <c r="B142" s="71">
        <v>22</v>
      </c>
      <c r="C142" s="100" t="s">
        <v>873</v>
      </c>
      <c r="D142" s="110" t="s">
        <v>779</v>
      </c>
      <c r="E142" s="71">
        <v>26</v>
      </c>
      <c r="F142" s="382">
        <f>IF(D142=예상등급!$A$1,LOOKUP(E142,예상등급!$A$5:$A$13,예상등급!$B$5:$B$13),IF(D142=예상등급!$A$15,LOOKUP(E142,예상등급!$A$19:$A$27,예상등급!$B$19:$B$27),""))</f>
        <v>7</v>
      </c>
      <c r="G142" s="110" t="s">
        <v>780</v>
      </c>
      <c r="H142" s="71">
        <v>71</v>
      </c>
      <c r="I142" s="382">
        <f>IF(G142=예상등급!$G$15,LOOKUP(H142,예상등급!$G$19:$G$27,예상등급!$H$19:$H$27),IF(G142=예상등급!$J$15,LOOKUP(H142,예상등급!$J$19:$J$27,예상등급!$K$19:$K$27),IF(G142=예상등급!$M$15,LOOKUP(H142,예상등급!$M$19:$M$27,예상등급!$N$19:$N$27),"")))</f>
        <v>3</v>
      </c>
      <c r="J142" s="110">
        <v>63</v>
      </c>
      <c r="K142" s="382">
        <f>IF(J142="","",(LOOKUP(J142,예상등급!$D$5:$D$13,예상등급!$E$5:$E$13)))</f>
        <v>4</v>
      </c>
      <c r="L142" s="301">
        <f>SUM(E142,H142,J142)</f>
        <v>160</v>
      </c>
      <c r="M142" s="398">
        <f>RANK(L142,$L$4:$L$491)</f>
        <v>112</v>
      </c>
      <c r="N142" s="110" t="s">
        <v>761</v>
      </c>
      <c r="O142" s="71">
        <v>14</v>
      </c>
      <c r="P142" s="385">
        <f>IF(N142=예상등급!$G$1,LOOKUP(O142,예상등급!$G$5:$G$13,예상등급!$H$5:$H$13),IF(N142=예상등급!$J$1,LOOKUP(O142,예상등급!$J$5:$J$13,예상등급!$K$5:$K$13),IF(N142=예상등급!$M$1,LOOKUP(O142,예상등급!$M$5:$M$13,예상등급!$N$5:$N$13),IF(N142=예상등급!$P$1,LOOKUP(O142,예상등급!$P$5:$P$13,예상등급!$Q$5:$Q$13),IF(N142=예상등급!$S$1,LOOKUP(O142,예상등급!$S$5:$S$13,예상등급!$T$5:$T$13),IF(N142=예상등급!$V$1,LOOKUP(O142,예상등급!$V$5:$V$13,예상등급!$W$5:$W$13),IF(N142=예상등급!$Y$1,LOOKUP(O142,예상등급!$Y$5:$Y$13,예상등급!$Z$5:$Z$13),IF(N142=예상등급!$AB$1,LOOKUP(O142,예상등급!$AB$5:$AB$13,예상등급!$AC$5:$AC$13),IF(N142=예상등급!$AE$1,LOOKUP(O142,예상등급!$AE$5:$AE$13,예상등급!$AF$5:$AF$13),IF(N142=예상등급!$AH$1,LOOKUP(O142,예상등급!$AH$5:$AH$13,예상등급!$AI$5:$AI$13),IF(N142=예상등급!$AK$1,LOOKUP(O142,예상등급!$AK$5:$AK$13,예상등급!$AL$5:$AL$13),IF(N142=예상등급!$AN$1,LOOKUP(O142,예상등급!$AN$5:$AN$13,예상등급!$AO$5:$AO$13),IF(N142=예상등급!$AQ$1,LOOKUP(O142,예상등급!$AQ$5:$AQ$13,예상등급!$AR$5:$AR$13),IF(N142=예상등급!$AH$15,LOOKUP(O142,예상등급!$AH$19:$AH$27,예상등급!$AI$19:$AI$27),IF(N142=예상등급!$AK$15,LOOKUP(O142,예상등급!$AK$19:$AK$27,예상등급!$AL$19:$AL$27),IF(N142=예상등급!$AN$15,LOOKUP(O142,예상등급!$AN$19:$AN$27,예상등급!$AO$19:$AO$27),IF(N142=예상등급!$AQ$15,LOOKUP(O142,예상등급!$AQ$19:$AQ$27,예상등급!$AR$19:$AR$27),"")))))))))))))))))</f>
        <v>6</v>
      </c>
      <c r="Q142" s="110" t="s">
        <v>762</v>
      </c>
      <c r="R142" s="71">
        <v>24</v>
      </c>
      <c r="S142" s="385">
        <f>IF(Q142=예상등급!$G$1,LOOKUP(R142,예상등급!$G$5:$G$13,예상등급!$H$5:$H$13),IF(Q142=예상등급!$J$1,LOOKUP(R142,예상등급!$J$5:$J$13,예상등급!$K$5:$K$13),IF(Q142=예상등급!$M$1,LOOKUP(R142,예상등급!$M$5:$M$13,예상등급!$N$5:$N$13),IF(Q142=예상등급!$P$1,LOOKUP(R142,예상등급!$P$5:$P$13,예상등급!$Q$5:$Q$13),IF(Q142=예상등급!$S$1,LOOKUP(R142,예상등급!$S$5:$S$13,예상등급!$T$5:$T$13),IF(Q142=예상등급!$V$1,LOOKUP(R142,예상등급!$V$5:$V$13,예상등급!$W$5:$W$13),IF(Q142=예상등급!$Y$1,LOOKUP(R142,예상등급!$Y$5:$Y$13,예상등급!$Z$5:$Z$13),IF(Q142=예상등급!$AB$1,LOOKUP(R142,예상등급!$AB$5:$AB$13,예상등급!$AC$5:$AC$13),IF(Q142=예상등급!$AE$1,LOOKUP(R142,예상등급!$AE$5:$AE$13,예상등급!$AF$5:$AF$13),IF(Q142=예상등급!$AH$1,LOOKUP(R142,예상등급!$AH$5:$AH$13,예상등급!$AI$5:$AI$13),IF(Q142=예상등급!$AK$1,LOOKUP(R142,예상등급!$AK$5:$AK$13,예상등급!$AL$5:$AL$13),IF(Q142=예상등급!$AN$1,LOOKUP(R142,예상등급!$AN$5:$AN$13,예상등급!$AO$5:$AO$13),IF(Q142=예상등급!$AQ$1,LOOKUP(R142,예상등급!$AQ$5:$AQ$13,예상등급!$AR$5:$AR$13),IF(Q142=예상등급!$AH$15,LOOKUP(R142,예상등급!$AH$19:$AH$27,예상등급!$AI$19:$AI$27),IF(Q142=예상등급!$AK$15,LOOKUP(R142,예상등급!$AK$19:$AK$27,예상등급!$AL$19:$AL$27),IF(Q142=예상등급!$AN$15,LOOKUP(R142,예상등급!$AN$19:$AN$27,예상등급!$AO$19:$AO$27),IF(Q142=예상등급!$AQ$15,LOOKUP(R142,예상등급!$AQ$19:$AQ$27,예상등급!$AR$19:$AR$27),"")))))))))))))))))</f>
        <v>5</v>
      </c>
      <c r="T142" s="110">
        <v>13</v>
      </c>
      <c r="U142" s="382">
        <f>IF(T142="","",LOOKUP(T142,예상등급!$D$19:$D$27,예상등급!$E$19:$E$27))</f>
        <v>7</v>
      </c>
      <c r="V142" s="402">
        <f>SUM(L142,T142,R142,O142)</f>
        <v>211</v>
      </c>
      <c r="W142" s="278">
        <f>RANK(V142,$V$4:$V$491)</f>
        <v>136</v>
      </c>
    </row>
    <row r="143" spans="1:26" s="7" customFormat="1" ht="24.95" customHeight="1" x14ac:dyDescent="0.15">
      <c r="A143" s="110">
        <v>5</v>
      </c>
      <c r="B143" s="71">
        <v>18</v>
      </c>
      <c r="C143" s="100" t="s">
        <v>472</v>
      </c>
      <c r="D143" s="110" t="s">
        <v>779</v>
      </c>
      <c r="E143" s="71">
        <v>44</v>
      </c>
      <c r="F143" s="382">
        <f>IF(D143=예상등급!$A$1,LOOKUP(E143,예상등급!$A$5:$A$13,예상등급!$B$5:$B$13),IF(D143=예상등급!$A$15,LOOKUP(E143,예상등급!$A$19:$A$27,예상등급!$B$19:$B$27),""))</f>
        <v>5</v>
      </c>
      <c r="G143" s="110" t="s">
        <v>780</v>
      </c>
      <c r="H143" s="71">
        <v>33</v>
      </c>
      <c r="I143" s="382">
        <f>IF(G143=예상등급!$G$15,LOOKUP(H143,예상등급!$G$19:$G$27,예상등급!$H$19:$H$27),IF(G143=예상등급!$J$15,LOOKUP(H143,예상등급!$J$19:$J$27,예상등급!$K$19:$K$27),IF(G143=예상등급!$M$15,LOOKUP(H143,예상등급!$M$19:$M$27,예상등급!$N$19:$N$27),"")))</f>
        <v>5</v>
      </c>
      <c r="J143" s="110">
        <v>58</v>
      </c>
      <c r="K143" s="382">
        <f>IF(J143="","",(LOOKUP(J143,예상등급!$D$5:$D$13,예상등급!$E$5:$E$13)))</f>
        <v>5</v>
      </c>
      <c r="L143" s="301">
        <f>SUM(E143,H143,J143)</f>
        <v>135</v>
      </c>
      <c r="M143" s="398">
        <f>RANK(L143,$L$4:$L$491)</f>
        <v>159</v>
      </c>
      <c r="N143" s="110" t="s">
        <v>762</v>
      </c>
      <c r="O143" s="71">
        <v>27</v>
      </c>
      <c r="P143" s="385">
        <f>IF(N143=예상등급!$G$1,LOOKUP(O143,예상등급!$G$5:$G$13,예상등급!$H$5:$H$13),IF(N143=예상등급!$J$1,LOOKUP(O143,예상등급!$J$5:$J$13,예상등급!$K$5:$K$13),IF(N143=예상등급!$M$1,LOOKUP(O143,예상등급!$M$5:$M$13,예상등급!$N$5:$N$13),IF(N143=예상등급!$P$1,LOOKUP(O143,예상등급!$P$5:$P$13,예상등급!$Q$5:$Q$13),IF(N143=예상등급!$S$1,LOOKUP(O143,예상등급!$S$5:$S$13,예상등급!$T$5:$T$13),IF(N143=예상등급!$V$1,LOOKUP(O143,예상등급!$V$5:$V$13,예상등급!$W$5:$W$13),IF(N143=예상등급!$Y$1,LOOKUP(O143,예상등급!$Y$5:$Y$13,예상등급!$Z$5:$Z$13),IF(N143=예상등급!$AB$1,LOOKUP(O143,예상등급!$AB$5:$AB$13,예상등급!$AC$5:$AC$13),IF(N143=예상등급!$AE$1,LOOKUP(O143,예상등급!$AE$5:$AE$13,예상등급!$AF$5:$AF$13),IF(N143=예상등급!$AH$1,LOOKUP(O143,예상등급!$AH$5:$AH$13,예상등급!$AI$5:$AI$13),IF(N143=예상등급!$AK$1,LOOKUP(O143,예상등급!$AK$5:$AK$13,예상등급!$AL$5:$AL$13),IF(N143=예상등급!$AN$1,LOOKUP(O143,예상등급!$AN$5:$AN$13,예상등급!$AO$5:$AO$13),IF(N143=예상등급!$AQ$1,LOOKUP(O143,예상등급!$AQ$5:$AQ$13,예상등급!$AR$5:$AR$13),IF(N143=예상등급!$AH$15,LOOKUP(O143,예상등급!$AH$19:$AH$27,예상등급!$AI$19:$AI$27),IF(N143=예상등급!$AK$15,LOOKUP(O143,예상등급!$AK$19:$AK$27,예상등급!$AL$19:$AL$27),IF(N143=예상등급!$AN$15,LOOKUP(O143,예상등급!$AN$19:$AN$27,예상등급!$AO$19:$AO$27),IF(N143=예상등급!$AQ$15,LOOKUP(O143,예상등급!$AQ$19:$AQ$27,예상등급!$AR$19:$AR$27),"")))))))))))))))))</f>
        <v>4</v>
      </c>
      <c r="Q143" s="110" t="s">
        <v>761</v>
      </c>
      <c r="R143" s="71">
        <v>27</v>
      </c>
      <c r="S143" s="385">
        <f>IF(Q143=예상등급!$G$1,LOOKUP(R143,예상등급!$G$5:$G$13,예상등급!$H$5:$H$13),IF(Q143=예상등급!$J$1,LOOKUP(R143,예상등급!$J$5:$J$13,예상등급!$K$5:$K$13),IF(Q143=예상등급!$M$1,LOOKUP(R143,예상등급!$M$5:$M$13,예상등급!$N$5:$N$13),IF(Q143=예상등급!$P$1,LOOKUP(R143,예상등급!$P$5:$P$13,예상등급!$Q$5:$Q$13),IF(Q143=예상등급!$S$1,LOOKUP(R143,예상등급!$S$5:$S$13,예상등급!$T$5:$T$13),IF(Q143=예상등급!$V$1,LOOKUP(R143,예상등급!$V$5:$V$13,예상등급!$W$5:$W$13),IF(Q143=예상등급!$Y$1,LOOKUP(R143,예상등급!$Y$5:$Y$13,예상등급!$Z$5:$Z$13),IF(Q143=예상등급!$AB$1,LOOKUP(R143,예상등급!$AB$5:$AB$13,예상등급!$AC$5:$AC$13),IF(Q143=예상등급!$AE$1,LOOKUP(R143,예상등급!$AE$5:$AE$13,예상등급!$AF$5:$AF$13),IF(Q143=예상등급!$AH$1,LOOKUP(R143,예상등급!$AH$5:$AH$13,예상등급!$AI$5:$AI$13),IF(Q143=예상등급!$AK$1,LOOKUP(R143,예상등급!$AK$5:$AK$13,예상등급!$AL$5:$AL$13),IF(Q143=예상등급!$AN$1,LOOKUP(R143,예상등급!$AN$5:$AN$13,예상등급!$AO$5:$AO$13),IF(Q143=예상등급!$AQ$1,LOOKUP(R143,예상등급!$AQ$5:$AQ$13,예상등급!$AR$5:$AR$13),IF(Q143=예상등급!$AH$15,LOOKUP(R143,예상등급!$AH$19:$AH$27,예상등급!$AI$19:$AI$27),IF(Q143=예상등급!$AK$15,LOOKUP(R143,예상등급!$AK$19:$AK$27,예상등급!$AL$19:$AL$27),IF(Q143=예상등급!$AN$15,LOOKUP(R143,예상등급!$AN$19:$AN$27,예상등급!$AO$19:$AO$27),IF(Q143=예상등급!$AQ$15,LOOKUP(R143,예상등급!$AQ$19:$AQ$27,예상등급!$AR$19:$AR$27),"")))))))))))))))))</f>
        <v>4</v>
      </c>
      <c r="T143" s="110">
        <v>22</v>
      </c>
      <c r="U143" s="382">
        <f>IF(T143="","",LOOKUP(T143,예상등급!$D$19:$D$27,예상등급!$E$19:$E$27))</f>
        <v>5</v>
      </c>
      <c r="V143" s="402">
        <f>SUM(L143,T143,R143,O143)</f>
        <v>211</v>
      </c>
      <c r="W143" s="278">
        <f>RANK(V143,$V$4:$V$491)</f>
        <v>136</v>
      </c>
    </row>
    <row r="144" spans="1:26" s="7" customFormat="1" ht="24.95" customHeight="1" x14ac:dyDescent="0.15">
      <c r="A144" s="110">
        <v>4</v>
      </c>
      <c r="B144" s="71">
        <v>11</v>
      </c>
      <c r="C144" s="100" t="s">
        <v>864</v>
      </c>
      <c r="D144" s="110" t="s">
        <v>779</v>
      </c>
      <c r="E144" s="71">
        <v>54</v>
      </c>
      <c r="F144" s="382">
        <f>IF(D144=예상등급!$A$1,LOOKUP(E144,예상등급!$A$5:$A$13,예상등급!$B$5:$B$13),IF(D144=예상등급!$A$15,LOOKUP(E144,예상등급!$A$19:$A$27,예상등급!$B$19:$B$27),""))</f>
        <v>4</v>
      </c>
      <c r="G144" s="110" t="s">
        <v>781</v>
      </c>
      <c r="H144" s="71">
        <v>49</v>
      </c>
      <c r="I144" s="382">
        <f>IF(G144=예상등급!$G$15,LOOKUP(H144,예상등급!$G$19:$G$27,예상등급!$H$19:$H$27),IF(G144=예상등급!$J$15,LOOKUP(H144,예상등급!$J$19:$J$27,예상등급!$K$19:$K$27),IF(G144=예상등급!$M$15,LOOKUP(H144,예상등급!$M$19:$M$27,예상등급!$N$19:$N$27),"")))</f>
        <v>4</v>
      </c>
      <c r="J144" s="110">
        <v>51</v>
      </c>
      <c r="K144" s="382">
        <f>IF(J144="","",(LOOKUP(J144,예상등급!$D$5:$D$13,예상등급!$E$5:$E$13)))</f>
        <v>5</v>
      </c>
      <c r="L144" s="301">
        <f>SUM(E144,H144,J144)</f>
        <v>154</v>
      </c>
      <c r="M144" s="398">
        <f>RANK(L144,$L$4:$L$491)</f>
        <v>126</v>
      </c>
      <c r="N144" s="110" t="s">
        <v>762</v>
      </c>
      <c r="O144" s="71">
        <v>22</v>
      </c>
      <c r="P144" s="385">
        <f>IF(N144=예상등급!$G$1,LOOKUP(O144,예상등급!$G$5:$G$13,예상등급!$H$5:$H$13),IF(N144=예상등급!$J$1,LOOKUP(O144,예상등급!$J$5:$J$13,예상등급!$K$5:$K$13),IF(N144=예상등급!$M$1,LOOKUP(O144,예상등급!$M$5:$M$13,예상등급!$N$5:$N$13),IF(N144=예상등급!$P$1,LOOKUP(O144,예상등급!$P$5:$P$13,예상등급!$Q$5:$Q$13),IF(N144=예상등급!$S$1,LOOKUP(O144,예상등급!$S$5:$S$13,예상등급!$T$5:$T$13),IF(N144=예상등급!$V$1,LOOKUP(O144,예상등급!$V$5:$V$13,예상등급!$W$5:$W$13),IF(N144=예상등급!$Y$1,LOOKUP(O144,예상등급!$Y$5:$Y$13,예상등급!$Z$5:$Z$13),IF(N144=예상등급!$AB$1,LOOKUP(O144,예상등급!$AB$5:$AB$13,예상등급!$AC$5:$AC$13),IF(N144=예상등급!$AE$1,LOOKUP(O144,예상등급!$AE$5:$AE$13,예상등급!$AF$5:$AF$13),IF(N144=예상등급!$AH$1,LOOKUP(O144,예상등급!$AH$5:$AH$13,예상등급!$AI$5:$AI$13),IF(N144=예상등급!$AK$1,LOOKUP(O144,예상등급!$AK$5:$AK$13,예상등급!$AL$5:$AL$13),IF(N144=예상등급!$AN$1,LOOKUP(O144,예상등급!$AN$5:$AN$13,예상등급!$AO$5:$AO$13),IF(N144=예상등급!$AQ$1,LOOKUP(O144,예상등급!$AQ$5:$AQ$13,예상등급!$AR$5:$AR$13),IF(N144=예상등급!$AH$15,LOOKUP(O144,예상등급!$AH$19:$AH$27,예상등급!$AI$19:$AI$27),IF(N144=예상등급!$AK$15,LOOKUP(O144,예상등급!$AK$19:$AK$27,예상등급!$AL$19:$AL$27),IF(N144=예상등급!$AN$15,LOOKUP(O144,예상등급!$AN$19:$AN$27,예상등급!$AO$19:$AO$27),IF(N144=예상등급!$AQ$15,LOOKUP(O144,예상등급!$AQ$19:$AQ$27,예상등급!$AR$19:$AR$27),"")))))))))))))))))</f>
        <v>5</v>
      </c>
      <c r="Q144" s="110" t="s">
        <v>771</v>
      </c>
      <c r="R144" s="71">
        <v>9</v>
      </c>
      <c r="S144" s="385">
        <f>IF(Q144=예상등급!$G$1,LOOKUP(R144,예상등급!$G$5:$G$13,예상등급!$H$5:$H$13),IF(Q144=예상등급!$J$1,LOOKUP(R144,예상등급!$J$5:$J$13,예상등급!$K$5:$K$13),IF(Q144=예상등급!$M$1,LOOKUP(R144,예상등급!$M$5:$M$13,예상등급!$N$5:$N$13),IF(Q144=예상등급!$P$1,LOOKUP(R144,예상등급!$P$5:$P$13,예상등급!$Q$5:$Q$13),IF(Q144=예상등급!$S$1,LOOKUP(R144,예상등급!$S$5:$S$13,예상등급!$T$5:$T$13),IF(Q144=예상등급!$V$1,LOOKUP(R144,예상등급!$V$5:$V$13,예상등급!$W$5:$W$13),IF(Q144=예상등급!$Y$1,LOOKUP(R144,예상등급!$Y$5:$Y$13,예상등급!$Z$5:$Z$13),IF(Q144=예상등급!$AB$1,LOOKUP(R144,예상등급!$AB$5:$AB$13,예상등급!$AC$5:$AC$13),IF(Q144=예상등급!$AE$1,LOOKUP(R144,예상등급!$AE$5:$AE$13,예상등급!$AF$5:$AF$13),IF(Q144=예상등급!$AH$1,LOOKUP(R144,예상등급!$AH$5:$AH$13,예상등급!$AI$5:$AI$13),IF(Q144=예상등급!$AK$1,LOOKUP(R144,예상등급!$AK$5:$AK$13,예상등급!$AL$5:$AL$13),IF(Q144=예상등급!$AN$1,LOOKUP(R144,예상등급!$AN$5:$AN$13,예상등급!$AO$5:$AO$13),IF(Q144=예상등급!$AQ$1,LOOKUP(R144,예상등급!$AQ$5:$AQ$13,예상등급!$AR$5:$AR$13),IF(Q144=예상등급!$AH$15,LOOKUP(R144,예상등급!$AH$19:$AH$27,예상등급!$AI$19:$AI$27),IF(Q144=예상등급!$AK$15,LOOKUP(R144,예상등급!$AK$19:$AK$27,예상등급!$AL$19:$AL$27),IF(Q144=예상등급!$AN$15,LOOKUP(R144,예상등급!$AN$19:$AN$27,예상등급!$AO$19:$AO$27),IF(Q144=예상등급!$AQ$15,LOOKUP(R144,예상등급!$AQ$19:$AQ$27,예상등급!$AR$19:$AR$27),"")))))))))))))))))</f>
        <v>7</v>
      </c>
      <c r="T144" s="110">
        <v>25</v>
      </c>
      <c r="U144" s="382">
        <f>IF(T144="","",LOOKUP(T144,예상등급!$D$19:$D$27,예상등급!$E$19:$E$27))</f>
        <v>4</v>
      </c>
      <c r="V144" s="402">
        <f>SUM(L144,T144,R144,O144)</f>
        <v>210</v>
      </c>
      <c r="W144" s="278">
        <f>RANK(V144,$V$4:$V$491)</f>
        <v>141</v>
      </c>
    </row>
    <row r="145" spans="1:28" s="7" customFormat="1" ht="24.95" customHeight="1" x14ac:dyDescent="0.15">
      <c r="A145" s="110">
        <v>2</v>
      </c>
      <c r="B145" s="71">
        <v>5</v>
      </c>
      <c r="C145" s="100" t="s">
        <v>823</v>
      </c>
      <c r="D145" s="110" t="s">
        <v>779</v>
      </c>
      <c r="E145" s="71">
        <v>58</v>
      </c>
      <c r="F145" s="382">
        <f>IF(D145=예상등급!$A$1,LOOKUP(E145,예상등급!$A$5:$A$13,예상등급!$B$5:$B$13),IF(D145=예상등급!$A$15,LOOKUP(E145,예상등급!$A$19:$A$27,예상등급!$B$19:$B$27),""))</f>
        <v>4</v>
      </c>
      <c r="G145" s="110" t="s">
        <v>780</v>
      </c>
      <c r="H145" s="71">
        <v>32</v>
      </c>
      <c r="I145" s="382">
        <f>IF(G145=예상등급!$G$15,LOOKUP(H145,예상등급!$G$19:$G$27,예상등급!$H$19:$H$27),IF(G145=예상등급!$J$15,LOOKUP(H145,예상등급!$J$19:$J$27,예상등급!$K$19:$K$27),IF(G145=예상등급!$M$15,LOOKUP(H145,예상등급!$M$19:$M$27,예상등급!$N$19:$N$27),"")))</f>
        <v>6</v>
      </c>
      <c r="J145" s="110">
        <v>58</v>
      </c>
      <c r="K145" s="382">
        <f>IF(J145="","",(LOOKUP(J145,예상등급!$D$5:$D$13,예상등급!$E$5:$E$13)))</f>
        <v>5</v>
      </c>
      <c r="L145" s="301">
        <f>SUM(E145,H145,J145)</f>
        <v>148</v>
      </c>
      <c r="M145" s="398">
        <f>RANK(L145,$L$4:$L$491)</f>
        <v>137</v>
      </c>
      <c r="N145" s="110" t="s">
        <v>761</v>
      </c>
      <c r="O145" s="71">
        <v>30</v>
      </c>
      <c r="P145" s="385">
        <f>IF(N145=예상등급!$G$1,LOOKUP(O145,예상등급!$G$5:$G$13,예상등급!$H$5:$H$13),IF(N145=예상등급!$J$1,LOOKUP(O145,예상등급!$J$5:$J$13,예상등급!$K$5:$K$13),IF(N145=예상등급!$M$1,LOOKUP(O145,예상등급!$M$5:$M$13,예상등급!$N$5:$N$13),IF(N145=예상등급!$P$1,LOOKUP(O145,예상등급!$P$5:$P$13,예상등급!$Q$5:$Q$13),IF(N145=예상등급!$S$1,LOOKUP(O145,예상등급!$S$5:$S$13,예상등급!$T$5:$T$13),IF(N145=예상등급!$V$1,LOOKUP(O145,예상등급!$V$5:$V$13,예상등급!$W$5:$W$13),IF(N145=예상등급!$Y$1,LOOKUP(O145,예상등급!$Y$5:$Y$13,예상등급!$Z$5:$Z$13),IF(N145=예상등급!$AB$1,LOOKUP(O145,예상등급!$AB$5:$AB$13,예상등급!$AC$5:$AC$13),IF(N145=예상등급!$AE$1,LOOKUP(O145,예상등급!$AE$5:$AE$13,예상등급!$AF$5:$AF$13),IF(N145=예상등급!$AH$1,LOOKUP(O145,예상등급!$AH$5:$AH$13,예상등급!$AI$5:$AI$13),IF(N145=예상등급!$AK$1,LOOKUP(O145,예상등급!$AK$5:$AK$13,예상등급!$AL$5:$AL$13),IF(N145=예상등급!$AN$1,LOOKUP(O145,예상등급!$AN$5:$AN$13,예상등급!$AO$5:$AO$13),IF(N145=예상등급!$AQ$1,LOOKUP(O145,예상등급!$AQ$5:$AQ$13,예상등급!$AR$5:$AR$13),IF(N145=예상등급!$AH$15,LOOKUP(O145,예상등급!$AH$19:$AH$27,예상등급!$AI$19:$AI$27),IF(N145=예상등급!$AK$15,LOOKUP(O145,예상등급!$AK$19:$AK$27,예상등급!$AL$19:$AL$27),IF(N145=예상등급!$AN$15,LOOKUP(O145,예상등급!$AN$19:$AN$27,예상등급!$AO$19:$AO$27),IF(N145=예상등급!$AQ$15,LOOKUP(O145,예상등급!$AQ$19:$AQ$27,예상등급!$AR$19:$AR$27),"")))))))))))))))))</f>
        <v>3</v>
      </c>
      <c r="Q145" s="110" t="s">
        <v>762</v>
      </c>
      <c r="R145" s="71">
        <v>18</v>
      </c>
      <c r="S145" s="385">
        <f>IF(Q145=예상등급!$G$1,LOOKUP(R145,예상등급!$G$5:$G$13,예상등급!$H$5:$H$13),IF(Q145=예상등급!$J$1,LOOKUP(R145,예상등급!$J$5:$J$13,예상등급!$K$5:$K$13),IF(Q145=예상등급!$M$1,LOOKUP(R145,예상등급!$M$5:$M$13,예상등급!$N$5:$N$13),IF(Q145=예상등급!$P$1,LOOKUP(R145,예상등급!$P$5:$P$13,예상등급!$Q$5:$Q$13),IF(Q145=예상등급!$S$1,LOOKUP(R145,예상등급!$S$5:$S$13,예상등급!$T$5:$T$13),IF(Q145=예상등급!$V$1,LOOKUP(R145,예상등급!$V$5:$V$13,예상등급!$W$5:$W$13),IF(Q145=예상등급!$Y$1,LOOKUP(R145,예상등급!$Y$5:$Y$13,예상등급!$Z$5:$Z$13),IF(Q145=예상등급!$AB$1,LOOKUP(R145,예상등급!$AB$5:$AB$13,예상등급!$AC$5:$AC$13),IF(Q145=예상등급!$AE$1,LOOKUP(R145,예상등급!$AE$5:$AE$13,예상등급!$AF$5:$AF$13),IF(Q145=예상등급!$AH$1,LOOKUP(R145,예상등급!$AH$5:$AH$13,예상등급!$AI$5:$AI$13),IF(Q145=예상등급!$AK$1,LOOKUP(R145,예상등급!$AK$5:$AK$13,예상등급!$AL$5:$AL$13),IF(Q145=예상등급!$AN$1,LOOKUP(R145,예상등급!$AN$5:$AN$13,예상등급!$AO$5:$AO$13),IF(Q145=예상등급!$AQ$1,LOOKUP(R145,예상등급!$AQ$5:$AQ$13,예상등급!$AR$5:$AR$13),IF(Q145=예상등급!$AH$15,LOOKUP(R145,예상등급!$AH$19:$AH$27,예상등급!$AI$19:$AI$27),IF(Q145=예상등급!$AK$15,LOOKUP(R145,예상등급!$AK$19:$AK$27,예상등급!$AL$19:$AL$27),IF(Q145=예상등급!$AN$15,LOOKUP(R145,예상등급!$AN$19:$AN$27,예상등급!$AO$19:$AO$27),IF(Q145=예상등급!$AQ$15,LOOKUP(R145,예상등급!$AQ$19:$AQ$27,예상등급!$AR$19:$AR$27),"")))))))))))))))))</f>
        <v>6</v>
      </c>
      <c r="T145" s="110">
        <v>13</v>
      </c>
      <c r="U145" s="382">
        <f>IF(T145="","",LOOKUP(T145,예상등급!$D$19:$D$27,예상등급!$E$19:$E$27))</f>
        <v>7</v>
      </c>
      <c r="V145" s="402">
        <f>SUM(L145,T145,R145,O145)</f>
        <v>209</v>
      </c>
      <c r="W145" s="278">
        <f>RANK(V145,$V$4:$V$491)</f>
        <v>142</v>
      </c>
    </row>
    <row r="146" spans="1:28" s="7" customFormat="1" ht="24.95" customHeight="1" x14ac:dyDescent="0.15">
      <c r="A146" s="110">
        <v>4</v>
      </c>
      <c r="B146" s="71">
        <v>9</v>
      </c>
      <c r="C146" s="100" t="s">
        <v>862</v>
      </c>
      <c r="D146" s="110" t="s">
        <v>779</v>
      </c>
      <c r="E146" s="71">
        <v>53</v>
      </c>
      <c r="F146" s="382">
        <f>IF(D146=예상등급!$A$1,LOOKUP(E146,예상등급!$A$5:$A$13,예상등급!$B$5:$B$13),IF(D146=예상등급!$A$15,LOOKUP(E146,예상등급!$A$19:$A$27,예상등급!$B$19:$B$27),""))</f>
        <v>4</v>
      </c>
      <c r="G146" s="110" t="s">
        <v>780</v>
      </c>
      <c r="H146" s="71">
        <v>28</v>
      </c>
      <c r="I146" s="382">
        <f>IF(G146=예상등급!$G$15,LOOKUP(H146,예상등급!$G$19:$G$27,예상등급!$H$19:$H$27),IF(G146=예상등급!$J$15,LOOKUP(H146,예상등급!$J$19:$J$27,예상등급!$K$19:$K$27),IF(G146=예상등급!$M$15,LOOKUP(H146,예상등급!$M$19:$M$27,예상등급!$N$19:$N$27),"")))</f>
        <v>6</v>
      </c>
      <c r="J146" s="110">
        <v>62</v>
      </c>
      <c r="K146" s="382">
        <f>IF(J146="","",(LOOKUP(J146,예상등급!$D$5:$D$13,예상등급!$E$5:$E$13)))</f>
        <v>4</v>
      </c>
      <c r="L146" s="301">
        <f>SUM(E146,H146,J146)</f>
        <v>143</v>
      </c>
      <c r="M146" s="398">
        <f>RANK(L146,$L$4:$L$491)</f>
        <v>144</v>
      </c>
      <c r="N146" s="110" t="s">
        <v>766</v>
      </c>
      <c r="O146" s="71">
        <v>19</v>
      </c>
      <c r="P146" s="385">
        <f>IF(N146=예상등급!$G$1,LOOKUP(O146,예상등급!$G$5:$G$13,예상등급!$H$5:$H$13),IF(N146=예상등급!$J$1,LOOKUP(O146,예상등급!$J$5:$J$13,예상등급!$K$5:$K$13),IF(N146=예상등급!$M$1,LOOKUP(O146,예상등급!$M$5:$M$13,예상등급!$N$5:$N$13),IF(N146=예상등급!$P$1,LOOKUP(O146,예상등급!$P$5:$P$13,예상등급!$Q$5:$Q$13),IF(N146=예상등급!$S$1,LOOKUP(O146,예상등급!$S$5:$S$13,예상등급!$T$5:$T$13),IF(N146=예상등급!$V$1,LOOKUP(O146,예상등급!$V$5:$V$13,예상등급!$W$5:$W$13),IF(N146=예상등급!$Y$1,LOOKUP(O146,예상등급!$Y$5:$Y$13,예상등급!$Z$5:$Z$13),IF(N146=예상등급!$AB$1,LOOKUP(O146,예상등급!$AB$5:$AB$13,예상등급!$AC$5:$AC$13),IF(N146=예상등급!$AE$1,LOOKUP(O146,예상등급!$AE$5:$AE$13,예상등급!$AF$5:$AF$13),IF(N146=예상등급!$AH$1,LOOKUP(O146,예상등급!$AH$5:$AH$13,예상등급!$AI$5:$AI$13),IF(N146=예상등급!$AK$1,LOOKUP(O146,예상등급!$AK$5:$AK$13,예상등급!$AL$5:$AL$13),IF(N146=예상등급!$AN$1,LOOKUP(O146,예상등급!$AN$5:$AN$13,예상등급!$AO$5:$AO$13),IF(N146=예상등급!$AQ$1,LOOKUP(O146,예상등급!$AQ$5:$AQ$13,예상등급!$AR$5:$AR$13),IF(N146=예상등급!$AH$15,LOOKUP(O146,예상등급!$AH$19:$AH$27,예상등급!$AI$19:$AI$27),IF(N146=예상등급!$AK$15,LOOKUP(O146,예상등급!$AK$19:$AK$27,예상등급!$AL$19:$AL$27),IF(N146=예상등급!$AN$15,LOOKUP(O146,예상등급!$AN$19:$AN$27,예상등급!$AO$19:$AO$27),IF(N146=예상등급!$AQ$15,LOOKUP(O146,예상등급!$AQ$19:$AQ$27,예상등급!$AR$19:$AR$27),"")))))))))))))))))</f>
        <v>4</v>
      </c>
      <c r="Q146" s="110" t="s">
        <v>762</v>
      </c>
      <c r="R146" s="71">
        <v>19</v>
      </c>
      <c r="S146" s="385">
        <f>IF(Q146=예상등급!$G$1,LOOKUP(R146,예상등급!$G$5:$G$13,예상등급!$H$5:$H$13),IF(Q146=예상등급!$J$1,LOOKUP(R146,예상등급!$J$5:$J$13,예상등급!$K$5:$K$13),IF(Q146=예상등급!$M$1,LOOKUP(R146,예상등급!$M$5:$M$13,예상등급!$N$5:$N$13),IF(Q146=예상등급!$P$1,LOOKUP(R146,예상등급!$P$5:$P$13,예상등급!$Q$5:$Q$13),IF(Q146=예상등급!$S$1,LOOKUP(R146,예상등급!$S$5:$S$13,예상등급!$T$5:$T$13),IF(Q146=예상등급!$V$1,LOOKUP(R146,예상등급!$V$5:$V$13,예상등급!$W$5:$W$13),IF(Q146=예상등급!$Y$1,LOOKUP(R146,예상등급!$Y$5:$Y$13,예상등급!$Z$5:$Z$13),IF(Q146=예상등급!$AB$1,LOOKUP(R146,예상등급!$AB$5:$AB$13,예상등급!$AC$5:$AC$13),IF(Q146=예상등급!$AE$1,LOOKUP(R146,예상등급!$AE$5:$AE$13,예상등급!$AF$5:$AF$13),IF(Q146=예상등급!$AH$1,LOOKUP(R146,예상등급!$AH$5:$AH$13,예상등급!$AI$5:$AI$13),IF(Q146=예상등급!$AK$1,LOOKUP(R146,예상등급!$AK$5:$AK$13,예상등급!$AL$5:$AL$13),IF(Q146=예상등급!$AN$1,LOOKUP(R146,예상등급!$AN$5:$AN$13,예상등급!$AO$5:$AO$13),IF(Q146=예상등급!$AQ$1,LOOKUP(R146,예상등급!$AQ$5:$AQ$13,예상등급!$AR$5:$AR$13),IF(Q146=예상등급!$AH$15,LOOKUP(R146,예상등급!$AH$19:$AH$27,예상등급!$AI$19:$AI$27),IF(Q146=예상등급!$AK$15,LOOKUP(R146,예상등급!$AK$19:$AK$27,예상등급!$AL$19:$AL$27),IF(Q146=예상등급!$AN$15,LOOKUP(R146,예상등급!$AN$19:$AN$27,예상등급!$AO$19:$AO$27),IF(Q146=예상등급!$AQ$15,LOOKUP(R146,예상등급!$AQ$19:$AQ$27,예상등급!$AR$19:$AR$27),"")))))))))))))))))</f>
        <v>5</v>
      </c>
      <c r="T146" s="110">
        <v>28</v>
      </c>
      <c r="U146" s="382">
        <f>IF(T146="","",LOOKUP(T146,예상등급!$D$19:$D$27,예상등급!$E$19:$E$27))</f>
        <v>4</v>
      </c>
      <c r="V146" s="402">
        <f>SUM(L146,T146,R146,O146)</f>
        <v>209</v>
      </c>
      <c r="W146" s="278">
        <f>RANK(V146,$V$4:$V$491)</f>
        <v>142</v>
      </c>
    </row>
    <row r="147" spans="1:28" s="7" customFormat="1" ht="24.95" customHeight="1" x14ac:dyDescent="0.15">
      <c r="A147" s="110">
        <v>9</v>
      </c>
      <c r="B147" s="71">
        <v>16</v>
      </c>
      <c r="C147" s="100" t="s">
        <v>974</v>
      </c>
      <c r="D147" s="110" t="s">
        <v>779</v>
      </c>
      <c r="E147" s="71">
        <v>54</v>
      </c>
      <c r="F147" s="382">
        <f>IF(D147=예상등급!$A$1,LOOKUP(E147,예상등급!$A$5:$A$13,예상등급!$B$5:$B$13),IF(D147=예상등급!$A$15,LOOKUP(E147,예상등급!$A$19:$A$27,예상등급!$B$19:$B$27),""))</f>
        <v>4</v>
      </c>
      <c r="G147" s="110" t="s">
        <v>780</v>
      </c>
      <c r="H147" s="71">
        <v>17</v>
      </c>
      <c r="I147" s="382">
        <f>IF(G147=예상등급!$G$15,LOOKUP(H147,예상등급!$G$19:$G$27,예상등급!$H$19:$H$27),IF(G147=예상등급!$J$15,LOOKUP(H147,예상등급!$J$19:$J$27,예상등급!$K$19:$K$27),IF(G147=예상등급!$M$15,LOOKUP(H147,예상등급!$M$19:$M$27,예상등급!$N$19:$N$27),"")))</f>
        <v>8</v>
      </c>
      <c r="J147" s="110">
        <v>58</v>
      </c>
      <c r="K147" s="382">
        <f>IF(J147="","",(LOOKUP(J147,예상등급!$D$5:$D$13,예상등급!$E$5:$E$13)))</f>
        <v>5</v>
      </c>
      <c r="L147" s="301">
        <f>SUM(E147,H147,J147)</f>
        <v>129</v>
      </c>
      <c r="M147" s="398">
        <f>RANK(L147,$L$4:$L$491)</f>
        <v>163</v>
      </c>
      <c r="N147" s="110" t="s">
        <v>761</v>
      </c>
      <c r="O147" s="71">
        <v>25</v>
      </c>
      <c r="P147" s="385">
        <f>IF(N147=예상등급!$G$1,LOOKUP(O147,예상등급!$G$5:$G$13,예상등급!$H$5:$H$13),IF(N147=예상등급!$J$1,LOOKUP(O147,예상등급!$J$5:$J$13,예상등급!$K$5:$K$13),IF(N147=예상등급!$M$1,LOOKUP(O147,예상등급!$M$5:$M$13,예상등급!$N$5:$N$13),IF(N147=예상등급!$P$1,LOOKUP(O147,예상등급!$P$5:$P$13,예상등급!$Q$5:$Q$13),IF(N147=예상등급!$S$1,LOOKUP(O147,예상등급!$S$5:$S$13,예상등급!$T$5:$T$13),IF(N147=예상등급!$V$1,LOOKUP(O147,예상등급!$V$5:$V$13,예상등급!$W$5:$W$13),IF(N147=예상등급!$Y$1,LOOKUP(O147,예상등급!$Y$5:$Y$13,예상등급!$Z$5:$Z$13),IF(N147=예상등급!$AB$1,LOOKUP(O147,예상등급!$AB$5:$AB$13,예상등급!$AC$5:$AC$13),IF(N147=예상등급!$AE$1,LOOKUP(O147,예상등급!$AE$5:$AE$13,예상등급!$AF$5:$AF$13),IF(N147=예상등급!$AH$1,LOOKUP(O147,예상등급!$AH$5:$AH$13,예상등급!$AI$5:$AI$13),IF(N147=예상등급!$AK$1,LOOKUP(O147,예상등급!$AK$5:$AK$13,예상등급!$AL$5:$AL$13),IF(N147=예상등급!$AN$1,LOOKUP(O147,예상등급!$AN$5:$AN$13,예상등급!$AO$5:$AO$13),IF(N147=예상등급!$AQ$1,LOOKUP(O147,예상등급!$AQ$5:$AQ$13,예상등급!$AR$5:$AR$13),IF(N147=예상등급!$AH$15,LOOKUP(O147,예상등급!$AH$19:$AH$27,예상등급!$AI$19:$AI$27),IF(N147=예상등급!$AK$15,LOOKUP(O147,예상등급!$AK$19:$AK$27,예상등급!$AL$19:$AL$27),IF(N147=예상등급!$AN$15,LOOKUP(O147,예상등급!$AN$19:$AN$27,예상등급!$AO$19:$AO$27),IF(N147=예상등급!$AQ$15,LOOKUP(O147,예상등급!$AQ$19:$AQ$27,예상등급!$AR$19:$AR$27),"")))))))))))))))))</f>
        <v>4</v>
      </c>
      <c r="Q147" s="110" t="s">
        <v>772</v>
      </c>
      <c r="R147" s="71">
        <v>27</v>
      </c>
      <c r="S147" s="385">
        <f>IF(Q147=예상등급!$G$1,LOOKUP(R147,예상등급!$G$5:$G$13,예상등급!$H$5:$H$13),IF(Q147=예상등급!$J$1,LOOKUP(R147,예상등급!$J$5:$J$13,예상등급!$K$5:$K$13),IF(Q147=예상등급!$M$1,LOOKUP(R147,예상등급!$M$5:$M$13,예상등급!$N$5:$N$13),IF(Q147=예상등급!$P$1,LOOKUP(R147,예상등급!$P$5:$P$13,예상등급!$Q$5:$Q$13),IF(Q147=예상등급!$S$1,LOOKUP(R147,예상등급!$S$5:$S$13,예상등급!$T$5:$T$13),IF(Q147=예상등급!$V$1,LOOKUP(R147,예상등급!$V$5:$V$13,예상등급!$W$5:$W$13),IF(Q147=예상등급!$Y$1,LOOKUP(R147,예상등급!$Y$5:$Y$13,예상등급!$Z$5:$Z$13),IF(Q147=예상등급!$AB$1,LOOKUP(R147,예상등급!$AB$5:$AB$13,예상등급!$AC$5:$AC$13),IF(Q147=예상등급!$AE$1,LOOKUP(R147,예상등급!$AE$5:$AE$13,예상등급!$AF$5:$AF$13),IF(Q147=예상등급!$AH$1,LOOKUP(R147,예상등급!$AH$5:$AH$13,예상등급!$AI$5:$AI$13),IF(Q147=예상등급!$AK$1,LOOKUP(R147,예상등급!$AK$5:$AK$13,예상등급!$AL$5:$AL$13),IF(Q147=예상등급!$AN$1,LOOKUP(R147,예상등급!$AN$5:$AN$13,예상등급!$AO$5:$AO$13),IF(Q147=예상등급!$AQ$1,LOOKUP(R147,예상등급!$AQ$5:$AQ$13,예상등급!$AR$5:$AR$13),IF(Q147=예상등급!$AH$15,LOOKUP(R147,예상등급!$AH$19:$AH$27,예상등급!$AI$19:$AI$27),IF(Q147=예상등급!$AK$15,LOOKUP(R147,예상등급!$AK$19:$AK$27,예상등급!$AL$19:$AL$27),IF(Q147=예상등급!$AN$15,LOOKUP(R147,예상등급!$AN$19:$AN$27,예상등급!$AO$19:$AO$27),IF(Q147=예상등급!$AQ$15,LOOKUP(R147,예상등급!$AQ$19:$AQ$27,예상등급!$AR$19:$AR$27),"")))))))))))))))))</f>
        <v>3</v>
      </c>
      <c r="T147" s="110">
        <v>28</v>
      </c>
      <c r="U147" s="382">
        <f>IF(T147="","",LOOKUP(T147,예상등급!$D$19:$D$27,예상등급!$E$19:$E$27))</f>
        <v>4</v>
      </c>
      <c r="V147" s="402">
        <f>SUM(L147,T147,R147,O147)</f>
        <v>209</v>
      </c>
      <c r="W147" s="278">
        <f>RANK(V147,$V$4:$V$491)</f>
        <v>142</v>
      </c>
    </row>
    <row r="148" spans="1:28" s="7" customFormat="1" ht="24.95" customHeight="1" x14ac:dyDescent="0.15">
      <c r="A148" s="110">
        <v>3</v>
      </c>
      <c r="B148" s="71">
        <v>22</v>
      </c>
      <c r="C148" s="100" t="s">
        <v>854</v>
      </c>
      <c r="D148" s="110" t="s">
        <v>779</v>
      </c>
      <c r="E148" s="71">
        <v>54</v>
      </c>
      <c r="F148" s="382">
        <f>IF(D148=예상등급!$A$1,LOOKUP(E148,예상등급!$A$5:$A$13,예상등급!$B$5:$B$13),IF(D148=예상등급!$A$15,LOOKUP(E148,예상등급!$A$19:$A$27,예상등급!$B$19:$B$27),""))</f>
        <v>4</v>
      </c>
      <c r="G148" s="110" t="s">
        <v>780</v>
      </c>
      <c r="H148" s="71">
        <v>39</v>
      </c>
      <c r="I148" s="382">
        <f>IF(G148=예상등급!$G$15,LOOKUP(H148,예상등급!$G$19:$G$27,예상등급!$H$19:$H$27),IF(G148=예상등급!$J$15,LOOKUP(H148,예상등급!$J$19:$J$27,예상등급!$K$19:$K$27),IF(G148=예상등급!$M$15,LOOKUP(H148,예상등급!$M$19:$M$27,예상등급!$N$19:$N$27),"")))</f>
        <v>5</v>
      </c>
      <c r="J148" s="110">
        <v>50</v>
      </c>
      <c r="K148" s="382">
        <f>IF(J148="","",(LOOKUP(J148,예상등급!$D$5:$D$13,예상등급!$E$5:$E$13)))</f>
        <v>5</v>
      </c>
      <c r="L148" s="301">
        <f>SUM(E148,H148,J148)</f>
        <v>143</v>
      </c>
      <c r="M148" s="398">
        <f>RANK(L148,$L$4:$L$491)</f>
        <v>144</v>
      </c>
      <c r="N148" s="110" t="s">
        <v>769</v>
      </c>
      <c r="O148" s="71">
        <v>13</v>
      </c>
      <c r="P148" s="385">
        <f>IF(N148=예상등급!$G$1,LOOKUP(O148,예상등급!$G$5:$G$13,예상등급!$H$5:$H$13),IF(N148=예상등급!$J$1,LOOKUP(O148,예상등급!$J$5:$J$13,예상등급!$K$5:$K$13),IF(N148=예상등급!$M$1,LOOKUP(O148,예상등급!$M$5:$M$13,예상등급!$N$5:$N$13),IF(N148=예상등급!$P$1,LOOKUP(O148,예상등급!$P$5:$P$13,예상등급!$Q$5:$Q$13),IF(N148=예상등급!$S$1,LOOKUP(O148,예상등급!$S$5:$S$13,예상등급!$T$5:$T$13),IF(N148=예상등급!$V$1,LOOKUP(O148,예상등급!$V$5:$V$13,예상등급!$W$5:$W$13),IF(N148=예상등급!$Y$1,LOOKUP(O148,예상등급!$Y$5:$Y$13,예상등급!$Z$5:$Z$13),IF(N148=예상등급!$AB$1,LOOKUP(O148,예상등급!$AB$5:$AB$13,예상등급!$AC$5:$AC$13),IF(N148=예상등급!$AE$1,LOOKUP(O148,예상등급!$AE$5:$AE$13,예상등급!$AF$5:$AF$13),IF(N148=예상등급!$AH$1,LOOKUP(O148,예상등급!$AH$5:$AH$13,예상등급!$AI$5:$AI$13),IF(N148=예상등급!$AK$1,LOOKUP(O148,예상등급!$AK$5:$AK$13,예상등급!$AL$5:$AL$13),IF(N148=예상등급!$AN$1,LOOKUP(O148,예상등급!$AN$5:$AN$13,예상등급!$AO$5:$AO$13),IF(N148=예상등급!$AQ$1,LOOKUP(O148,예상등급!$AQ$5:$AQ$13,예상등급!$AR$5:$AR$13),IF(N148=예상등급!$AH$15,LOOKUP(O148,예상등급!$AH$19:$AH$27,예상등급!$AI$19:$AI$27),IF(N148=예상등급!$AK$15,LOOKUP(O148,예상등급!$AK$19:$AK$27,예상등급!$AL$19:$AL$27),IF(N148=예상등급!$AN$15,LOOKUP(O148,예상등급!$AN$19:$AN$27,예상등급!$AO$19:$AO$27),IF(N148=예상등급!$AQ$15,LOOKUP(O148,예상등급!$AQ$19:$AQ$27,예상등급!$AR$19:$AR$27),"")))))))))))))))))</f>
        <v>6</v>
      </c>
      <c r="Q148" s="110" t="s">
        <v>761</v>
      </c>
      <c r="R148" s="71">
        <v>18</v>
      </c>
      <c r="S148" s="385">
        <f>IF(Q148=예상등급!$G$1,LOOKUP(R148,예상등급!$G$5:$G$13,예상등급!$H$5:$H$13),IF(Q148=예상등급!$J$1,LOOKUP(R148,예상등급!$J$5:$J$13,예상등급!$K$5:$K$13),IF(Q148=예상등급!$M$1,LOOKUP(R148,예상등급!$M$5:$M$13,예상등급!$N$5:$N$13),IF(Q148=예상등급!$P$1,LOOKUP(R148,예상등급!$P$5:$P$13,예상등급!$Q$5:$Q$13),IF(Q148=예상등급!$S$1,LOOKUP(R148,예상등급!$S$5:$S$13,예상등급!$T$5:$T$13),IF(Q148=예상등급!$V$1,LOOKUP(R148,예상등급!$V$5:$V$13,예상등급!$W$5:$W$13),IF(Q148=예상등급!$Y$1,LOOKUP(R148,예상등급!$Y$5:$Y$13,예상등급!$Z$5:$Z$13),IF(Q148=예상등급!$AB$1,LOOKUP(R148,예상등급!$AB$5:$AB$13,예상등급!$AC$5:$AC$13),IF(Q148=예상등급!$AE$1,LOOKUP(R148,예상등급!$AE$5:$AE$13,예상등급!$AF$5:$AF$13),IF(Q148=예상등급!$AH$1,LOOKUP(R148,예상등급!$AH$5:$AH$13,예상등급!$AI$5:$AI$13),IF(Q148=예상등급!$AK$1,LOOKUP(R148,예상등급!$AK$5:$AK$13,예상등급!$AL$5:$AL$13),IF(Q148=예상등급!$AN$1,LOOKUP(R148,예상등급!$AN$5:$AN$13,예상등급!$AO$5:$AO$13),IF(Q148=예상등급!$AQ$1,LOOKUP(R148,예상등급!$AQ$5:$AQ$13,예상등급!$AR$5:$AR$13),IF(Q148=예상등급!$AH$15,LOOKUP(R148,예상등급!$AH$19:$AH$27,예상등급!$AI$19:$AI$27),IF(Q148=예상등급!$AK$15,LOOKUP(R148,예상등급!$AK$19:$AK$27,예상등급!$AL$19:$AL$27),IF(Q148=예상등급!$AN$15,LOOKUP(R148,예상등급!$AN$19:$AN$27,예상등급!$AO$19:$AO$27),IF(Q148=예상등급!$AQ$15,LOOKUP(R148,예상등급!$AQ$19:$AQ$27,예상등급!$AR$19:$AR$27),"")))))))))))))))))</f>
        <v>6</v>
      </c>
      <c r="T148" s="110">
        <v>34</v>
      </c>
      <c r="U148" s="382">
        <f>IF(T148="","",LOOKUP(T148,예상등급!$D$19:$D$27,예상등급!$E$19:$E$27))</f>
        <v>3</v>
      </c>
      <c r="V148" s="402">
        <f>SUM(L148,T148,R148,O148)</f>
        <v>208</v>
      </c>
      <c r="W148" s="278">
        <f>RANK(V148,$V$4:$V$491)</f>
        <v>145</v>
      </c>
    </row>
    <row r="149" spans="1:28" s="7" customFormat="1" ht="24.95" customHeight="1" x14ac:dyDescent="0.15">
      <c r="A149" s="110">
        <v>1</v>
      </c>
      <c r="B149" s="71">
        <v>17</v>
      </c>
      <c r="C149" s="100" t="s">
        <v>813</v>
      </c>
      <c r="D149" s="110" t="s">
        <v>779</v>
      </c>
      <c r="E149" s="71">
        <v>43</v>
      </c>
      <c r="F149" s="382">
        <f>IF(D149=예상등급!$A$1,LOOKUP(E149,예상등급!$A$5:$A$13,예상등급!$B$5:$B$13),IF(D149=예상등급!$A$15,LOOKUP(E149,예상등급!$A$19:$A$27,예상등급!$B$19:$B$27),""))</f>
        <v>5</v>
      </c>
      <c r="G149" s="110" t="s">
        <v>780</v>
      </c>
      <c r="H149" s="71">
        <v>50</v>
      </c>
      <c r="I149" s="382">
        <f>IF(G149=예상등급!$G$15,LOOKUP(H149,예상등급!$G$19:$G$27,예상등급!$H$19:$H$27),IF(G149=예상등급!$J$15,LOOKUP(H149,예상등급!$J$19:$J$27,예상등급!$K$19:$K$27),IF(G149=예상등급!$M$15,LOOKUP(H149,예상등급!$M$19:$M$27,예상등급!$N$19:$N$27),"")))</f>
        <v>5</v>
      </c>
      <c r="J149" s="110">
        <v>66</v>
      </c>
      <c r="K149" s="382">
        <f>IF(J149="","",(LOOKUP(J149,예상등급!$D$5:$D$13,예상등급!$E$5:$E$13)))</f>
        <v>4</v>
      </c>
      <c r="L149" s="301">
        <f>SUM(E149,H149,J149)</f>
        <v>159</v>
      </c>
      <c r="M149" s="398">
        <f>RANK(L149,$L$4:$L$491)</f>
        <v>116</v>
      </c>
      <c r="N149" s="110" t="s">
        <v>761</v>
      </c>
      <c r="O149" s="71">
        <v>23</v>
      </c>
      <c r="P149" s="385">
        <f>IF(N149=예상등급!$G$1,LOOKUP(O149,예상등급!$G$5:$G$13,예상등급!$H$5:$H$13),IF(N149=예상등급!$J$1,LOOKUP(O149,예상등급!$J$5:$J$13,예상등급!$K$5:$K$13),IF(N149=예상등급!$M$1,LOOKUP(O149,예상등급!$M$5:$M$13,예상등급!$N$5:$N$13),IF(N149=예상등급!$P$1,LOOKUP(O149,예상등급!$P$5:$P$13,예상등급!$Q$5:$Q$13),IF(N149=예상등급!$S$1,LOOKUP(O149,예상등급!$S$5:$S$13,예상등급!$T$5:$T$13),IF(N149=예상등급!$V$1,LOOKUP(O149,예상등급!$V$5:$V$13,예상등급!$W$5:$W$13),IF(N149=예상등급!$Y$1,LOOKUP(O149,예상등급!$Y$5:$Y$13,예상등급!$Z$5:$Z$13),IF(N149=예상등급!$AB$1,LOOKUP(O149,예상등급!$AB$5:$AB$13,예상등급!$AC$5:$AC$13),IF(N149=예상등급!$AE$1,LOOKUP(O149,예상등급!$AE$5:$AE$13,예상등급!$AF$5:$AF$13),IF(N149=예상등급!$AH$1,LOOKUP(O149,예상등급!$AH$5:$AH$13,예상등급!$AI$5:$AI$13),IF(N149=예상등급!$AK$1,LOOKUP(O149,예상등급!$AK$5:$AK$13,예상등급!$AL$5:$AL$13),IF(N149=예상등급!$AN$1,LOOKUP(O149,예상등급!$AN$5:$AN$13,예상등급!$AO$5:$AO$13),IF(N149=예상등급!$AQ$1,LOOKUP(O149,예상등급!$AQ$5:$AQ$13,예상등급!$AR$5:$AR$13),IF(N149=예상등급!$AH$15,LOOKUP(O149,예상등급!$AH$19:$AH$27,예상등급!$AI$19:$AI$27),IF(N149=예상등급!$AK$15,LOOKUP(O149,예상등급!$AK$19:$AK$27,예상등급!$AL$19:$AL$27),IF(N149=예상등급!$AN$15,LOOKUP(O149,예상등급!$AN$19:$AN$27,예상등급!$AO$19:$AO$27),IF(N149=예상등급!$AQ$15,LOOKUP(O149,예상등급!$AQ$19:$AQ$27,예상등급!$AR$19:$AR$27),"")))))))))))))))))</f>
        <v>5</v>
      </c>
      <c r="Q149" s="110" t="s">
        <v>762</v>
      </c>
      <c r="R149" s="71">
        <v>17</v>
      </c>
      <c r="S149" s="385">
        <f>IF(Q149=예상등급!$G$1,LOOKUP(R149,예상등급!$G$5:$G$13,예상등급!$H$5:$H$13),IF(Q149=예상등급!$J$1,LOOKUP(R149,예상등급!$J$5:$J$13,예상등급!$K$5:$K$13),IF(Q149=예상등급!$M$1,LOOKUP(R149,예상등급!$M$5:$M$13,예상등급!$N$5:$N$13),IF(Q149=예상등급!$P$1,LOOKUP(R149,예상등급!$P$5:$P$13,예상등급!$Q$5:$Q$13),IF(Q149=예상등급!$S$1,LOOKUP(R149,예상등급!$S$5:$S$13,예상등급!$T$5:$T$13),IF(Q149=예상등급!$V$1,LOOKUP(R149,예상등급!$V$5:$V$13,예상등급!$W$5:$W$13),IF(Q149=예상등급!$Y$1,LOOKUP(R149,예상등급!$Y$5:$Y$13,예상등급!$Z$5:$Z$13),IF(Q149=예상등급!$AB$1,LOOKUP(R149,예상등급!$AB$5:$AB$13,예상등급!$AC$5:$AC$13),IF(Q149=예상등급!$AE$1,LOOKUP(R149,예상등급!$AE$5:$AE$13,예상등급!$AF$5:$AF$13),IF(Q149=예상등급!$AH$1,LOOKUP(R149,예상등급!$AH$5:$AH$13,예상등급!$AI$5:$AI$13),IF(Q149=예상등급!$AK$1,LOOKUP(R149,예상등급!$AK$5:$AK$13,예상등급!$AL$5:$AL$13),IF(Q149=예상등급!$AN$1,LOOKUP(R149,예상등급!$AN$5:$AN$13,예상등급!$AO$5:$AO$13),IF(Q149=예상등급!$AQ$1,LOOKUP(R149,예상등급!$AQ$5:$AQ$13,예상등급!$AR$5:$AR$13),IF(Q149=예상등급!$AH$15,LOOKUP(R149,예상등급!$AH$19:$AH$27,예상등급!$AI$19:$AI$27),IF(Q149=예상등급!$AK$15,LOOKUP(R149,예상등급!$AK$19:$AK$27,예상등급!$AL$19:$AL$27),IF(Q149=예상등급!$AN$15,LOOKUP(R149,예상등급!$AN$19:$AN$27,예상등급!$AO$19:$AO$27),IF(Q149=예상등급!$AQ$15,LOOKUP(R149,예상등급!$AQ$19:$AQ$27,예상등급!$AR$19:$AR$27),"")))))))))))))))))</f>
        <v>6</v>
      </c>
      <c r="T149" s="110">
        <v>7</v>
      </c>
      <c r="U149" s="382">
        <f>IF(T149="","",LOOKUP(T149,예상등급!$D$19:$D$27,예상등급!$E$19:$E$27))</f>
        <v>8</v>
      </c>
      <c r="V149" s="402">
        <f>SUM(L149,T149,R149,O149)</f>
        <v>206</v>
      </c>
      <c r="W149" s="278">
        <f>RANK(V149,$V$4:$V$491)</f>
        <v>146</v>
      </c>
    </row>
    <row r="150" spans="1:28" s="7" customFormat="1" ht="24.95" customHeight="1" x14ac:dyDescent="0.15">
      <c r="A150" s="110">
        <v>9</v>
      </c>
      <c r="B150" s="71">
        <v>14</v>
      </c>
      <c r="C150" s="100" t="s">
        <v>972</v>
      </c>
      <c r="D150" s="110" t="s">
        <v>779</v>
      </c>
      <c r="E150" s="71">
        <v>40</v>
      </c>
      <c r="F150" s="382">
        <f>IF(D150=예상등급!$A$1,LOOKUP(E150,예상등급!$A$5:$A$13,예상등급!$B$5:$B$13),IF(D150=예상등급!$A$15,LOOKUP(E150,예상등급!$A$19:$A$27,예상등급!$B$19:$B$27),""))</f>
        <v>6</v>
      </c>
      <c r="G150" s="110" t="s">
        <v>780</v>
      </c>
      <c r="H150" s="71">
        <v>35</v>
      </c>
      <c r="I150" s="382">
        <f>IF(G150=예상등급!$G$15,LOOKUP(H150,예상등급!$G$19:$G$27,예상등급!$H$19:$H$27),IF(G150=예상등급!$J$15,LOOKUP(H150,예상등급!$J$19:$J$27,예상등급!$K$19:$K$27),IF(G150=예상등급!$M$15,LOOKUP(H150,예상등급!$M$19:$M$27,예상등급!$N$19:$N$27),"")))</f>
        <v>5</v>
      </c>
      <c r="J150" s="110">
        <v>64</v>
      </c>
      <c r="K150" s="382">
        <f>IF(J150="","",(LOOKUP(J150,예상등급!$D$5:$D$13,예상등급!$E$5:$E$13)))</f>
        <v>4</v>
      </c>
      <c r="L150" s="301">
        <f>SUM(E150,H150,J150)</f>
        <v>139</v>
      </c>
      <c r="M150" s="398">
        <f>RANK(L150,$L$4:$L$491)</f>
        <v>151</v>
      </c>
      <c r="N150" s="110" t="s">
        <v>767</v>
      </c>
      <c r="O150" s="71">
        <v>26</v>
      </c>
      <c r="P150" s="385">
        <f>IF(N150=예상등급!$G$1,LOOKUP(O150,예상등급!$G$5:$G$13,예상등급!$H$5:$H$13),IF(N150=예상등급!$J$1,LOOKUP(O150,예상등급!$J$5:$J$13,예상등급!$K$5:$K$13),IF(N150=예상등급!$M$1,LOOKUP(O150,예상등급!$M$5:$M$13,예상등급!$N$5:$N$13),IF(N150=예상등급!$P$1,LOOKUP(O150,예상등급!$P$5:$P$13,예상등급!$Q$5:$Q$13),IF(N150=예상등급!$S$1,LOOKUP(O150,예상등급!$S$5:$S$13,예상등급!$T$5:$T$13),IF(N150=예상등급!$V$1,LOOKUP(O150,예상등급!$V$5:$V$13,예상등급!$W$5:$W$13),IF(N150=예상등급!$Y$1,LOOKUP(O150,예상등급!$Y$5:$Y$13,예상등급!$Z$5:$Z$13),IF(N150=예상등급!$AB$1,LOOKUP(O150,예상등급!$AB$5:$AB$13,예상등급!$AC$5:$AC$13),IF(N150=예상등급!$AE$1,LOOKUP(O150,예상등급!$AE$5:$AE$13,예상등급!$AF$5:$AF$13),IF(N150=예상등급!$AH$1,LOOKUP(O150,예상등급!$AH$5:$AH$13,예상등급!$AI$5:$AI$13),IF(N150=예상등급!$AK$1,LOOKUP(O150,예상등급!$AK$5:$AK$13,예상등급!$AL$5:$AL$13),IF(N150=예상등급!$AN$1,LOOKUP(O150,예상등급!$AN$5:$AN$13,예상등급!$AO$5:$AO$13),IF(N150=예상등급!$AQ$1,LOOKUP(O150,예상등급!$AQ$5:$AQ$13,예상등급!$AR$5:$AR$13),IF(N150=예상등급!$AH$15,LOOKUP(O150,예상등급!$AH$19:$AH$27,예상등급!$AI$19:$AI$27),IF(N150=예상등급!$AK$15,LOOKUP(O150,예상등급!$AK$19:$AK$27,예상등급!$AL$19:$AL$27),IF(N150=예상등급!$AN$15,LOOKUP(O150,예상등급!$AN$19:$AN$27,예상등급!$AO$19:$AO$27),IF(N150=예상등급!$AQ$15,LOOKUP(O150,예상등급!$AQ$19:$AQ$27,예상등급!$AR$19:$AR$27),"")))))))))))))))))</f>
        <v>4</v>
      </c>
      <c r="Q150" s="110" t="s">
        <v>762</v>
      </c>
      <c r="R150" s="71">
        <v>13</v>
      </c>
      <c r="S150" s="385">
        <f>IF(Q150=예상등급!$G$1,LOOKUP(R150,예상등급!$G$5:$G$13,예상등급!$H$5:$H$13),IF(Q150=예상등급!$J$1,LOOKUP(R150,예상등급!$J$5:$J$13,예상등급!$K$5:$K$13),IF(Q150=예상등급!$M$1,LOOKUP(R150,예상등급!$M$5:$M$13,예상등급!$N$5:$N$13),IF(Q150=예상등급!$P$1,LOOKUP(R150,예상등급!$P$5:$P$13,예상등급!$Q$5:$Q$13),IF(Q150=예상등급!$S$1,LOOKUP(R150,예상등급!$S$5:$S$13,예상등급!$T$5:$T$13),IF(Q150=예상등급!$V$1,LOOKUP(R150,예상등급!$V$5:$V$13,예상등급!$W$5:$W$13),IF(Q150=예상등급!$Y$1,LOOKUP(R150,예상등급!$Y$5:$Y$13,예상등급!$Z$5:$Z$13),IF(Q150=예상등급!$AB$1,LOOKUP(R150,예상등급!$AB$5:$AB$13,예상등급!$AC$5:$AC$13),IF(Q150=예상등급!$AE$1,LOOKUP(R150,예상등급!$AE$5:$AE$13,예상등급!$AF$5:$AF$13),IF(Q150=예상등급!$AH$1,LOOKUP(R150,예상등급!$AH$5:$AH$13,예상등급!$AI$5:$AI$13),IF(Q150=예상등급!$AK$1,LOOKUP(R150,예상등급!$AK$5:$AK$13,예상등급!$AL$5:$AL$13),IF(Q150=예상등급!$AN$1,LOOKUP(R150,예상등급!$AN$5:$AN$13,예상등급!$AO$5:$AO$13),IF(Q150=예상등급!$AQ$1,LOOKUP(R150,예상등급!$AQ$5:$AQ$13,예상등급!$AR$5:$AR$13),IF(Q150=예상등급!$AH$15,LOOKUP(R150,예상등급!$AH$19:$AH$27,예상등급!$AI$19:$AI$27),IF(Q150=예상등급!$AK$15,LOOKUP(R150,예상등급!$AK$19:$AK$27,예상등급!$AL$19:$AL$27),IF(Q150=예상등급!$AN$15,LOOKUP(R150,예상등급!$AN$19:$AN$27,예상등급!$AO$19:$AO$27),IF(Q150=예상등급!$AQ$15,LOOKUP(R150,예상등급!$AQ$19:$AQ$27,예상등급!$AR$19:$AR$27),"")))))))))))))))))</f>
        <v>6</v>
      </c>
      <c r="T150" s="110">
        <v>28</v>
      </c>
      <c r="U150" s="382">
        <f>IF(T150="","",LOOKUP(T150,예상등급!$D$19:$D$27,예상등급!$E$19:$E$27))</f>
        <v>4</v>
      </c>
      <c r="V150" s="402">
        <f>SUM(L150,T150,R150,O150)</f>
        <v>206</v>
      </c>
      <c r="W150" s="278">
        <f>RANK(V150,$V$4:$V$491)</f>
        <v>146</v>
      </c>
    </row>
    <row r="151" spans="1:28" s="7" customFormat="1" ht="24.95" customHeight="1" x14ac:dyDescent="0.15">
      <c r="A151" s="110">
        <v>1</v>
      </c>
      <c r="B151" s="71">
        <v>13</v>
      </c>
      <c r="C151" s="100" t="s">
        <v>809</v>
      </c>
      <c r="D151" s="110" t="s">
        <v>779</v>
      </c>
      <c r="E151" s="71">
        <v>58</v>
      </c>
      <c r="F151" s="382">
        <f>IF(D151=예상등급!$A$1,LOOKUP(E151,예상등급!$A$5:$A$13,예상등급!$B$5:$B$13),IF(D151=예상등급!$A$15,LOOKUP(E151,예상등급!$A$19:$A$27,예상등급!$B$19:$B$27),""))</f>
        <v>4</v>
      </c>
      <c r="G151" s="110" t="s">
        <v>780</v>
      </c>
      <c r="H151" s="71">
        <v>20</v>
      </c>
      <c r="I151" s="382">
        <f>IF(G151=예상등급!$G$15,LOOKUP(H151,예상등급!$G$19:$G$27,예상등급!$H$19:$H$27),IF(G151=예상등급!$J$15,LOOKUP(H151,예상등급!$J$19:$J$27,예상등급!$K$19:$K$27),IF(G151=예상등급!$M$15,LOOKUP(H151,예상등급!$M$19:$M$27,예상등급!$N$19:$N$27),"")))</f>
        <v>7</v>
      </c>
      <c r="J151" s="110">
        <v>64</v>
      </c>
      <c r="K151" s="382">
        <f>IF(J151="","",(LOOKUP(J151,예상등급!$D$5:$D$13,예상등급!$E$5:$E$13)))</f>
        <v>4</v>
      </c>
      <c r="L151" s="301">
        <f>SUM(E151,H151,J151)</f>
        <v>142</v>
      </c>
      <c r="M151" s="398">
        <f>RANK(L151,$L$4:$L$491)</f>
        <v>147</v>
      </c>
      <c r="N151" s="110" t="s">
        <v>765</v>
      </c>
      <c r="O151" s="71">
        <v>30</v>
      </c>
      <c r="P151" s="385">
        <f>IF(N151=예상등급!$G$1,LOOKUP(O151,예상등급!$G$5:$G$13,예상등급!$H$5:$H$13),IF(N151=예상등급!$J$1,LOOKUP(O151,예상등급!$J$5:$J$13,예상등급!$K$5:$K$13),IF(N151=예상등급!$M$1,LOOKUP(O151,예상등급!$M$5:$M$13,예상등급!$N$5:$N$13),IF(N151=예상등급!$P$1,LOOKUP(O151,예상등급!$P$5:$P$13,예상등급!$Q$5:$Q$13),IF(N151=예상등급!$S$1,LOOKUP(O151,예상등급!$S$5:$S$13,예상등급!$T$5:$T$13),IF(N151=예상등급!$V$1,LOOKUP(O151,예상등급!$V$5:$V$13,예상등급!$W$5:$W$13),IF(N151=예상등급!$Y$1,LOOKUP(O151,예상등급!$Y$5:$Y$13,예상등급!$Z$5:$Z$13),IF(N151=예상등급!$AB$1,LOOKUP(O151,예상등급!$AB$5:$AB$13,예상등급!$AC$5:$AC$13),IF(N151=예상등급!$AE$1,LOOKUP(O151,예상등급!$AE$5:$AE$13,예상등급!$AF$5:$AF$13),IF(N151=예상등급!$AH$1,LOOKUP(O151,예상등급!$AH$5:$AH$13,예상등급!$AI$5:$AI$13),IF(N151=예상등급!$AK$1,LOOKUP(O151,예상등급!$AK$5:$AK$13,예상등급!$AL$5:$AL$13),IF(N151=예상등급!$AN$1,LOOKUP(O151,예상등급!$AN$5:$AN$13,예상등급!$AO$5:$AO$13),IF(N151=예상등급!$AQ$1,LOOKUP(O151,예상등급!$AQ$5:$AQ$13,예상등급!$AR$5:$AR$13),IF(N151=예상등급!$AH$15,LOOKUP(O151,예상등급!$AH$19:$AH$27,예상등급!$AI$19:$AI$27),IF(N151=예상등급!$AK$15,LOOKUP(O151,예상등급!$AK$19:$AK$27,예상등급!$AL$19:$AL$27),IF(N151=예상등급!$AN$15,LOOKUP(O151,예상등급!$AN$19:$AN$27,예상등급!$AO$19:$AO$27),IF(N151=예상등급!$AQ$15,LOOKUP(O151,예상등급!$AQ$19:$AQ$27,예상등급!$AR$19:$AR$27),"")))))))))))))))))</f>
        <v>3</v>
      </c>
      <c r="Q151" s="110" t="s">
        <v>762</v>
      </c>
      <c r="R151" s="71">
        <v>12</v>
      </c>
      <c r="S151" s="385">
        <f>IF(Q151=예상등급!$G$1,LOOKUP(R151,예상등급!$G$5:$G$13,예상등급!$H$5:$H$13),IF(Q151=예상등급!$J$1,LOOKUP(R151,예상등급!$J$5:$J$13,예상등급!$K$5:$K$13),IF(Q151=예상등급!$M$1,LOOKUP(R151,예상등급!$M$5:$M$13,예상등급!$N$5:$N$13),IF(Q151=예상등급!$P$1,LOOKUP(R151,예상등급!$P$5:$P$13,예상등급!$Q$5:$Q$13),IF(Q151=예상등급!$S$1,LOOKUP(R151,예상등급!$S$5:$S$13,예상등급!$T$5:$T$13),IF(Q151=예상등급!$V$1,LOOKUP(R151,예상등급!$V$5:$V$13,예상등급!$W$5:$W$13),IF(Q151=예상등급!$Y$1,LOOKUP(R151,예상등급!$Y$5:$Y$13,예상등급!$Z$5:$Z$13),IF(Q151=예상등급!$AB$1,LOOKUP(R151,예상등급!$AB$5:$AB$13,예상등급!$AC$5:$AC$13),IF(Q151=예상등급!$AE$1,LOOKUP(R151,예상등급!$AE$5:$AE$13,예상등급!$AF$5:$AF$13),IF(Q151=예상등급!$AH$1,LOOKUP(R151,예상등급!$AH$5:$AH$13,예상등급!$AI$5:$AI$13),IF(Q151=예상등급!$AK$1,LOOKUP(R151,예상등급!$AK$5:$AK$13,예상등급!$AL$5:$AL$13),IF(Q151=예상등급!$AN$1,LOOKUP(R151,예상등급!$AN$5:$AN$13,예상등급!$AO$5:$AO$13),IF(Q151=예상등급!$AQ$1,LOOKUP(R151,예상등급!$AQ$5:$AQ$13,예상등급!$AR$5:$AR$13),IF(Q151=예상등급!$AH$15,LOOKUP(R151,예상등급!$AH$19:$AH$27,예상등급!$AI$19:$AI$27),IF(Q151=예상등급!$AK$15,LOOKUP(R151,예상등급!$AK$19:$AK$27,예상등급!$AL$19:$AL$27),IF(Q151=예상등급!$AN$15,LOOKUP(R151,예상등급!$AN$19:$AN$27,예상등급!$AO$19:$AO$27),IF(Q151=예상등급!$AQ$15,LOOKUP(R151,예상등급!$AQ$19:$AQ$27,예상등급!$AR$19:$AR$27),"")))))))))))))))))</f>
        <v>7</v>
      </c>
      <c r="T151" s="110">
        <v>17</v>
      </c>
      <c r="U151" s="382">
        <f>IF(T151="","",LOOKUP(T151,예상등급!$D$19:$D$27,예상등급!$E$19:$E$27))</f>
        <v>6</v>
      </c>
      <c r="V151" s="402">
        <f>SUM(L151,T151,R151,O151)</f>
        <v>201</v>
      </c>
      <c r="W151" s="278">
        <f>RANK(V151,$V$4:$V$491)</f>
        <v>148</v>
      </c>
    </row>
    <row r="152" spans="1:28" s="7" customFormat="1" ht="24.95" customHeight="1" x14ac:dyDescent="0.15">
      <c r="A152" s="110">
        <v>10</v>
      </c>
      <c r="B152" s="71">
        <v>9</v>
      </c>
      <c r="C152" s="100" t="s">
        <v>992</v>
      </c>
      <c r="D152" s="110" t="s">
        <v>779</v>
      </c>
      <c r="E152" s="71">
        <v>50</v>
      </c>
      <c r="F152" s="382">
        <f>IF(D152=예상등급!$A$1,LOOKUP(E152,예상등급!$A$5:$A$13,예상등급!$B$5:$B$13),IF(D152=예상등급!$A$15,LOOKUP(E152,예상등급!$A$19:$A$27,예상등급!$B$19:$B$27),""))</f>
        <v>5</v>
      </c>
      <c r="G152" s="110" t="s">
        <v>780</v>
      </c>
      <c r="H152" s="71">
        <v>21</v>
      </c>
      <c r="I152" s="382">
        <f>IF(G152=예상등급!$G$15,LOOKUP(H152,예상등급!$G$19:$G$27,예상등급!$H$19:$H$27),IF(G152=예상등급!$J$15,LOOKUP(H152,예상등급!$J$19:$J$27,예상등급!$K$19:$K$27),IF(G152=예상등급!$M$15,LOOKUP(H152,예상등급!$M$19:$M$27,예상등급!$N$19:$N$27),"")))</f>
        <v>7</v>
      </c>
      <c r="J152" s="110">
        <v>71</v>
      </c>
      <c r="K152" s="382">
        <f>IF(J152="","",(LOOKUP(J152,예상등급!$D$5:$D$13,예상등급!$E$5:$E$13)))</f>
        <v>3</v>
      </c>
      <c r="L152" s="301">
        <f>SUM(E152,H152,J152)</f>
        <v>142</v>
      </c>
      <c r="M152" s="398">
        <f>RANK(L152,$L$4:$L$491)</f>
        <v>147</v>
      </c>
      <c r="N152" s="110" t="s">
        <v>761</v>
      </c>
      <c r="O152" s="71">
        <v>20</v>
      </c>
      <c r="P152" s="385">
        <f>IF(N152=예상등급!$G$1,LOOKUP(O152,예상등급!$G$5:$G$13,예상등급!$H$5:$H$13),IF(N152=예상등급!$J$1,LOOKUP(O152,예상등급!$J$5:$J$13,예상등급!$K$5:$K$13),IF(N152=예상등급!$M$1,LOOKUP(O152,예상등급!$M$5:$M$13,예상등급!$N$5:$N$13),IF(N152=예상등급!$P$1,LOOKUP(O152,예상등급!$P$5:$P$13,예상등급!$Q$5:$Q$13),IF(N152=예상등급!$S$1,LOOKUP(O152,예상등급!$S$5:$S$13,예상등급!$T$5:$T$13),IF(N152=예상등급!$V$1,LOOKUP(O152,예상등급!$V$5:$V$13,예상등급!$W$5:$W$13),IF(N152=예상등급!$Y$1,LOOKUP(O152,예상등급!$Y$5:$Y$13,예상등급!$Z$5:$Z$13),IF(N152=예상등급!$AB$1,LOOKUP(O152,예상등급!$AB$5:$AB$13,예상등급!$AC$5:$AC$13),IF(N152=예상등급!$AE$1,LOOKUP(O152,예상등급!$AE$5:$AE$13,예상등급!$AF$5:$AF$13),IF(N152=예상등급!$AH$1,LOOKUP(O152,예상등급!$AH$5:$AH$13,예상등급!$AI$5:$AI$13),IF(N152=예상등급!$AK$1,LOOKUP(O152,예상등급!$AK$5:$AK$13,예상등급!$AL$5:$AL$13),IF(N152=예상등급!$AN$1,LOOKUP(O152,예상등급!$AN$5:$AN$13,예상등급!$AO$5:$AO$13),IF(N152=예상등급!$AQ$1,LOOKUP(O152,예상등급!$AQ$5:$AQ$13,예상등급!$AR$5:$AR$13),IF(N152=예상등급!$AH$15,LOOKUP(O152,예상등급!$AH$19:$AH$27,예상등급!$AI$19:$AI$27),IF(N152=예상등급!$AK$15,LOOKUP(O152,예상등급!$AK$19:$AK$27,예상등급!$AL$19:$AL$27),IF(N152=예상등급!$AN$15,LOOKUP(O152,예상등급!$AN$19:$AN$27,예상등급!$AO$19:$AO$27),IF(N152=예상등급!$AQ$15,LOOKUP(O152,예상등급!$AQ$19:$AQ$27,예상등급!$AR$19:$AR$27),"")))))))))))))))))</f>
        <v>5</v>
      </c>
      <c r="Q152" s="110" t="s">
        <v>772</v>
      </c>
      <c r="R152" s="71">
        <v>20</v>
      </c>
      <c r="S152" s="385">
        <f>IF(Q152=예상등급!$G$1,LOOKUP(R152,예상등급!$G$5:$G$13,예상등급!$H$5:$H$13),IF(Q152=예상등급!$J$1,LOOKUP(R152,예상등급!$J$5:$J$13,예상등급!$K$5:$K$13),IF(Q152=예상등급!$M$1,LOOKUP(R152,예상등급!$M$5:$M$13,예상등급!$N$5:$N$13),IF(Q152=예상등급!$P$1,LOOKUP(R152,예상등급!$P$5:$P$13,예상등급!$Q$5:$Q$13),IF(Q152=예상등급!$S$1,LOOKUP(R152,예상등급!$S$5:$S$13,예상등급!$T$5:$T$13),IF(Q152=예상등급!$V$1,LOOKUP(R152,예상등급!$V$5:$V$13,예상등급!$W$5:$W$13),IF(Q152=예상등급!$Y$1,LOOKUP(R152,예상등급!$Y$5:$Y$13,예상등급!$Z$5:$Z$13),IF(Q152=예상등급!$AB$1,LOOKUP(R152,예상등급!$AB$5:$AB$13,예상등급!$AC$5:$AC$13),IF(Q152=예상등급!$AE$1,LOOKUP(R152,예상등급!$AE$5:$AE$13,예상등급!$AF$5:$AF$13),IF(Q152=예상등급!$AH$1,LOOKUP(R152,예상등급!$AH$5:$AH$13,예상등급!$AI$5:$AI$13),IF(Q152=예상등급!$AK$1,LOOKUP(R152,예상등급!$AK$5:$AK$13,예상등급!$AL$5:$AL$13),IF(Q152=예상등급!$AN$1,LOOKUP(R152,예상등급!$AN$5:$AN$13,예상등급!$AO$5:$AO$13),IF(Q152=예상등급!$AQ$1,LOOKUP(R152,예상등급!$AQ$5:$AQ$13,예상등급!$AR$5:$AR$13),IF(Q152=예상등급!$AH$15,LOOKUP(R152,예상등급!$AH$19:$AH$27,예상등급!$AI$19:$AI$27),IF(Q152=예상등급!$AK$15,LOOKUP(R152,예상등급!$AK$19:$AK$27,예상등급!$AL$19:$AL$27),IF(Q152=예상등급!$AN$15,LOOKUP(R152,예상등급!$AN$19:$AN$27,예상등급!$AO$19:$AO$27),IF(Q152=예상등급!$AQ$15,LOOKUP(R152,예상등급!$AQ$19:$AQ$27,예상등급!$AR$19:$AR$27),"")))))))))))))))))</f>
        <v>4</v>
      </c>
      <c r="T152" s="110">
        <v>18</v>
      </c>
      <c r="U152" s="382">
        <f>IF(T152="","",LOOKUP(T152,예상등급!$D$19:$D$27,예상등급!$E$19:$E$27))</f>
        <v>6</v>
      </c>
      <c r="V152" s="402">
        <f>SUM(L152,T152,R152,O152)</f>
        <v>200</v>
      </c>
      <c r="W152" s="278">
        <f>RANK(V152,$V$4:$V$491)</f>
        <v>149</v>
      </c>
    </row>
    <row r="153" spans="1:28" s="7" customFormat="1" ht="24.95" customHeight="1" x14ac:dyDescent="0.15">
      <c r="A153" s="110">
        <v>5</v>
      </c>
      <c r="B153" s="71">
        <v>13</v>
      </c>
      <c r="C153" s="100" t="s">
        <v>884</v>
      </c>
      <c r="D153" s="110" t="s">
        <v>779</v>
      </c>
      <c r="E153" s="71">
        <v>30</v>
      </c>
      <c r="F153" s="382">
        <f>IF(D153=예상등급!$A$1,LOOKUP(E153,예상등급!$A$5:$A$13,예상등급!$B$5:$B$13),IF(D153=예상등급!$A$15,LOOKUP(E153,예상등급!$A$19:$A$27,예상등급!$B$19:$B$27),""))</f>
        <v>6</v>
      </c>
      <c r="G153" s="110" t="s">
        <v>780</v>
      </c>
      <c r="H153" s="71">
        <v>42</v>
      </c>
      <c r="I153" s="382">
        <f>IF(G153=예상등급!$G$15,LOOKUP(H153,예상등급!$G$19:$G$27,예상등급!$H$19:$H$27),IF(G153=예상등급!$J$15,LOOKUP(H153,예상등급!$J$19:$J$27,예상등급!$K$19:$K$27),IF(G153=예상등급!$M$15,LOOKUP(H153,예상등급!$M$19:$M$27,예상등급!$N$19:$N$27),"")))</f>
        <v>5</v>
      </c>
      <c r="J153" s="110">
        <v>66</v>
      </c>
      <c r="K153" s="382">
        <f>IF(J153="","",(LOOKUP(J153,예상등급!$D$5:$D$13,예상등급!$E$5:$E$13)))</f>
        <v>4</v>
      </c>
      <c r="L153" s="301">
        <f>SUM(E153,H153,J153)</f>
        <v>138</v>
      </c>
      <c r="M153" s="398">
        <f>RANK(L153,$L$4:$L$491)</f>
        <v>153</v>
      </c>
      <c r="N153" s="110" t="s">
        <v>761</v>
      </c>
      <c r="O153" s="71">
        <v>22</v>
      </c>
      <c r="P153" s="385">
        <f>IF(N153=예상등급!$G$1,LOOKUP(O153,예상등급!$G$5:$G$13,예상등급!$H$5:$H$13),IF(N153=예상등급!$J$1,LOOKUP(O153,예상등급!$J$5:$J$13,예상등급!$K$5:$K$13),IF(N153=예상등급!$M$1,LOOKUP(O153,예상등급!$M$5:$M$13,예상등급!$N$5:$N$13),IF(N153=예상등급!$P$1,LOOKUP(O153,예상등급!$P$5:$P$13,예상등급!$Q$5:$Q$13),IF(N153=예상등급!$S$1,LOOKUP(O153,예상등급!$S$5:$S$13,예상등급!$T$5:$T$13),IF(N153=예상등급!$V$1,LOOKUP(O153,예상등급!$V$5:$V$13,예상등급!$W$5:$W$13),IF(N153=예상등급!$Y$1,LOOKUP(O153,예상등급!$Y$5:$Y$13,예상등급!$Z$5:$Z$13),IF(N153=예상등급!$AB$1,LOOKUP(O153,예상등급!$AB$5:$AB$13,예상등급!$AC$5:$AC$13),IF(N153=예상등급!$AE$1,LOOKUP(O153,예상등급!$AE$5:$AE$13,예상등급!$AF$5:$AF$13),IF(N153=예상등급!$AH$1,LOOKUP(O153,예상등급!$AH$5:$AH$13,예상등급!$AI$5:$AI$13),IF(N153=예상등급!$AK$1,LOOKUP(O153,예상등급!$AK$5:$AK$13,예상등급!$AL$5:$AL$13),IF(N153=예상등급!$AN$1,LOOKUP(O153,예상등급!$AN$5:$AN$13,예상등급!$AO$5:$AO$13),IF(N153=예상등급!$AQ$1,LOOKUP(O153,예상등급!$AQ$5:$AQ$13,예상등급!$AR$5:$AR$13),IF(N153=예상등급!$AH$15,LOOKUP(O153,예상등급!$AH$19:$AH$27,예상등급!$AI$19:$AI$27),IF(N153=예상등급!$AK$15,LOOKUP(O153,예상등급!$AK$19:$AK$27,예상등급!$AL$19:$AL$27),IF(N153=예상등급!$AN$15,LOOKUP(O153,예상등급!$AN$19:$AN$27,예상등급!$AO$19:$AO$27),IF(N153=예상등급!$AQ$15,LOOKUP(O153,예상등급!$AQ$19:$AQ$27,예상등급!$AR$19:$AR$27),"")))))))))))))))))</f>
        <v>5</v>
      </c>
      <c r="Q153" s="110" t="s">
        <v>762</v>
      </c>
      <c r="R153" s="71">
        <v>19</v>
      </c>
      <c r="S153" s="385">
        <f>IF(Q153=예상등급!$G$1,LOOKUP(R153,예상등급!$G$5:$G$13,예상등급!$H$5:$H$13),IF(Q153=예상등급!$J$1,LOOKUP(R153,예상등급!$J$5:$J$13,예상등급!$K$5:$K$13),IF(Q153=예상등급!$M$1,LOOKUP(R153,예상등급!$M$5:$M$13,예상등급!$N$5:$N$13),IF(Q153=예상등급!$P$1,LOOKUP(R153,예상등급!$P$5:$P$13,예상등급!$Q$5:$Q$13),IF(Q153=예상등급!$S$1,LOOKUP(R153,예상등급!$S$5:$S$13,예상등급!$T$5:$T$13),IF(Q153=예상등급!$V$1,LOOKUP(R153,예상등급!$V$5:$V$13,예상등급!$W$5:$W$13),IF(Q153=예상등급!$Y$1,LOOKUP(R153,예상등급!$Y$5:$Y$13,예상등급!$Z$5:$Z$13),IF(Q153=예상등급!$AB$1,LOOKUP(R153,예상등급!$AB$5:$AB$13,예상등급!$AC$5:$AC$13),IF(Q153=예상등급!$AE$1,LOOKUP(R153,예상등급!$AE$5:$AE$13,예상등급!$AF$5:$AF$13),IF(Q153=예상등급!$AH$1,LOOKUP(R153,예상등급!$AH$5:$AH$13,예상등급!$AI$5:$AI$13),IF(Q153=예상등급!$AK$1,LOOKUP(R153,예상등급!$AK$5:$AK$13,예상등급!$AL$5:$AL$13),IF(Q153=예상등급!$AN$1,LOOKUP(R153,예상등급!$AN$5:$AN$13,예상등급!$AO$5:$AO$13),IF(Q153=예상등급!$AQ$1,LOOKUP(R153,예상등급!$AQ$5:$AQ$13,예상등급!$AR$5:$AR$13),IF(Q153=예상등급!$AH$15,LOOKUP(R153,예상등급!$AH$19:$AH$27,예상등급!$AI$19:$AI$27),IF(Q153=예상등급!$AK$15,LOOKUP(R153,예상등급!$AK$19:$AK$27,예상등급!$AL$19:$AL$27),IF(Q153=예상등급!$AN$15,LOOKUP(R153,예상등급!$AN$19:$AN$27,예상등급!$AO$19:$AO$27),IF(Q153=예상등급!$AQ$15,LOOKUP(R153,예상등급!$AQ$19:$AQ$27,예상등급!$AR$19:$AR$27),"")))))))))))))))))</f>
        <v>5</v>
      </c>
      <c r="T153" s="110">
        <v>19</v>
      </c>
      <c r="U153" s="382">
        <f>IF(T153="","",LOOKUP(T153,예상등급!$D$19:$D$27,예상등급!$E$19:$E$27))</f>
        <v>6</v>
      </c>
      <c r="V153" s="402">
        <f>SUM(L153,T153,R153,O153)</f>
        <v>198</v>
      </c>
      <c r="W153" s="278">
        <f>RANK(V153,$V$4:$V$491)</f>
        <v>150</v>
      </c>
    </row>
    <row r="154" spans="1:28" ht="24.95" customHeight="1" x14ac:dyDescent="0.15">
      <c r="A154" s="110">
        <v>8</v>
      </c>
      <c r="B154" s="71">
        <v>14</v>
      </c>
      <c r="C154" s="100" t="s">
        <v>948</v>
      </c>
      <c r="D154" s="110" t="s">
        <v>779</v>
      </c>
      <c r="E154" s="71">
        <v>59</v>
      </c>
      <c r="F154" s="382">
        <f>IF(D154=예상등급!$A$1,LOOKUP(E154,예상등급!$A$5:$A$13,예상등급!$B$5:$B$13),IF(D154=예상등급!$A$15,LOOKUP(E154,예상등급!$A$19:$A$27,예상등급!$B$19:$B$27),""))</f>
        <v>4</v>
      </c>
      <c r="G154" s="110" t="s">
        <v>780</v>
      </c>
      <c r="H154" s="71">
        <v>20</v>
      </c>
      <c r="I154" s="382">
        <f>IF(G154=예상등급!$G$15,LOOKUP(H154,예상등급!$G$19:$G$27,예상등급!$H$19:$H$27),IF(G154=예상등급!$J$15,LOOKUP(H154,예상등급!$J$19:$J$27,예상등급!$K$19:$K$27),IF(G154=예상등급!$M$15,LOOKUP(H154,예상등급!$M$19:$M$27,예상등급!$N$19:$N$27),"")))</f>
        <v>7</v>
      </c>
      <c r="J154" s="110">
        <v>66</v>
      </c>
      <c r="K154" s="382">
        <f>IF(J154="","",(LOOKUP(J154,예상등급!$D$5:$D$13,예상등급!$E$5:$E$13)))</f>
        <v>4</v>
      </c>
      <c r="L154" s="301">
        <f>SUM(E154,H154,J154)</f>
        <v>145</v>
      </c>
      <c r="M154" s="398">
        <f>RANK(L154,$L$4:$L$491)</f>
        <v>141</v>
      </c>
      <c r="N154" s="110" t="s">
        <v>767</v>
      </c>
      <c r="O154" s="71">
        <v>11</v>
      </c>
      <c r="P154" s="385">
        <f>IF(N154=예상등급!$G$1,LOOKUP(O154,예상등급!$G$5:$G$13,예상등급!$H$5:$H$13),IF(N154=예상등급!$J$1,LOOKUP(O154,예상등급!$J$5:$J$13,예상등급!$K$5:$K$13),IF(N154=예상등급!$M$1,LOOKUP(O154,예상등급!$M$5:$M$13,예상등급!$N$5:$N$13),IF(N154=예상등급!$P$1,LOOKUP(O154,예상등급!$P$5:$P$13,예상등급!$Q$5:$Q$13),IF(N154=예상등급!$S$1,LOOKUP(O154,예상등급!$S$5:$S$13,예상등급!$T$5:$T$13),IF(N154=예상등급!$V$1,LOOKUP(O154,예상등급!$V$5:$V$13,예상등급!$W$5:$W$13),IF(N154=예상등급!$Y$1,LOOKUP(O154,예상등급!$Y$5:$Y$13,예상등급!$Z$5:$Z$13),IF(N154=예상등급!$AB$1,LOOKUP(O154,예상등급!$AB$5:$AB$13,예상등급!$AC$5:$AC$13),IF(N154=예상등급!$AE$1,LOOKUP(O154,예상등급!$AE$5:$AE$13,예상등급!$AF$5:$AF$13),IF(N154=예상등급!$AH$1,LOOKUP(O154,예상등급!$AH$5:$AH$13,예상등급!$AI$5:$AI$13),IF(N154=예상등급!$AK$1,LOOKUP(O154,예상등급!$AK$5:$AK$13,예상등급!$AL$5:$AL$13),IF(N154=예상등급!$AN$1,LOOKUP(O154,예상등급!$AN$5:$AN$13,예상등급!$AO$5:$AO$13),IF(N154=예상등급!$AQ$1,LOOKUP(O154,예상등급!$AQ$5:$AQ$13,예상등급!$AR$5:$AR$13),IF(N154=예상등급!$AH$15,LOOKUP(O154,예상등급!$AH$19:$AH$27,예상등급!$AI$19:$AI$27),IF(N154=예상등급!$AK$15,LOOKUP(O154,예상등급!$AK$19:$AK$27,예상등급!$AL$19:$AL$27),IF(N154=예상등급!$AN$15,LOOKUP(O154,예상등급!$AN$19:$AN$27,예상등급!$AO$19:$AO$27),IF(N154=예상등급!$AQ$15,LOOKUP(O154,예상등급!$AQ$19:$AQ$27,예상등급!$AR$19:$AR$27),"")))))))))))))))))</f>
        <v>7</v>
      </c>
      <c r="Q154" s="110" t="s">
        <v>772</v>
      </c>
      <c r="R154" s="71">
        <v>17</v>
      </c>
      <c r="S154" s="385">
        <f>IF(Q154=예상등급!$G$1,LOOKUP(R154,예상등급!$G$5:$G$13,예상등급!$H$5:$H$13),IF(Q154=예상등급!$J$1,LOOKUP(R154,예상등급!$J$5:$J$13,예상등급!$K$5:$K$13),IF(Q154=예상등급!$M$1,LOOKUP(R154,예상등급!$M$5:$M$13,예상등급!$N$5:$N$13),IF(Q154=예상등급!$P$1,LOOKUP(R154,예상등급!$P$5:$P$13,예상등급!$Q$5:$Q$13),IF(Q154=예상등급!$S$1,LOOKUP(R154,예상등급!$S$5:$S$13,예상등급!$T$5:$T$13),IF(Q154=예상등급!$V$1,LOOKUP(R154,예상등급!$V$5:$V$13,예상등급!$W$5:$W$13),IF(Q154=예상등급!$Y$1,LOOKUP(R154,예상등급!$Y$5:$Y$13,예상등급!$Z$5:$Z$13),IF(Q154=예상등급!$AB$1,LOOKUP(R154,예상등급!$AB$5:$AB$13,예상등급!$AC$5:$AC$13),IF(Q154=예상등급!$AE$1,LOOKUP(R154,예상등급!$AE$5:$AE$13,예상등급!$AF$5:$AF$13),IF(Q154=예상등급!$AH$1,LOOKUP(R154,예상등급!$AH$5:$AH$13,예상등급!$AI$5:$AI$13),IF(Q154=예상등급!$AK$1,LOOKUP(R154,예상등급!$AK$5:$AK$13,예상등급!$AL$5:$AL$13),IF(Q154=예상등급!$AN$1,LOOKUP(R154,예상등급!$AN$5:$AN$13,예상등급!$AO$5:$AO$13),IF(Q154=예상등급!$AQ$1,LOOKUP(R154,예상등급!$AQ$5:$AQ$13,예상등급!$AR$5:$AR$13),IF(Q154=예상등급!$AH$15,LOOKUP(R154,예상등급!$AH$19:$AH$27,예상등급!$AI$19:$AI$27),IF(Q154=예상등급!$AK$15,LOOKUP(R154,예상등급!$AK$19:$AK$27,예상등급!$AL$19:$AL$27),IF(Q154=예상등급!$AN$15,LOOKUP(R154,예상등급!$AN$19:$AN$27,예상등급!$AO$19:$AO$27),IF(Q154=예상등급!$AQ$15,LOOKUP(R154,예상등급!$AQ$19:$AQ$27,예상등급!$AR$19:$AR$27),"")))))))))))))))))</f>
        <v>5</v>
      </c>
      <c r="T154" s="110">
        <v>25</v>
      </c>
      <c r="U154" s="382">
        <f>IF(T154="","",LOOKUP(T154,예상등급!$D$19:$D$27,예상등급!$E$19:$E$27))</f>
        <v>4</v>
      </c>
      <c r="V154" s="402">
        <f>SUM(L154,T154,R154,O154)</f>
        <v>198</v>
      </c>
      <c r="W154" s="278">
        <f>RANK(V154,$V$4:$V$491)</f>
        <v>150</v>
      </c>
      <c r="X154" s="7"/>
      <c r="Y154" s="7"/>
      <c r="Z154" s="7"/>
      <c r="AA154" s="7"/>
      <c r="AB154" s="7"/>
    </row>
    <row r="155" spans="1:28" ht="24.95" customHeight="1" x14ac:dyDescent="0.15">
      <c r="A155" s="110">
        <v>10</v>
      </c>
      <c r="B155" s="71">
        <v>3</v>
      </c>
      <c r="C155" s="100" t="s">
        <v>987</v>
      </c>
      <c r="D155" s="110" t="s">
        <v>779</v>
      </c>
      <c r="E155" s="71">
        <v>57</v>
      </c>
      <c r="F155" s="382">
        <f>IF(D155=예상등급!$A$1,LOOKUP(E155,예상등급!$A$5:$A$13,예상등급!$B$5:$B$13),IF(D155=예상등급!$A$15,LOOKUP(E155,예상등급!$A$19:$A$27,예상등급!$B$19:$B$27),""))</f>
        <v>4</v>
      </c>
      <c r="G155" s="110" t="s">
        <v>780</v>
      </c>
      <c r="H155" s="71">
        <v>11</v>
      </c>
      <c r="I155" s="382">
        <f>IF(G155=예상등급!$G$15,LOOKUP(H155,예상등급!$G$19:$G$27,예상등급!$H$19:$H$27),IF(G155=예상등급!$J$15,LOOKUP(H155,예상등급!$J$19:$J$27,예상등급!$K$19:$K$27),IF(G155=예상등급!$M$15,LOOKUP(H155,예상등급!$M$19:$M$27,예상등급!$N$19:$N$27),"")))</f>
        <v>9</v>
      </c>
      <c r="J155" s="110">
        <v>61</v>
      </c>
      <c r="K155" s="382">
        <f>IF(J155="","",(LOOKUP(J155,예상등급!$D$5:$D$13,예상등급!$E$5:$E$13)))</f>
        <v>4</v>
      </c>
      <c r="L155" s="301">
        <f>SUM(E155,H155,J155)</f>
        <v>129</v>
      </c>
      <c r="M155" s="398">
        <f>RANK(L155,$L$4:$L$491)</f>
        <v>163</v>
      </c>
      <c r="N155" s="110" t="s">
        <v>762</v>
      </c>
      <c r="O155" s="71">
        <v>32</v>
      </c>
      <c r="P155" s="385">
        <f>IF(N155=예상등급!$G$1,LOOKUP(O155,예상등급!$G$5:$G$13,예상등급!$H$5:$H$13),IF(N155=예상등급!$J$1,LOOKUP(O155,예상등급!$J$5:$J$13,예상등급!$K$5:$K$13),IF(N155=예상등급!$M$1,LOOKUP(O155,예상등급!$M$5:$M$13,예상등급!$N$5:$N$13),IF(N155=예상등급!$P$1,LOOKUP(O155,예상등급!$P$5:$P$13,예상등급!$Q$5:$Q$13),IF(N155=예상등급!$S$1,LOOKUP(O155,예상등급!$S$5:$S$13,예상등급!$T$5:$T$13),IF(N155=예상등급!$V$1,LOOKUP(O155,예상등급!$V$5:$V$13,예상등급!$W$5:$W$13),IF(N155=예상등급!$Y$1,LOOKUP(O155,예상등급!$Y$5:$Y$13,예상등급!$Z$5:$Z$13),IF(N155=예상등급!$AB$1,LOOKUP(O155,예상등급!$AB$5:$AB$13,예상등급!$AC$5:$AC$13),IF(N155=예상등급!$AE$1,LOOKUP(O155,예상등급!$AE$5:$AE$13,예상등급!$AF$5:$AF$13),IF(N155=예상등급!$AH$1,LOOKUP(O155,예상등급!$AH$5:$AH$13,예상등급!$AI$5:$AI$13),IF(N155=예상등급!$AK$1,LOOKUP(O155,예상등급!$AK$5:$AK$13,예상등급!$AL$5:$AL$13),IF(N155=예상등급!$AN$1,LOOKUP(O155,예상등급!$AN$5:$AN$13,예상등급!$AO$5:$AO$13),IF(N155=예상등급!$AQ$1,LOOKUP(O155,예상등급!$AQ$5:$AQ$13,예상등급!$AR$5:$AR$13),IF(N155=예상등급!$AH$15,LOOKUP(O155,예상등급!$AH$19:$AH$27,예상등급!$AI$19:$AI$27),IF(N155=예상등급!$AK$15,LOOKUP(O155,예상등급!$AK$19:$AK$27,예상등급!$AL$19:$AL$27),IF(N155=예상등급!$AN$15,LOOKUP(O155,예상등급!$AN$19:$AN$27,예상등급!$AO$19:$AO$27),IF(N155=예상등급!$AQ$15,LOOKUP(O155,예상등급!$AQ$19:$AQ$27,예상등급!$AR$19:$AR$27),"")))))))))))))))))</f>
        <v>3</v>
      </c>
      <c r="Q155" s="110" t="s">
        <v>761</v>
      </c>
      <c r="R155" s="71">
        <v>17</v>
      </c>
      <c r="S155" s="385">
        <f>IF(Q155=예상등급!$G$1,LOOKUP(R155,예상등급!$G$5:$G$13,예상등급!$H$5:$H$13),IF(Q155=예상등급!$J$1,LOOKUP(R155,예상등급!$J$5:$J$13,예상등급!$K$5:$K$13),IF(Q155=예상등급!$M$1,LOOKUP(R155,예상등급!$M$5:$M$13,예상등급!$N$5:$N$13),IF(Q155=예상등급!$P$1,LOOKUP(R155,예상등급!$P$5:$P$13,예상등급!$Q$5:$Q$13),IF(Q155=예상등급!$S$1,LOOKUP(R155,예상등급!$S$5:$S$13,예상등급!$T$5:$T$13),IF(Q155=예상등급!$V$1,LOOKUP(R155,예상등급!$V$5:$V$13,예상등급!$W$5:$W$13),IF(Q155=예상등급!$Y$1,LOOKUP(R155,예상등급!$Y$5:$Y$13,예상등급!$Z$5:$Z$13),IF(Q155=예상등급!$AB$1,LOOKUP(R155,예상등급!$AB$5:$AB$13,예상등급!$AC$5:$AC$13),IF(Q155=예상등급!$AE$1,LOOKUP(R155,예상등급!$AE$5:$AE$13,예상등급!$AF$5:$AF$13),IF(Q155=예상등급!$AH$1,LOOKUP(R155,예상등급!$AH$5:$AH$13,예상등급!$AI$5:$AI$13),IF(Q155=예상등급!$AK$1,LOOKUP(R155,예상등급!$AK$5:$AK$13,예상등급!$AL$5:$AL$13),IF(Q155=예상등급!$AN$1,LOOKUP(R155,예상등급!$AN$5:$AN$13,예상등급!$AO$5:$AO$13),IF(Q155=예상등급!$AQ$1,LOOKUP(R155,예상등급!$AQ$5:$AQ$13,예상등급!$AR$5:$AR$13),IF(Q155=예상등급!$AH$15,LOOKUP(R155,예상등급!$AH$19:$AH$27,예상등급!$AI$19:$AI$27),IF(Q155=예상등급!$AK$15,LOOKUP(R155,예상등급!$AK$19:$AK$27,예상등급!$AL$19:$AL$27),IF(Q155=예상등급!$AN$15,LOOKUP(R155,예상등급!$AN$19:$AN$27,예상등급!$AO$19:$AO$27),IF(Q155=예상등급!$AQ$15,LOOKUP(R155,예상등급!$AQ$19:$AQ$27,예상등급!$AR$19:$AR$27),"")))))))))))))))))</f>
        <v>6</v>
      </c>
      <c r="T155" s="110">
        <v>20</v>
      </c>
      <c r="U155" s="382">
        <f>IF(T155="","",LOOKUP(T155,예상등급!$D$19:$D$27,예상등급!$E$19:$E$27))</f>
        <v>5</v>
      </c>
      <c r="V155" s="402">
        <f>SUM(L155,T155,R155,O155)</f>
        <v>198</v>
      </c>
      <c r="W155" s="278">
        <f>RANK(V155,$V$4:$V$491)</f>
        <v>150</v>
      </c>
      <c r="Y155" s="7"/>
      <c r="Z155" s="7"/>
      <c r="AA155" s="7"/>
      <c r="AB155" s="7"/>
    </row>
    <row r="156" spans="1:28" ht="24.95" customHeight="1" x14ac:dyDescent="0.15">
      <c r="A156" s="110">
        <v>3</v>
      </c>
      <c r="B156" s="71">
        <v>8</v>
      </c>
      <c r="C156" s="100" t="s">
        <v>584</v>
      </c>
      <c r="D156" s="110" t="s">
        <v>779</v>
      </c>
      <c r="E156" s="71">
        <v>54</v>
      </c>
      <c r="F156" s="382">
        <f>IF(D156=예상등급!$A$1,LOOKUP(E156,예상등급!$A$5:$A$13,예상등급!$B$5:$B$13),IF(D156=예상등급!$A$15,LOOKUP(E156,예상등급!$A$19:$A$27,예상등급!$B$19:$B$27),""))</f>
        <v>4</v>
      </c>
      <c r="G156" s="110" t="s">
        <v>780</v>
      </c>
      <c r="H156" s="71">
        <v>21</v>
      </c>
      <c r="I156" s="382">
        <f>IF(G156=예상등급!$G$15,LOOKUP(H156,예상등급!$G$19:$G$27,예상등급!$H$19:$H$27),IF(G156=예상등급!$J$15,LOOKUP(H156,예상등급!$J$19:$J$27,예상등급!$K$19:$K$27),IF(G156=예상등급!$M$15,LOOKUP(H156,예상등급!$M$19:$M$27,예상등급!$N$19:$N$27),"")))</f>
        <v>7</v>
      </c>
      <c r="J156" s="110">
        <v>65</v>
      </c>
      <c r="K156" s="382">
        <f>IF(J156="","",(LOOKUP(J156,예상등급!$D$5:$D$13,예상등급!$E$5:$E$13)))</f>
        <v>4</v>
      </c>
      <c r="L156" s="301">
        <f>SUM(E156,H156,J156)</f>
        <v>140</v>
      </c>
      <c r="M156" s="398">
        <f>RANK(L156,$L$4:$L$491)</f>
        <v>150</v>
      </c>
      <c r="N156" s="110" t="s">
        <v>761</v>
      </c>
      <c r="O156" s="71">
        <v>18</v>
      </c>
      <c r="P156" s="385">
        <f>IF(N156=예상등급!$G$1,LOOKUP(O156,예상등급!$G$5:$G$13,예상등급!$H$5:$H$13),IF(N156=예상등급!$J$1,LOOKUP(O156,예상등급!$J$5:$J$13,예상등급!$K$5:$K$13),IF(N156=예상등급!$M$1,LOOKUP(O156,예상등급!$M$5:$M$13,예상등급!$N$5:$N$13),IF(N156=예상등급!$P$1,LOOKUP(O156,예상등급!$P$5:$P$13,예상등급!$Q$5:$Q$13),IF(N156=예상등급!$S$1,LOOKUP(O156,예상등급!$S$5:$S$13,예상등급!$T$5:$T$13),IF(N156=예상등급!$V$1,LOOKUP(O156,예상등급!$V$5:$V$13,예상등급!$W$5:$W$13),IF(N156=예상등급!$Y$1,LOOKUP(O156,예상등급!$Y$5:$Y$13,예상등급!$Z$5:$Z$13),IF(N156=예상등급!$AB$1,LOOKUP(O156,예상등급!$AB$5:$AB$13,예상등급!$AC$5:$AC$13),IF(N156=예상등급!$AE$1,LOOKUP(O156,예상등급!$AE$5:$AE$13,예상등급!$AF$5:$AF$13),IF(N156=예상등급!$AH$1,LOOKUP(O156,예상등급!$AH$5:$AH$13,예상등급!$AI$5:$AI$13),IF(N156=예상등급!$AK$1,LOOKUP(O156,예상등급!$AK$5:$AK$13,예상등급!$AL$5:$AL$13),IF(N156=예상등급!$AN$1,LOOKUP(O156,예상등급!$AN$5:$AN$13,예상등급!$AO$5:$AO$13),IF(N156=예상등급!$AQ$1,LOOKUP(O156,예상등급!$AQ$5:$AQ$13,예상등급!$AR$5:$AR$13),IF(N156=예상등급!$AH$15,LOOKUP(O156,예상등급!$AH$19:$AH$27,예상등급!$AI$19:$AI$27),IF(N156=예상등급!$AK$15,LOOKUP(O156,예상등급!$AK$19:$AK$27,예상등급!$AL$19:$AL$27),IF(N156=예상등급!$AN$15,LOOKUP(O156,예상등급!$AN$19:$AN$27,예상등급!$AO$19:$AO$27),IF(N156=예상등급!$AQ$15,LOOKUP(O156,예상등급!$AQ$19:$AQ$27,예상등급!$AR$19:$AR$27),"")))))))))))))))))</f>
        <v>6</v>
      </c>
      <c r="Q156" s="110" t="s">
        <v>762</v>
      </c>
      <c r="R156" s="71">
        <v>16</v>
      </c>
      <c r="S156" s="385">
        <f>IF(Q156=예상등급!$G$1,LOOKUP(R156,예상등급!$G$5:$G$13,예상등급!$H$5:$H$13),IF(Q156=예상등급!$J$1,LOOKUP(R156,예상등급!$J$5:$J$13,예상등급!$K$5:$K$13),IF(Q156=예상등급!$M$1,LOOKUP(R156,예상등급!$M$5:$M$13,예상등급!$N$5:$N$13),IF(Q156=예상등급!$P$1,LOOKUP(R156,예상등급!$P$5:$P$13,예상등급!$Q$5:$Q$13),IF(Q156=예상등급!$S$1,LOOKUP(R156,예상등급!$S$5:$S$13,예상등급!$T$5:$T$13),IF(Q156=예상등급!$V$1,LOOKUP(R156,예상등급!$V$5:$V$13,예상등급!$W$5:$W$13),IF(Q156=예상등급!$Y$1,LOOKUP(R156,예상등급!$Y$5:$Y$13,예상등급!$Z$5:$Z$13),IF(Q156=예상등급!$AB$1,LOOKUP(R156,예상등급!$AB$5:$AB$13,예상등급!$AC$5:$AC$13),IF(Q156=예상등급!$AE$1,LOOKUP(R156,예상등급!$AE$5:$AE$13,예상등급!$AF$5:$AF$13),IF(Q156=예상등급!$AH$1,LOOKUP(R156,예상등급!$AH$5:$AH$13,예상등급!$AI$5:$AI$13),IF(Q156=예상등급!$AK$1,LOOKUP(R156,예상등급!$AK$5:$AK$13,예상등급!$AL$5:$AL$13),IF(Q156=예상등급!$AN$1,LOOKUP(R156,예상등급!$AN$5:$AN$13,예상등급!$AO$5:$AO$13),IF(Q156=예상등급!$AQ$1,LOOKUP(R156,예상등급!$AQ$5:$AQ$13,예상등급!$AR$5:$AR$13),IF(Q156=예상등급!$AH$15,LOOKUP(R156,예상등급!$AH$19:$AH$27,예상등급!$AI$19:$AI$27),IF(Q156=예상등급!$AK$15,LOOKUP(R156,예상등급!$AK$19:$AK$27,예상등급!$AL$19:$AL$27),IF(Q156=예상등급!$AN$15,LOOKUP(R156,예상등급!$AN$19:$AN$27,예상등급!$AO$19:$AO$27),IF(Q156=예상등급!$AQ$15,LOOKUP(R156,예상등급!$AQ$19:$AQ$27,예상등급!$AR$19:$AR$27),"")))))))))))))))))</f>
        <v>6</v>
      </c>
      <c r="T156" s="110">
        <v>22</v>
      </c>
      <c r="U156" s="382">
        <f>IF(T156="","",LOOKUP(T156,예상등급!$D$19:$D$27,예상등급!$E$19:$E$27))</f>
        <v>5</v>
      </c>
      <c r="V156" s="402">
        <f>SUM(L156,T156,R156,O156)</f>
        <v>196</v>
      </c>
      <c r="W156" s="278">
        <f>RANK(V156,$V$4:$V$491)</f>
        <v>153</v>
      </c>
      <c r="Y156" s="7"/>
      <c r="Z156" s="7"/>
      <c r="AA156" s="7"/>
      <c r="AB156" s="7"/>
    </row>
    <row r="157" spans="1:28" ht="24.95" customHeight="1" x14ac:dyDescent="0.15">
      <c r="A157" s="110">
        <v>6</v>
      </c>
      <c r="B157" s="71">
        <v>2</v>
      </c>
      <c r="C157" s="100" t="s">
        <v>894</v>
      </c>
      <c r="D157" s="110" t="s">
        <v>779</v>
      </c>
      <c r="E157" s="71">
        <v>57</v>
      </c>
      <c r="F157" s="382">
        <f>IF(D157=예상등급!$A$1,LOOKUP(E157,예상등급!$A$5:$A$13,예상등급!$B$5:$B$13),IF(D157=예상등급!$A$15,LOOKUP(E157,예상등급!$A$19:$A$27,예상등급!$B$19:$B$27),""))</f>
        <v>4</v>
      </c>
      <c r="G157" s="110" t="s">
        <v>780</v>
      </c>
      <c r="H157" s="71">
        <v>28</v>
      </c>
      <c r="I157" s="382">
        <f>IF(G157=예상등급!$G$15,LOOKUP(H157,예상등급!$G$19:$G$27,예상등급!$H$19:$H$27),IF(G157=예상등급!$J$15,LOOKUP(H157,예상등급!$J$19:$J$27,예상등급!$K$19:$K$27),IF(G157=예상등급!$M$15,LOOKUP(H157,예상등급!$M$19:$M$27,예상등급!$N$19:$N$27),"")))</f>
        <v>6</v>
      </c>
      <c r="J157" s="110">
        <v>60</v>
      </c>
      <c r="K157" s="382">
        <f>IF(J157="","",(LOOKUP(J157,예상등급!$D$5:$D$13,예상등급!$E$5:$E$13)))</f>
        <v>4</v>
      </c>
      <c r="L157" s="301">
        <f>SUM(E157,H157,J157)</f>
        <v>145</v>
      </c>
      <c r="M157" s="398">
        <f>RANK(L157,$L$4:$L$491)</f>
        <v>141</v>
      </c>
      <c r="N157" s="110" t="s">
        <v>762</v>
      </c>
      <c r="O157" s="71">
        <v>9</v>
      </c>
      <c r="P157" s="385">
        <f>IF(N157=예상등급!$G$1,LOOKUP(O157,예상등급!$G$5:$G$13,예상등급!$H$5:$H$13),IF(N157=예상등급!$J$1,LOOKUP(O157,예상등급!$J$5:$J$13,예상등급!$K$5:$K$13),IF(N157=예상등급!$M$1,LOOKUP(O157,예상등급!$M$5:$M$13,예상등급!$N$5:$N$13),IF(N157=예상등급!$P$1,LOOKUP(O157,예상등급!$P$5:$P$13,예상등급!$Q$5:$Q$13),IF(N157=예상등급!$S$1,LOOKUP(O157,예상등급!$S$5:$S$13,예상등급!$T$5:$T$13),IF(N157=예상등급!$V$1,LOOKUP(O157,예상등급!$V$5:$V$13,예상등급!$W$5:$W$13),IF(N157=예상등급!$Y$1,LOOKUP(O157,예상등급!$Y$5:$Y$13,예상등급!$Z$5:$Z$13),IF(N157=예상등급!$AB$1,LOOKUP(O157,예상등급!$AB$5:$AB$13,예상등급!$AC$5:$AC$13),IF(N157=예상등급!$AE$1,LOOKUP(O157,예상등급!$AE$5:$AE$13,예상등급!$AF$5:$AF$13),IF(N157=예상등급!$AH$1,LOOKUP(O157,예상등급!$AH$5:$AH$13,예상등급!$AI$5:$AI$13),IF(N157=예상등급!$AK$1,LOOKUP(O157,예상등급!$AK$5:$AK$13,예상등급!$AL$5:$AL$13),IF(N157=예상등급!$AN$1,LOOKUP(O157,예상등급!$AN$5:$AN$13,예상등급!$AO$5:$AO$13),IF(N157=예상등급!$AQ$1,LOOKUP(O157,예상등급!$AQ$5:$AQ$13,예상등급!$AR$5:$AR$13),IF(N157=예상등급!$AH$15,LOOKUP(O157,예상등급!$AH$19:$AH$27,예상등급!$AI$19:$AI$27),IF(N157=예상등급!$AK$15,LOOKUP(O157,예상등급!$AK$19:$AK$27,예상등급!$AL$19:$AL$27),IF(N157=예상등급!$AN$15,LOOKUP(O157,예상등급!$AN$19:$AN$27,예상등급!$AO$19:$AO$27),IF(N157=예상등급!$AQ$15,LOOKUP(O157,예상등급!$AQ$19:$AQ$27,예상등급!$AR$19:$AR$27),"")))))))))))))))))</f>
        <v>7</v>
      </c>
      <c r="Q157" s="110" t="s">
        <v>767</v>
      </c>
      <c r="R157" s="71">
        <v>13</v>
      </c>
      <c r="S157" s="385">
        <f>IF(Q157=예상등급!$G$1,LOOKUP(R157,예상등급!$G$5:$G$13,예상등급!$H$5:$H$13),IF(Q157=예상등급!$J$1,LOOKUP(R157,예상등급!$J$5:$J$13,예상등급!$K$5:$K$13),IF(Q157=예상등급!$M$1,LOOKUP(R157,예상등급!$M$5:$M$13,예상등급!$N$5:$N$13),IF(Q157=예상등급!$P$1,LOOKUP(R157,예상등급!$P$5:$P$13,예상등급!$Q$5:$Q$13),IF(Q157=예상등급!$S$1,LOOKUP(R157,예상등급!$S$5:$S$13,예상등급!$T$5:$T$13),IF(Q157=예상등급!$V$1,LOOKUP(R157,예상등급!$V$5:$V$13,예상등급!$W$5:$W$13),IF(Q157=예상등급!$Y$1,LOOKUP(R157,예상등급!$Y$5:$Y$13,예상등급!$Z$5:$Z$13),IF(Q157=예상등급!$AB$1,LOOKUP(R157,예상등급!$AB$5:$AB$13,예상등급!$AC$5:$AC$13),IF(Q157=예상등급!$AE$1,LOOKUP(R157,예상등급!$AE$5:$AE$13,예상등급!$AF$5:$AF$13),IF(Q157=예상등급!$AH$1,LOOKUP(R157,예상등급!$AH$5:$AH$13,예상등급!$AI$5:$AI$13),IF(Q157=예상등급!$AK$1,LOOKUP(R157,예상등급!$AK$5:$AK$13,예상등급!$AL$5:$AL$13),IF(Q157=예상등급!$AN$1,LOOKUP(R157,예상등급!$AN$5:$AN$13,예상등급!$AO$5:$AO$13),IF(Q157=예상등급!$AQ$1,LOOKUP(R157,예상등급!$AQ$5:$AQ$13,예상등급!$AR$5:$AR$13),IF(Q157=예상등급!$AH$15,LOOKUP(R157,예상등급!$AH$19:$AH$27,예상등급!$AI$19:$AI$27),IF(Q157=예상등급!$AK$15,LOOKUP(R157,예상등급!$AK$19:$AK$27,예상등급!$AL$19:$AL$27),IF(Q157=예상등급!$AN$15,LOOKUP(R157,예상등급!$AN$19:$AN$27,예상등급!$AO$19:$AO$27),IF(Q157=예상등급!$AQ$15,LOOKUP(R157,예상등급!$AQ$19:$AQ$27,예상등급!$AR$19:$AR$27),"")))))))))))))))))</f>
        <v>6</v>
      </c>
      <c r="T157" s="110">
        <v>26</v>
      </c>
      <c r="U157" s="382">
        <f>IF(T157="","",LOOKUP(T157,예상등급!$D$19:$D$27,예상등급!$E$19:$E$27))</f>
        <v>4</v>
      </c>
      <c r="V157" s="402">
        <f>SUM(L157,T157,R157,O157)</f>
        <v>193</v>
      </c>
      <c r="W157" s="278">
        <f>RANK(V157,$V$4:$V$491)</f>
        <v>154</v>
      </c>
      <c r="Y157" s="150"/>
      <c r="Z157" s="150"/>
      <c r="AA157" s="7"/>
      <c r="AB157" s="7"/>
    </row>
    <row r="158" spans="1:28" ht="24.95" customHeight="1" x14ac:dyDescent="0.15">
      <c r="A158" s="110">
        <v>5</v>
      </c>
      <c r="B158" s="71">
        <v>17</v>
      </c>
      <c r="C158" s="100" t="s">
        <v>888</v>
      </c>
      <c r="D158" s="110" t="s">
        <v>779</v>
      </c>
      <c r="E158" s="71">
        <v>55</v>
      </c>
      <c r="F158" s="382">
        <f>IF(D158=예상등급!$A$1,LOOKUP(E158,예상등급!$A$5:$A$13,예상등급!$B$5:$B$13),IF(D158=예상등급!$A$15,LOOKUP(E158,예상등급!$A$19:$A$27,예상등급!$B$19:$B$27),""))</f>
        <v>4</v>
      </c>
      <c r="G158" s="110" t="s">
        <v>780</v>
      </c>
      <c r="H158" s="71">
        <v>22</v>
      </c>
      <c r="I158" s="382">
        <f>IF(G158=예상등급!$G$15,LOOKUP(H158,예상등급!$G$19:$G$27,예상등급!$H$19:$H$27),IF(G158=예상등급!$J$15,LOOKUP(H158,예상등급!$J$19:$J$27,예상등급!$K$19:$K$27),IF(G158=예상등급!$M$15,LOOKUP(H158,예상등급!$M$19:$M$27,예상등급!$N$19:$N$27),"")))</f>
        <v>7</v>
      </c>
      <c r="J158" s="110">
        <v>64</v>
      </c>
      <c r="K158" s="382">
        <f>IF(J158="","",(LOOKUP(J158,예상등급!$D$5:$D$13,예상등급!$E$5:$E$13)))</f>
        <v>4</v>
      </c>
      <c r="L158" s="301">
        <f>SUM(E158,H158,J158)</f>
        <v>141</v>
      </c>
      <c r="M158" s="398">
        <f>RANK(L158,$L$4:$L$491)</f>
        <v>149</v>
      </c>
      <c r="N158" s="110" t="s">
        <v>761</v>
      </c>
      <c r="O158" s="71">
        <v>7</v>
      </c>
      <c r="P158" s="385">
        <f>IF(N158=예상등급!$G$1,LOOKUP(O158,예상등급!$G$5:$G$13,예상등급!$H$5:$H$13),IF(N158=예상등급!$J$1,LOOKUP(O158,예상등급!$J$5:$J$13,예상등급!$K$5:$K$13),IF(N158=예상등급!$M$1,LOOKUP(O158,예상등급!$M$5:$M$13,예상등급!$N$5:$N$13),IF(N158=예상등급!$P$1,LOOKUP(O158,예상등급!$P$5:$P$13,예상등급!$Q$5:$Q$13),IF(N158=예상등급!$S$1,LOOKUP(O158,예상등급!$S$5:$S$13,예상등급!$T$5:$T$13),IF(N158=예상등급!$V$1,LOOKUP(O158,예상등급!$V$5:$V$13,예상등급!$W$5:$W$13),IF(N158=예상등급!$Y$1,LOOKUP(O158,예상등급!$Y$5:$Y$13,예상등급!$Z$5:$Z$13),IF(N158=예상등급!$AB$1,LOOKUP(O158,예상등급!$AB$5:$AB$13,예상등급!$AC$5:$AC$13),IF(N158=예상등급!$AE$1,LOOKUP(O158,예상등급!$AE$5:$AE$13,예상등급!$AF$5:$AF$13),IF(N158=예상등급!$AH$1,LOOKUP(O158,예상등급!$AH$5:$AH$13,예상등급!$AI$5:$AI$13),IF(N158=예상등급!$AK$1,LOOKUP(O158,예상등급!$AK$5:$AK$13,예상등급!$AL$5:$AL$13),IF(N158=예상등급!$AN$1,LOOKUP(O158,예상등급!$AN$5:$AN$13,예상등급!$AO$5:$AO$13),IF(N158=예상등급!$AQ$1,LOOKUP(O158,예상등급!$AQ$5:$AQ$13,예상등급!$AR$5:$AR$13),IF(N158=예상등급!$AH$15,LOOKUP(O158,예상등급!$AH$19:$AH$27,예상등급!$AI$19:$AI$27),IF(N158=예상등급!$AK$15,LOOKUP(O158,예상등급!$AK$19:$AK$27,예상등급!$AL$19:$AL$27),IF(N158=예상등급!$AN$15,LOOKUP(O158,예상등급!$AN$19:$AN$27,예상등급!$AO$19:$AO$27),IF(N158=예상등급!$AQ$15,LOOKUP(O158,예상등급!$AQ$19:$AQ$27,예상등급!$AR$19:$AR$27),"")))))))))))))))))</f>
        <v>8</v>
      </c>
      <c r="Q158" s="110" t="s">
        <v>765</v>
      </c>
      <c r="R158" s="71">
        <v>5</v>
      </c>
      <c r="S158" s="385">
        <f>IF(Q158=예상등급!$G$1,LOOKUP(R158,예상등급!$G$5:$G$13,예상등급!$H$5:$H$13),IF(Q158=예상등급!$J$1,LOOKUP(R158,예상등급!$J$5:$J$13,예상등급!$K$5:$K$13),IF(Q158=예상등급!$M$1,LOOKUP(R158,예상등급!$M$5:$M$13,예상등급!$N$5:$N$13),IF(Q158=예상등급!$P$1,LOOKUP(R158,예상등급!$P$5:$P$13,예상등급!$Q$5:$Q$13),IF(Q158=예상등급!$S$1,LOOKUP(R158,예상등급!$S$5:$S$13,예상등급!$T$5:$T$13),IF(Q158=예상등급!$V$1,LOOKUP(R158,예상등급!$V$5:$V$13,예상등급!$W$5:$W$13),IF(Q158=예상등급!$Y$1,LOOKUP(R158,예상등급!$Y$5:$Y$13,예상등급!$Z$5:$Z$13),IF(Q158=예상등급!$AB$1,LOOKUP(R158,예상등급!$AB$5:$AB$13,예상등급!$AC$5:$AC$13),IF(Q158=예상등급!$AE$1,LOOKUP(R158,예상등급!$AE$5:$AE$13,예상등급!$AF$5:$AF$13),IF(Q158=예상등급!$AH$1,LOOKUP(R158,예상등급!$AH$5:$AH$13,예상등급!$AI$5:$AI$13),IF(Q158=예상등급!$AK$1,LOOKUP(R158,예상등급!$AK$5:$AK$13,예상등급!$AL$5:$AL$13),IF(Q158=예상등급!$AN$1,LOOKUP(R158,예상등급!$AN$5:$AN$13,예상등급!$AO$5:$AO$13),IF(Q158=예상등급!$AQ$1,LOOKUP(R158,예상등급!$AQ$5:$AQ$13,예상등급!$AR$5:$AR$13),IF(Q158=예상등급!$AH$15,LOOKUP(R158,예상등급!$AH$19:$AH$27,예상등급!$AI$19:$AI$27),IF(Q158=예상등급!$AK$15,LOOKUP(R158,예상등급!$AK$19:$AK$27,예상등급!$AL$19:$AL$27),IF(Q158=예상등급!$AN$15,LOOKUP(R158,예상등급!$AN$19:$AN$27,예상등급!$AO$19:$AO$27),IF(Q158=예상등급!$AQ$15,LOOKUP(R158,예상등급!$AQ$19:$AQ$27,예상등급!$AR$19:$AR$27),"")))))))))))))))))</f>
        <v>9</v>
      </c>
      <c r="T158" s="110">
        <v>37</v>
      </c>
      <c r="U158" s="382">
        <f>IF(T158="","",LOOKUP(T158,예상등급!$D$19:$D$27,예상등급!$E$19:$E$27))</f>
        <v>2</v>
      </c>
      <c r="V158" s="402">
        <f>SUM(L158,T158,R158,O158)</f>
        <v>190</v>
      </c>
      <c r="W158" s="278">
        <f>RANK(V158,$V$4:$V$491)</f>
        <v>155</v>
      </c>
      <c r="Y158" s="7"/>
      <c r="Z158" s="7"/>
      <c r="AA158" s="7"/>
      <c r="AB158" s="7"/>
    </row>
    <row r="159" spans="1:28" ht="24.95" customHeight="1" x14ac:dyDescent="0.15">
      <c r="A159" s="110">
        <v>6</v>
      </c>
      <c r="B159" s="71">
        <v>22</v>
      </c>
      <c r="C159" s="100" t="s">
        <v>913</v>
      </c>
      <c r="D159" s="110" t="s">
        <v>779</v>
      </c>
      <c r="E159" s="71">
        <v>39</v>
      </c>
      <c r="F159" s="382">
        <f>IF(D159=예상등급!$A$1,LOOKUP(E159,예상등급!$A$5:$A$13,예상등급!$B$5:$B$13),IF(D159=예상등급!$A$15,LOOKUP(E159,예상등급!$A$19:$A$27,예상등급!$B$19:$B$27),""))</f>
        <v>6</v>
      </c>
      <c r="G159" s="110" t="s">
        <v>780</v>
      </c>
      <c r="H159" s="71">
        <v>15</v>
      </c>
      <c r="I159" s="382">
        <f>IF(G159=예상등급!$G$15,LOOKUP(H159,예상등급!$G$19:$G$27,예상등급!$H$19:$H$27),IF(G159=예상등급!$J$15,LOOKUP(H159,예상등급!$J$19:$J$27,예상등급!$K$19:$K$27),IF(G159=예상등급!$M$15,LOOKUP(H159,예상등급!$M$19:$M$27,예상등급!$N$19:$N$27),"")))</f>
        <v>8</v>
      </c>
      <c r="J159" s="110">
        <v>39</v>
      </c>
      <c r="K159" s="382">
        <f>IF(J159="","",(LOOKUP(J159,예상등급!$D$5:$D$13,예상등급!$E$5:$E$13)))</f>
        <v>7</v>
      </c>
      <c r="L159" s="301">
        <f>SUM(E159,H159,J159)</f>
        <v>93</v>
      </c>
      <c r="M159" s="398">
        <f>RANK(L159,$L$4:$L$491)</f>
        <v>204</v>
      </c>
      <c r="N159" s="110" t="s">
        <v>763</v>
      </c>
      <c r="O159" s="71">
        <v>34</v>
      </c>
      <c r="P159" s="385">
        <f>IF(N159=예상등급!$G$1,LOOKUP(O159,예상등급!$G$5:$G$13,예상등급!$H$5:$H$13),IF(N159=예상등급!$J$1,LOOKUP(O159,예상등급!$J$5:$J$13,예상등급!$K$5:$K$13),IF(N159=예상등급!$M$1,LOOKUP(O159,예상등급!$M$5:$M$13,예상등급!$N$5:$N$13),IF(N159=예상등급!$P$1,LOOKUP(O159,예상등급!$P$5:$P$13,예상등급!$Q$5:$Q$13),IF(N159=예상등급!$S$1,LOOKUP(O159,예상등급!$S$5:$S$13,예상등급!$T$5:$T$13),IF(N159=예상등급!$V$1,LOOKUP(O159,예상등급!$V$5:$V$13,예상등급!$W$5:$W$13),IF(N159=예상등급!$Y$1,LOOKUP(O159,예상등급!$Y$5:$Y$13,예상등급!$Z$5:$Z$13),IF(N159=예상등급!$AB$1,LOOKUP(O159,예상등급!$AB$5:$AB$13,예상등급!$AC$5:$AC$13),IF(N159=예상등급!$AE$1,LOOKUP(O159,예상등급!$AE$5:$AE$13,예상등급!$AF$5:$AF$13),IF(N159=예상등급!$AH$1,LOOKUP(O159,예상등급!$AH$5:$AH$13,예상등급!$AI$5:$AI$13),IF(N159=예상등급!$AK$1,LOOKUP(O159,예상등급!$AK$5:$AK$13,예상등급!$AL$5:$AL$13),IF(N159=예상등급!$AN$1,LOOKUP(O159,예상등급!$AN$5:$AN$13,예상등급!$AO$5:$AO$13),IF(N159=예상등급!$AQ$1,LOOKUP(O159,예상등급!$AQ$5:$AQ$13,예상등급!$AR$5:$AR$13),IF(N159=예상등급!$AH$15,LOOKUP(O159,예상등급!$AH$19:$AH$27,예상등급!$AI$19:$AI$27),IF(N159=예상등급!$AK$15,LOOKUP(O159,예상등급!$AK$19:$AK$27,예상등급!$AL$19:$AL$27),IF(N159=예상등급!$AN$15,LOOKUP(O159,예상등급!$AN$19:$AN$27,예상등급!$AO$19:$AO$27),IF(N159=예상등급!$AQ$15,LOOKUP(O159,예상등급!$AQ$19:$AQ$27,예상등급!$AR$19:$AR$27),"")))))))))))))))))</f>
        <v>3</v>
      </c>
      <c r="Q159" s="110" t="s">
        <v>761</v>
      </c>
      <c r="R159" s="71">
        <v>23</v>
      </c>
      <c r="S159" s="385">
        <f>IF(Q159=예상등급!$G$1,LOOKUP(R159,예상등급!$G$5:$G$13,예상등급!$H$5:$H$13),IF(Q159=예상등급!$J$1,LOOKUP(R159,예상등급!$J$5:$J$13,예상등급!$K$5:$K$13),IF(Q159=예상등급!$M$1,LOOKUP(R159,예상등급!$M$5:$M$13,예상등급!$N$5:$N$13),IF(Q159=예상등급!$P$1,LOOKUP(R159,예상등급!$P$5:$P$13,예상등급!$Q$5:$Q$13),IF(Q159=예상등급!$S$1,LOOKUP(R159,예상등급!$S$5:$S$13,예상등급!$T$5:$T$13),IF(Q159=예상등급!$V$1,LOOKUP(R159,예상등급!$V$5:$V$13,예상등급!$W$5:$W$13),IF(Q159=예상등급!$Y$1,LOOKUP(R159,예상등급!$Y$5:$Y$13,예상등급!$Z$5:$Z$13),IF(Q159=예상등급!$AB$1,LOOKUP(R159,예상등급!$AB$5:$AB$13,예상등급!$AC$5:$AC$13),IF(Q159=예상등급!$AE$1,LOOKUP(R159,예상등급!$AE$5:$AE$13,예상등급!$AF$5:$AF$13),IF(Q159=예상등급!$AH$1,LOOKUP(R159,예상등급!$AH$5:$AH$13,예상등급!$AI$5:$AI$13),IF(Q159=예상등급!$AK$1,LOOKUP(R159,예상등급!$AK$5:$AK$13,예상등급!$AL$5:$AL$13),IF(Q159=예상등급!$AN$1,LOOKUP(R159,예상등급!$AN$5:$AN$13,예상등급!$AO$5:$AO$13),IF(Q159=예상등급!$AQ$1,LOOKUP(R159,예상등급!$AQ$5:$AQ$13,예상등급!$AR$5:$AR$13),IF(Q159=예상등급!$AH$15,LOOKUP(R159,예상등급!$AH$19:$AH$27,예상등급!$AI$19:$AI$27),IF(Q159=예상등급!$AK$15,LOOKUP(R159,예상등급!$AK$19:$AK$27,예상등급!$AL$19:$AL$27),IF(Q159=예상등급!$AN$15,LOOKUP(R159,예상등급!$AN$19:$AN$27,예상등급!$AO$19:$AO$27),IF(Q159=예상등급!$AQ$15,LOOKUP(R159,예상등급!$AQ$19:$AQ$27,예상등급!$AR$19:$AR$27),"")))))))))))))))))</f>
        <v>5</v>
      </c>
      <c r="T159" s="110">
        <v>40</v>
      </c>
      <c r="U159" s="382">
        <f>IF(T159="","",LOOKUP(T159,예상등급!$D$19:$D$27,예상등급!$E$19:$E$27))</f>
        <v>1</v>
      </c>
      <c r="V159" s="402">
        <f>SUM(L159,T159,R159,O159)</f>
        <v>190</v>
      </c>
      <c r="W159" s="278">
        <f>RANK(V159,$V$4:$V$491)</f>
        <v>155</v>
      </c>
      <c r="Y159" s="149"/>
      <c r="Z159" s="149"/>
      <c r="AA159" s="7"/>
      <c r="AB159" s="7"/>
    </row>
    <row r="160" spans="1:28" ht="24.95" customHeight="1" x14ac:dyDescent="0.15">
      <c r="A160" s="110">
        <v>7</v>
      </c>
      <c r="B160" s="71">
        <v>18</v>
      </c>
      <c r="C160" s="100" t="s">
        <v>931</v>
      </c>
      <c r="D160" s="110" t="s">
        <v>779</v>
      </c>
      <c r="E160" s="71">
        <v>52</v>
      </c>
      <c r="F160" s="382">
        <f>IF(D160=예상등급!$A$1,LOOKUP(E160,예상등급!$A$5:$A$13,예상등급!$B$5:$B$13),IF(D160=예상등급!$A$15,LOOKUP(E160,예상등급!$A$19:$A$27,예상등급!$B$19:$B$27),""))</f>
        <v>4</v>
      </c>
      <c r="G160" s="110" t="s">
        <v>780</v>
      </c>
      <c r="H160" s="71">
        <v>33</v>
      </c>
      <c r="I160" s="382">
        <f>IF(G160=예상등급!$G$15,LOOKUP(H160,예상등급!$G$19:$G$27,예상등급!$H$19:$H$27),IF(G160=예상등급!$J$15,LOOKUP(H160,예상등급!$J$19:$J$27,예상등급!$K$19:$K$27),IF(G160=예상등급!$M$15,LOOKUP(H160,예상등급!$M$19:$M$27,예상등급!$N$19:$N$27),"")))</f>
        <v>5</v>
      </c>
      <c r="J160" s="110">
        <v>52</v>
      </c>
      <c r="K160" s="382">
        <f>IF(J160="","",(LOOKUP(J160,예상등급!$D$5:$D$13,예상등급!$E$5:$E$13)))</f>
        <v>5</v>
      </c>
      <c r="L160" s="301">
        <f>SUM(E160,H160,J160)</f>
        <v>137</v>
      </c>
      <c r="M160" s="398">
        <f>RANK(L160,$L$4:$L$491)</f>
        <v>156</v>
      </c>
      <c r="N160" s="110" t="s">
        <v>761</v>
      </c>
      <c r="O160" s="71">
        <v>21</v>
      </c>
      <c r="P160" s="385">
        <f>IF(N160=예상등급!$G$1,LOOKUP(O160,예상등급!$G$5:$G$13,예상등급!$H$5:$H$13),IF(N160=예상등급!$J$1,LOOKUP(O160,예상등급!$J$5:$J$13,예상등급!$K$5:$K$13),IF(N160=예상등급!$M$1,LOOKUP(O160,예상등급!$M$5:$M$13,예상등급!$N$5:$N$13),IF(N160=예상등급!$P$1,LOOKUP(O160,예상등급!$P$5:$P$13,예상등급!$Q$5:$Q$13),IF(N160=예상등급!$S$1,LOOKUP(O160,예상등급!$S$5:$S$13,예상등급!$T$5:$T$13),IF(N160=예상등급!$V$1,LOOKUP(O160,예상등급!$V$5:$V$13,예상등급!$W$5:$W$13),IF(N160=예상등급!$Y$1,LOOKUP(O160,예상등급!$Y$5:$Y$13,예상등급!$Z$5:$Z$13),IF(N160=예상등급!$AB$1,LOOKUP(O160,예상등급!$AB$5:$AB$13,예상등급!$AC$5:$AC$13),IF(N160=예상등급!$AE$1,LOOKUP(O160,예상등급!$AE$5:$AE$13,예상등급!$AF$5:$AF$13),IF(N160=예상등급!$AH$1,LOOKUP(O160,예상등급!$AH$5:$AH$13,예상등급!$AI$5:$AI$13),IF(N160=예상등급!$AK$1,LOOKUP(O160,예상등급!$AK$5:$AK$13,예상등급!$AL$5:$AL$13),IF(N160=예상등급!$AN$1,LOOKUP(O160,예상등급!$AN$5:$AN$13,예상등급!$AO$5:$AO$13),IF(N160=예상등급!$AQ$1,LOOKUP(O160,예상등급!$AQ$5:$AQ$13,예상등급!$AR$5:$AR$13),IF(N160=예상등급!$AH$15,LOOKUP(O160,예상등급!$AH$19:$AH$27,예상등급!$AI$19:$AI$27),IF(N160=예상등급!$AK$15,LOOKUP(O160,예상등급!$AK$19:$AK$27,예상등급!$AL$19:$AL$27),IF(N160=예상등급!$AN$15,LOOKUP(O160,예상등급!$AN$19:$AN$27,예상등급!$AO$19:$AO$27),IF(N160=예상등급!$AQ$15,LOOKUP(O160,예상등급!$AQ$19:$AQ$27,예상등급!$AR$19:$AR$27),"")))))))))))))))))</f>
        <v>5</v>
      </c>
      <c r="Q160" s="110" t="s">
        <v>762</v>
      </c>
      <c r="R160" s="71">
        <v>22</v>
      </c>
      <c r="S160" s="385">
        <f>IF(Q160=예상등급!$G$1,LOOKUP(R160,예상등급!$G$5:$G$13,예상등급!$H$5:$H$13),IF(Q160=예상등급!$J$1,LOOKUP(R160,예상등급!$J$5:$J$13,예상등급!$K$5:$K$13),IF(Q160=예상등급!$M$1,LOOKUP(R160,예상등급!$M$5:$M$13,예상등급!$N$5:$N$13),IF(Q160=예상등급!$P$1,LOOKUP(R160,예상등급!$P$5:$P$13,예상등급!$Q$5:$Q$13),IF(Q160=예상등급!$S$1,LOOKUP(R160,예상등급!$S$5:$S$13,예상등급!$T$5:$T$13),IF(Q160=예상등급!$V$1,LOOKUP(R160,예상등급!$V$5:$V$13,예상등급!$W$5:$W$13),IF(Q160=예상등급!$Y$1,LOOKUP(R160,예상등급!$Y$5:$Y$13,예상등급!$Z$5:$Z$13),IF(Q160=예상등급!$AB$1,LOOKUP(R160,예상등급!$AB$5:$AB$13,예상등급!$AC$5:$AC$13),IF(Q160=예상등급!$AE$1,LOOKUP(R160,예상등급!$AE$5:$AE$13,예상등급!$AF$5:$AF$13),IF(Q160=예상등급!$AH$1,LOOKUP(R160,예상등급!$AH$5:$AH$13,예상등급!$AI$5:$AI$13),IF(Q160=예상등급!$AK$1,LOOKUP(R160,예상등급!$AK$5:$AK$13,예상등급!$AL$5:$AL$13),IF(Q160=예상등급!$AN$1,LOOKUP(R160,예상등급!$AN$5:$AN$13,예상등급!$AO$5:$AO$13),IF(Q160=예상등급!$AQ$1,LOOKUP(R160,예상등급!$AQ$5:$AQ$13,예상등급!$AR$5:$AR$13),IF(Q160=예상등급!$AH$15,LOOKUP(R160,예상등급!$AH$19:$AH$27,예상등급!$AI$19:$AI$27),IF(Q160=예상등급!$AK$15,LOOKUP(R160,예상등급!$AK$19:$AK$27,예상등급!$AL$19:$AL$27),IF(Q160=예상등급!$AN$15,LOOKUP(R160,예상등급!$AN$19:$AN$27,예상등급!$AO$19:$AO$27),IF(Q160=예상등급!$AQ$15,LOOKUP(R160,예상등급!$AQ$19:$AQ$27,예상등급!$AR$19:$AR$27),"")))))))))))))))))</f>
        <v>5</v>
      </c>
      <c r="T160" s="110">
        <v>9</v>
      </c>
      <c r="U160" s="382">
        <f>IF(T160="","",LOOKUP(T160,예상등급!$D$19:$D$27,예상등급!$E$19:$E$27))</f>
        <v>8</v>
      </c>
      <c r="V160" s="402">
        <f>SUM(L160,T160,R160,O160)</f>
        <v>189</v>
      </c>
      <c r="W160" s="278">
        <f>RANK(V160,$V$4:$V$491)</f>
        <v>157</v>
      </c>
      <c r="AA160" s="7"/>
      <c r="AB160" s="7"/>
    </row>
    <row r="161" spans="1:28" ht="24.95" customHeight="1" x14ac:dyDescent="0.15">
      <c r="A161" s="110">
        <v>9</v>
      </c>
      <c r="B161" s="71">
        <v>20</v>
      </c>
      <c r="C161" s="100" t="s">
        <v>978</v>
      </c>
      <c r="D161" s="110" t="s">
        <v>779</v>
      </c>
      <c r="E161" s="71">
        <v>41</v>
      </c>
      <c r="F161" s="382">
        <f>IF(D161=예상등급!$A$1,LOOKUP(E161,예상등급!$A$5:$A$13,예상등급!$B$5:$B$13),IF(D161=예상등급!$A$15,LOOKUP(E161,예상등급!$A$19:$A$27,예상등급!$B$19:$B$27),""))</f>
        <v>5</v>
      </c>
      <c r="G161" s="110" t="s">
        <v>780</v>
      </c>
      <c r="H161" s="71">
        <v>30</v>
      </c>
      <c r="I161" s="382">
        <f>IF(G161=예상등급!$G$15,LOOKUP(H161,예상등급!$G$19:$G$27,예상등급!$H$19:$H$27),IF(G161=예상등급!$J$15,LOOKUP(H161,예상등급!$J$19:$J$27,예상등급!$K$19:$K$27),IF(G161=예상등급!$M$15,LOOKUP(H161,예상등급!$M$19:$M$27,예상등급!$N$19:$N$27),"")))</f>
        <v>6</v>
      </c>
      <c r="J161" s="110">
        <v>65</v>
      </c>
      <c r="K161" s="382">
        <f>IF(J161="","",(LOOKUP(J161,예상등급!$D$5:$D$13,예상등급!$E$5:$E$13)))</f>
        <v>4</v>
      </c>
      <c r="L161" s="301">
        <f>SUM(E161,H161,J161)</f>
        <v>136</v>
      </c>
      <c r="M161" s="398">
        <f>RANK(L161,$L$4:$L$491)</f>
        <v>158</v>
      </c>
      <c r="N161" s="110" t="s">
        <v>761</v>
      </c>
      <c r="O161" s="71">
        <v>18</v>
      </c>
      <c r="P161" s="385">
        <f>IF(N161=예상등급!$G$1,LOOKUP(O161,예상등급!$G$5:$G$13,예상등급!$H$5:$H$13),IF(N161=예상등급!$J$1,LOOKUP(O161,예상등급!$J$5:$J$13,예상등급!$K$5:$K$13),IF(N161=예상등급!$M$1,LOOKUP(O161,예상등급!$M$5:$M$13,예상등급!$N$5:$N$13),IF(N161=예상등급!$P$1,LOOKUP(O161,예상등급!$P$5:$P$13,예상등급!$Q$5:$Q$13),IF(N161=예상등급!$S$1,LOOKUP(O161,예상등급!$S$5:$S$13,예상등급!$T$5:$T$13),IF(N161=예상등급!$V$1,LOOKUP(O161,예상등급!$V$5:$V$13,예상등급!$W$5:$W$13),IF(N161=예상등급!$Y$1,LOOKUP(O161,예상등급!$Y$5:$Y$13,예상등급!$Z$5:$Z$13),IF(N161=예상등급!$AB$1,LOOKUP(O161,예상등급!$AB$5:$AB$13,예상등급!$AC$5:$AC$13),IF(N161=예상등급!$AE$1,LOOKUP(O161,예상등급!$AE$5:$AE$13,예상등급!$AF$5:$AF$13),IF(N161=예상등급!$AH$1,LOOKUP(O161,예상등급!$AH$5:$AH$13,예상등급!$AI$5:$AI$13),IF(N161=예상등급!$AK$1,LOOKUP(O161,예상등급!$AK$5:$AK$13,예상등급!$AL$5:$AL$13),IF(N161=예상등급!$AN$1,LOOKUP(O161,예상등급!$AN$5:$AN$13,예상등급!$AO$5:$AO$13),IF(N161=예상등급!$AQ$1,LOOKUP(O161,예상등급!$AQ$5:$AQ$13,예상등급!$AR$5:$AR$13),IF(N161=예상등급!$AH$15,LOOKUP(O161,예상등급!$AH$19:$AH$27,예상등급!$AI$19:$AI$27),IF(N161=예상등급!$AK$15,LOOKUP(O161,예상등급!$AK$19:$AK$27,예상등급!$AL$19:$AL$27),IF(N161=예상등급!$AN$15,LOOKUP(O161,예상등급!$AN$19:$AN$27,예상등급!$AO$19:$AO$27),IF(N161=예상등급!$AQ$15,LOOKUP(O161,예상등급!$AQ$19:$AQ$27,예상등급!$AR$19:$AR$27),"")))))))))))))))))</f>
        <v>6</v>
      </c>
      <c r="Q161" s="110" t="s">
        <v>762</v>
      </c>
      <c r="R161" s="71">
        <v>19</v>
      </c>
      <c r="S161" s="385">
        <f>IF(Q161=예상등급!$G$1,LOOKUP(R161,예상등급!$G$5:$G$13,예상등급!$H$5:$H$13),IF(Q161=예상등급!$J$1,LOOKUP(R161,예상등급!$J$5:$J$13,예상등급!$K$5:$K$13),IF(Q161=예상등급!$M$1,LOOKUP(R161,예상등급!$M$5:$M$13,예상등급!$N$5:$N$13),IF(Q161=예상등급!$P$1,LOOKUP(R161,예상등급!$P$5:$P$13,예상등급!$Q$5:$Q$13),IF(Q161=예상등급!$S$1,LOOKUP(R161,예상등급!$S$5:$S$13,예상등급!$T$5:$T$13),IF(Q161=예상등급!$V$1,LOOKUP(R161,예상등급!$V$5:$V$13,예상등급!$W$5:$W$13),IF(Q161=예상등급!$Y$1,LOOKUP(R161,예상등급!$Y$5:$Y$13,예상등급!$Z$5:$Z$13),IF(Q161=예상등급!$AB$1,LOOKUP(R161,예상등급!$AB$5:$AB$13,예상등급!$AC$5:$AC$13),IF(Q161=예상등급!$AE$1,LOOKUP(R161,예상등급!$AE$5:$AE$13,예상등급!$AF$5:$AF$13),IF(Q161=예상등급!$AH$1,LOOKUP(R161,예상등급!$AH$5:$AH$13,예상등급!$AI$5:$AI$13),IF(Q161=예상등급!$AK$1,LOOKUP(R161,예상등급!$AK$5:$AK$13,예상등급!$AL$5:$AL$13),IF(Q161=예상등급!$AN$1,LOOKUP(R161,예상등급!$AN$5:$AN$13,예상등급!$AO$5:$AO$13),IF(Q161=예상등급!$AQ$1,LOOKUP(R161,예상등급!$AQ$5:$AQ$13,예상등급!$AR$5:$AR$13),IF(Q161=예상등급!$AH$15,LOOKUP(R161,예상등급!$AH$19:$AH$27,예상등급!$AI$19:$AI$27),IF(Q161=예상등급!$AK$15,LOOKUP(R161,예상등급!$AK$19:$AK$27,예상등급!$AL$19:$AL$27),IF(Q161=예상등급!$AN$15,LOOKUP(R161,예상등급!$AN$19:$AN$27,예상등급!$AO$19:$AO$27),IF(Q161=예상등급!$AQ$15,LOOKUP(R161,예상등급!$AQ$19:$AQ$27,예상등급!$AR$19:$AR$27),"")))))))))))))))))</f>
        <v>5</v>
      </c>
      <c r="T161" s="110">
        <v>16</v>
      </c>
      <c r="U161" s="382">
        <f>IF(T161="","",LOOKUP(T161,예상등급!$D$19:$D$27,예상등급!$E$19:$E$27))</f>
        <v>6</v>
      </c>
      <c r="V161" s="402">
        <f>SUM(L161,T161,R161,O161)</f>
        <v>189</v>
      </c>
      <c r="W161" s="278">
        <f>RANK(V161,$V$4:$V$491)</f>
        <v>157</v>
      </c>
      <c r="AA161" s="7"/>
      <c r="AB161" s="7"/>
    </row>
    <row r="162" spans="1:28" ht="24.95" customHeight="1" x14ac:dyDescent="0.15">
      <c r="A162" s="110">
        <v>4</v>
      </c>
      <c r="B162" s="71">
        <v>23</v>
      </c>
      <c r="C162" s="100" t="s">
        <v>874</v>
      </c>
      <c r="D162" s="110" t="s">
        <v>779</v>
      </c>
      <c r="E162" s="71">
        <v>37</v>
      </c>
      <c r="F162" s="382">
        <f>IF(D162=예상등급!$A$1,LOOKUP(E162,예상등급!$A$5:$A$13,예상등급!$B$5:$B$13),IF(D162=예상등급!$A$15,LOOKUP(E162,예상등급!$A$19:$A$27,예상등급!$B$19:$B$27),""))</f>
        <v>6</v>
      </c>
      <c r="G162" s="110" t="s">
        <v>781</v>
      </c>
      <c r="H162" s="71">
        <v>46</v>
      </c>
      <c r="I162" s="382">
        <f>IF(G162=예상등급!$G$15,LOOKUP(H162,예상등급!$G$19:$G$27,예상등급!$H$19:$H$27),IF(G162=예상등급!$J$15,LOOKUP(H162,예상등급!$J$19:$J$27,예상등급!$K$19:$K$27),IF(G162=예상등급!$M$15,LOOKUP(H162,예상등급!$M$19:$M$27,예상등급!$N$19:$N$27),"")))</f>
        <v>5</v>
      </c>
      <c r="J162" s="110">
        <v>60</v>
      </c>
      <c r="K162" s="382">
        <f>IF(J162="","",(LOOKUP(J162,예상등급!$D$5:$D$13,예상등급!$E$5:$E$13)))</f>
        <v>4</v>
      </c>
      <c r="L162" s="301">
        <f>SUM(E162,H162,J162)</f>
        <v>143</v>
      </c>
      <c r="M162" s="398">
        <f>RANK(L162,$L$4:$L$491)</f>
        <v>144</v>
      </c>
      <c r="N162" s="110" t="s">
        <v>762</v>
      </c>
      <c r="O162" s="71">
        <v>29</v>
      </c>
      <c r="P162" s="385">
        <f>IF(N162=예상등급!$G$1,LOOKUP(O162,예상등급!$G$5:$G$13,예상등급!$H$5:$H$13),IF(N162=예상등급!$J$1,LOOKUP(O162,예상등급!$J$5:$J$13,예상등급!$K$5:$K$13),IF(N162=예상등급!$M$1,LOOKUP(O162,예상등급!$M$5:$M$13,예상등급!$N$5:$N$13),IF(N162=예상등급!$P$1,LOOKUP(O162,예상등급!$P$5:$P$13,예상등급!$Q$5:$Q$13),IF(N162=예상등급!$S$1,LOOKUP(O162,예상등급!$S$5:$S$13,예상등급!$T$5:$T$13),IF(N162=예상등급!$V$1,LOOKUP(O162,예상등급!$V$5:$V$13,예상등급!$W$5:$W$13),IF(N162=예상등급!$Y$1,LOOKUP(O162,예상등급!$Y$5:$Y$13,예상등급!$Z$5:$Z$13),IF(N162=예상등급!$AB$1,LOOKUP(O162,예상등급!$AB$5:$AB$13,예상등급!$AC$5:$AC$13),IF(N162=예상등급!$AE$1,LOOKUP(O162,예상등급!$AE$5:$AE$13,예상등급!$AF$5:$AF$13),IF(N162=예상등급!$AH$1,LOOKUP(O162,예상등급!$AH$5:$AH$13,예상등급!$AI$5:$AI$13),IF(N162=예상등급!$AK$1,LOOKUP(O162,예상등급!$AK$5:$AK$13,예상등급!$AL$5:$AL$13),IF(N162=예상등급!$AN$1,LOOKUP(O162,예상등급!$AN$5:$AN$13,예상등급!$AO$5:$AO$13),IF(N162=예상등급!$AQ$1,LOOKUP(O162,예상등급!$AQ$5:$AQ$13,예상등급!$AR$5:$AR$13),IF(N162=예상등급!$AH$15,LOOKUP(O162,예상등급!$AH$19:$AH$27,예상등급!$AI$19:$AI$27),IF(N162=예상등급!$AK$15,LOOKUP(O162,예상등급!$AK$19:$AK$27,예상등급!$AL$19:$AL$27),IF(N162=예상등급!$AN$15,LOOKUP(O162,예상등급!$AN$19:$AN$27,예상등급!$AO$19:$AO$27),IF(N162=예상등급!$AQ$15,LOOKUP(O162,예상등급!$AQ$19:$AQ$27,예상등급!$AR$19:$AR$27),"")))))))))))))))))</f>
        <v>4</v>
      </c>
      <c r="Q162" s="110" t="s">
        <v>771</v>
      </c>
      <c r="R162" s="71">
        <v>6</v>
      </c>
      <c r="S162" s="385">
        <f>IF(Q162=예상등급!$G$1,LOOKUP(R162,예상등급!$G$5:$G$13,예상등급!$H$5:$H$13),IF(Q162=예상등급!$J$1,LOOKUP(R162,예상등급!$J$5:$J$13,예상등급!$K$5:$K$13),IF(Q162=예상등급!$M$1,LOOKUP(R162,예상등급!$M$5:$M$13,예상등급!$N$5:$N$13),IF(Q162=예상등급!$P$1,LOOKUP(R162,예상등급!$P$5:$P$13,예상등급!$Q$5:$Q$13),IF(Q162=예상등급!$S$1,LOOKUP(R162,예상등급!$S$5:$S$13,예상등급!$T$5:$T$13),IF(Q162=예상등급!$V$1,LOOKUP(R162,예상등급!$V$5:$V$13,예상등급!$W$5:$W$13),IF(Q162=예상등급!$Y$1,LOOKUP(R162,예상등급!$Y$5:$Y$13,예상등급!$Z$5:$Z$13),IF(Q162=예상등급!$AB$1,LOOKUP(R162,예상등급!$AB$5:$AB$13,예상등급!$AC$5:$AC$13),IF(Q162=예상등급!$AE$1,LOOKUP(R162,예상등급!$AE$5:$AE$13,예상등급!$AF$5:$AF$13),IF(Q162=예상등급!$AH$1,LOOKUP(R162,예상등급!$AH$5:$AH$13,예상등급!$AI$5:$AI$13),IF(Q162=예상등급!$AK$1,LOOKUP(R162,예상등급!$AK$5:$AK$13,예상등급!$AL$5:$AL$13),IF(Q162=예상등급!$AN$1,LOOKUP(R162,예상등급!$AN$5:$AN$13,예상등급!$AO$5:$AO$13),IF(Q162=예상등급!$AQ$1,LOOKUP(R162,예상등급!$AQ$5:$AQ$13,예상등급!$AR$5:$AR$13),IF(Q162=예상등급!$AH$15,LOOKUP(R162,예상등급!$AH$19:$AH$27,예상등급!$AI$19:$AI$27),IF(Q162=예상등급!$AK$15,LOOKUP(R162,예상등급!$AK$19:$AK$27,예상등급!$AL$19:$AL$27),IF(Q162=예상등급!$AN$15,LOOKUP(R162,예상등급!$AN$19:$AN$27,예상등급!$AO$19:$AO$27),IF(Q162=예상등급!$AQ$15,LOOKUP(R162,예상등급!$AQ$19:$AQ$27,예상등급!$AR$19:$AR$27),"")))))))))))))))))</f>
        <v>8</v>
      </c>
      <c r="T162" s="110">
        <v>10</v>
      </c>
      <c r="U162" s="382">
        <f>IF(T162="","",LOOKUP(T162,예상등급!$D$19:$D$27,예상등급!$E$19:$E$27))</f>
        <v>7</v>
      </c>
      <c r="V162" s="402">
        <f>SUM(L162,T162,R162,O162)</f>
        <v>188</v>
      </c>
      <c r="W162" s="278">
        <f>RANK(V162,$V$4:$V$491)</f>
        <v>159</v>
      </c>
      <c r="AA162" s="7"/>
      <c r="AB162" s="7"/>
    </row>
    <row r="163" spans="1:28" ht="24.95" customHeight="1" x14ac:dyDescent="0.15">
      <c r="A163" s="110">
        <v>5</v>
      </c>
      <c r="B163" s="71">
        <v>22</v>
      </c>
      <c r="C163" s="100" t="s">
        <v>890</v>
      </c>
      <c r="D163" s="110" t="s">
        <v>779</v>
      </c>
      <c r="E163" s="71">
        <v>52</v>
      </c>
      <c r="F163" s="382">
        <f>IF(D163=예상등급!$A$1,LOOKUP(E163,예상등급!$A$5:$A$13,예상등급!$B$5:$B$13),IF(D163=예상등급!$A$15,LOOKUP(E163,예상등급!$A$19:$A$27,예상등급!$B$19:$B$27),""))</f>
        <v>4</v>
      </c>
      <c r="G163" s="110" t="s">
        <v>780</v>
      </c>
      <c r="H163" s="71">
        <v>20</v>
      </c>
      <c r="I163" s="382">
        <f>IF(G163=예상등급!$G$15,LOOKUP(H163,예상등급!$G$19:$G$27,예상등급!$H$19:$H$27),IF(G163=예상등급!$J$15,LOOKUP(H163,예상등급!$J$19:$J$27,예상등급!$K$19:$K$27),IF(G163=예상등급!$M$15,LOOKUP(H163,예상등급!$M$19:$M$27,예상등급!$N$19:$N$27),"")))</f>
        <v>7</v>
      </c>
      <c r="J163" s="110">
        <v>47</v>
      </c>
      <c r="K163" s="382">
        <f>IF(J163="","",(LOOKUP(J163,예상등급!$D$5:$D$13,예상등급!$E$5:$E$13)))</f>
        <v>6</v>
      </c>
      <c r="L163" s="301">
        <f>SUM(E163,H163,J163)</f>
        <v>119</v>
      </c>
      <c r="M163" s="398">
        <f>RANK(L163,$L$4:$L$491)</f>
        <v>171</v>
      </c>
      <c r="N163" s="110" t="s">
        <v>763</v>
      </c>
      <c r="O163" s="71">
        <v>20</v>
      </c>
      <c r="P163" s="385">
        <f>IF(N163=예상등급!$G$1,LOOKUP(O163,예상등급!$G$5:$G$13,예상등급!$H$5:$H$13),IF(N163=예상등급!$J$1,LOOKUP(O163,예상등급!$J$5:$J$13,예상등급!$K$5:$K$13),IF(N163=예상등급!$M$1,LOOKUP(O163,예상등급!$M$5:$M$13,예상등급!$N$5:$N$13),IF(N163=예상등급!$P$1,LOOKUP(O163,예상등급!$P$5:$P$13,예상등급!$Q$5:$Q$13),IF(N163=예상등급!$S$1,LOOKUP(O163,예상등급!$S$5:$S$13,예상등급!$T$5:$T$13),IF(N163=예상등급!$V$1,LOOKUP(O163,예상등급!$V$5:$V$13,예상등급!$W$5:$W$13),IF(N163=예상등급!$Y$1,LOOKUP(O163,예상등급!$Y$5:$Y$13,예상등급!$Z$5:$Z$13),IF(N163=예상등급!$AB$1,LOOKUP(O163,예상등급!$AB$5:$AB$13,예상등급!$AC$5:$AC$13),IF(N163=예상등급!$AE$1,LOOKUP(O163,예상등급!$AE$5:$AE$13,예상등급!$AF$5:$AF$13),IF(N163=예상등급!$AH$1,LOOKUP(O163,예상등급!$AH$5:$AH$13,예상등급!$AI$5:$AI$13),IF(N163=예상등급!$AK$1,LOOKUP(O163,예상등급!$AK$5:$AK$13,예상등급!$AL$5:$AL$13),IF(N163=예상등급!$AN$1,LOOKUP(O163,예상등급!$AN$5:$AN$13,예상등급!$AO$5:$AO$13),IF(N163=예상등급!$AQ$1,LOOKUP(O163,예상등급!$AQ$5:$AQ$13,예상등급!$AR$5:$AR$13),IF(N163=예상등급!$AH$15,LOOKUP(O163,예상등급!$AH$19:$AH$27,예상등급!$AI$19:$AI$27),IF(N163=예상등급!$AK$15,LOOKUP(O163,예상등급!$AK$19:$AK$27,예상등급!$AL$19:$AL$27),IF(N163=예상등급!$AN$15,LOOKUP(O163,예상등급!$AN$19:$AN$27,예상등급!$AO$19:$AO$27),IF(N163=예상등급!$AQ$15,LOOKUP(O163,예상등급!$AQ$19:$AQ$27,예상등급!$AR$19:$AR$27),"")))))))))))))))))</f>
        <v>5</v>
      </c>
      <c r="Q163" s="110" t="s">
        <v>761</v>
      </c>
      <c r="R163" s="71">
        <v>19</v>
      </c>
      <c r="S163" s="385">
        <f>IF(Q163=예상등급!$G$1,LOOKUP(R163,예상등급!$G$5:$G$13,예상등급!$H$5:$H$13),IF(Q163=예상등급!$J$1,LOOKUP(R163,예상등급!$J$5:$J$13,예상등급!$K$5:$K$13),IF(Q163=예상등급!$M$1,LOOKUP(R163,예상등급!$M$5:$M$13,예상등급!$N$5:$N$13),IF(Q163=예상등급!$P$1,LOOKUP(R163,예상등급!$P$5:$P$13,예상등급!$Q$5:$Q$13),IF(Q163=예상등급!$S$1,LOOKUP(R163,예상등급!$S$5:$S$13,예상등급!$T$5:$T$13),IF(Q163=예상등급!$V$1,LOOKUP(R163,예상등급!$V$5:$V$13,예상등급!$W$5:$W$13),IF(Q163=예상등급!$Y$1,LOOKUP(R163,예상등급!$Y$5:$Y$13,예상등급!$Z$5:$Z$13),IF(Q163=예상등급!$AB$1,LOOKUP(R163,예상등급!$AB$5:$AB$13,예상등급!$AC$5:$AC$13),IF(Q163=예상등급!$AE$1,LOOKUP(R163,예상등급!$AE$5:$AE$13,예상등급!$AF$5:$AF$13),IF(Q163=예상등급!$AH$1,LOOKUP(R163,예상등급!$AH$5:$AH$13,예상등급!$AI$5:$AI$13),IF(Q163=예상등급!$AK$1,LOOKUP(R163,예상등급!$AK$5:$AK$13,예상등급!$AL$5:$AL$13),IF(Q163=예상등급!$AN$1,LOOKUP(R163,예상등급!$AN$5:$AN$13,예상등급!$AO$5:$AO$13),IF(Q163=예상등급!$AQ$1,LOOKUP(R163,예상등급!$AQ$5:$AQ$13,예상등급!$AR$5:$AR$13),IF(Q163=예상등급!$AH$15,LOOKUP(R163,예상등급!$AH$19:$AH$27,예상등급!$AI$19:$AI$27),IF(Q163=예상등급!$AK$15,LOOKUP(R163,예상등급!$AK$19:$AK$27,예상등급!$AL$19:$AL$27),IF(Q163=예상등급!$AN$15,LOOKUP(R163,예상등급!$AN$19:$AN$27,예상등급!$AO$19:$AO$27),IF(Q163=예상등급!$AQ$15,LOOKUP(R163,예상등급!$AQ$19:$AQ$27,예상등급!$AR$19:$AR$27),"")))))))))))))))))</f>
        <v>5</v>
      </c>
      <c r="T163" s="110">
        <v>29</v>
      </c>
      <c r="U163" s="382">
        <f>IF(T163="","",LOOKUP(T163,예상등급!$D$19:$D$27,예상등급!$E$19:$E$27))</f>
        <v>4</v>
      </c>
      <c r="V163" s="402">
        <f>SUM(L163,T163,R163,O163)</f>
        <v>187</v>
      </c>
      <c r="W163" s="278">
        <f>RANK(V163,$V$4:$V$491)</f>
        <v>160</v>
      </c>
      <c r="AA163" s="7"/>
      <c r="AB163" s="7"/>
    </row>
    <row r="164" spans="1:28" ht="24.95" customHeight="1" x14ac:dyDescent="0.15">
      <c r="A164" s="110">
        <v>8</v>
      </c>
      <c r="B164" s="71">
        <v>1</v>
      </c>
      <c r="C164" s="100" t="s">
        <v>939</v>
      </c>
      <c r="D164" s="110" t="s">
        <v>779</v>
      </c>
      <c r="E164" s="71">
        <v>46</v>
      </c>
      <c r="F164" s="382">
        <f>IF(D164=예상등급!$A$1,LOOKUP(E164,예상등급!$A$5:$A$13,예상등급!$B$5:$B$13),IF(D164=예상등급!$A$15,LOOKUP(E164,예상등급!$A$19:$A$27,예상등급!$B$19:$B$27),""))</f>
        <v>5</v>
      </c>
      <c r="G164" s="110" t="s">
        <v>780</v>
      </c>
      <c r="H164" s="71">
        <v>25</v>
      </c>
      <c r="I164" s="382">
        <f>IF(G164=예상등급!$G$15,LOOKUP(H164,예상등급!$G$19:$G$27,예상등급!$H$19:$H$27),IF(G164=예상등급!$J$15,LOOKUP(H164,예상등급!$J$19:$J$27,예상등급!$K$19:$K$27),IF(G164=예상등급!$M$15,LOOKUP(H164,예상등급!$M$19:$M$27,예상등급!$N$19:$N$27),"")))</f>
        <v>6</v>
      </c>
      <c r="J164" s="110">
        <v>46</v>
      </c>
      <c r="K164" s="382">
        <f>IF(J164="","",(LOOKUP(J164,예상등급!$D$5:$D$13,예상등급!$E$5:$E$13)))</f>
        <v>6</v>
      </c>
      <c r="L164" s="301">
        <f>SUM(E164,H164,J164)</f>
        <v>117</v>
      </c>
      <c r="M164" s="398">
        <f>RANK(L164,$L$4:$L$491)</f>
        <v>172</v>
      </c>
      <c r="N164" s="110" t="s">
        <v>762</v>
      </c>
      <c r="O164" s="71">
        <v>31</v>
      </c>
      <c r="P164" s="385">
        <f>IF(N164=예상등급!$G$1,LOOKUP(O164,예상등급!$G$5:$G$13,예상등급!$H$5:$H$13),IF(N164=예상등급!$J$1,LOOKUP(O164,예상등급!$J$5:$J$13,예상등급!$K$5:$K$13),IF(N164=예상등급!$M$1,LOOKUP(O164,예상등급!$M$5:$M$13,예상등급!$N$5:$N$13),IF(N164=예상등급!$P$1,LOOKUP(O164,예상등급!$P$5:$P$13,예상등급!$Q$5:$Q$13),IF(N164=예상등급!$S$1,LOOKUP(O164,예상등급!$S$5:$S$13,예상등급!$T$5:$T$13),IF(N164=예상등급!$V$1,LOOKUP(O164,예상등급!$V$5:$V$13,예상등급!$W$5:$W$13),IF(N164=예상등급!$Y$1,LOOKUP(O164,예상등급!$Y$5:$Y$13,예상등급!$Z$5:$Z$13),IF(N164=예상등급!$AB$1,LOOKUP(O164,예상등급!$AB$5:$AB$13,예상등급!$AC$5:$AC$13),IF(N164=예상등급!$AE$1,LOOKUP(O164,예상등급!$AE$5:$AE$13,예상등급!$AF$5:$AF$13),IF(N164=예상등급!$AH$1,LOOKUP(O164,예상등급!$AH$5:$AH$13,예상등급!$AI$5:$AI$13),IF(N164=예상등급!$AK$1,LOOKUP(O164,예상등급!$AK$5:$AK$13,예상등급!$AL$5:$AL$13),IF(N164=예상등급!$AN$1,LOOKUP(O164,예상등급!$AN$5:$AN$13,예상등급!$AO$5:$AO$13),IF(N164=예상등급!$AQ$1,LOOKUP(O164,예상등급!$AQ$5:$AQ$13,예상등급!$AR$5:$AR$13),IF(N164=예상등급!$AH$15,LOOKUP(O164,예상등급!$AH$19:$AH$27,예상등급!$AI$19:$AI$27),IF(N164=예상등급!$AK$15,LOOKUP(O164,예상등급!$AK$19:$AK$27,예상등급!$AL$19:$AL$27),IF(N164=예상등급!$AN$15,LOOKUP(O164,예상등급!$AN$19:$AN$27,예상등급!$AO$19:$AO$27),IF(N164=예상등급!$AQ$15,LOOKUP(O164,예상등급!$AQ$19:$AQ$27,예상등급!$AR$19:$AR$27),"")))))))))))))))))</f>
        <v>4</v>
      </c>
      <c r="Q164" s="110" t="s">
        <v>761</v>
      </c>
      <c r="R164" s="71">
        <v>20</v>
      </c>
      <c r="S164" s="385">
        <f>IF(Q164=예상등급!$G$1,LOOKUP(R164,예상등급!$G$5:$G$13,예상등급!$H$5:$H$13),IF(Q164=예상등급!$J$1,LOOKUP(R164,예상등급!$J$5:$J$13,예상등급!$K$5:$K$13),IF(Q164=예상등급!$M$1,LOOKUP(R164,예상등급!$M$5:$M$13,예상등급!$N$5:$N$13),IF(Q164=예상등급!$P$1,LOOKUP(R164,예상등급!$P$5:$P$13,예상등급!$Q$5:$Q$13),IF(Q164=예상등급!$S$1,LOOKUP(R164,예상등급!$S$5:$S$13,예상등급!$T$5:$T$13),IF(Q164=예상등급!$V$1,LOOKUP(R164,예상등급!$V$5:$V$13,예상등급!$W$5:$W$13),IF(Q164=예상등급!$Y$1,LOOKUP(R164,예상등급!$Y$5:$Y$13,예상등급!$Z$5:$Z$13),IF(Q164=예상등급!$AB$1,LOOKUP(R164,예상등급!$AB$5:$AB$13,예상등급!$AC$5:$AC$13),IF(Q164=예상등급!$AE$1,LOOKUP(R164,예상등급!$AE$5:$AE$13,예상등급!$AF$5:$AF$13),IF(Q164=예상등급!$AH$1,LOOKUP(R164,예상등급!$AH$5:$AH$13,예상등급!$AI$5:$AI$13),IF(Q164=예상등급!$AK$1,LOOKUP(R164,예상등급!$AK$5:$AK$13,예상등급!$AL$5:$AL$13),IF(Q164=예상등급!$AN$1,LOOKUP(R164,예상등급!$AN$5:$AN$13,예상등급!$AO$5:$AO$13),IF(Q164=예상등급!$AQ$1,LOOKUP(R164,예상등급!$AQ$5:$AQ$13,예상등급!$AR$5:$AR$13),IF(Q164=예상등급!$AH$15,LOOKUP(R164,예상등급!$AH$19:$AH$27,예상등급!$AI$19:$AI$27),IF(Q164=예상등급!$AK$15,LOOKUP(R164,예상등급!$AK$19:$AK$27,예상등급!$AL$19:$AL$27),IF(Q164=예상등급!$AN$15,LOOKUP(R164,예상등급!$AN$19:$AN$27,예상등급!$AO$19:$AO$27),IF(Q164=예상등급!$AQ$15,LOOKUP(R164,예상등급!$AQ$19:$AQ$27,예상등급!$AR$19:$AR$27),"")))))))))))))))))</f>
        <v>5</v>
      </c>
      <c r="T164" s="110">
        <v>16</v>
      </c>
      <c r="U164" s="382">
        <f>IF(T164="","",LOOKUP(T164,예상등급!$D$19:$D$27,예상등급!$E$19:$E$27))</f>
        <v>6</v>
      </c>
      <c r="V164" s="402">
        <f>SUM(L164,T164,R164,O164)</f>
        <v>184</v>
      </c>
      <c r="W164" s="278">
        <f>RANK(V164,$V$4:$V$491)</f>
        <v>161</v>
      </c>
      <c r="AA164" s="7"/>
      <c r="AB164" s="7"/>
    </row>
    <row r="165" spans="1:28" ht="24.95" customHeight="1" x14ac:dyDescent="0.15">
      <c r="A165" s="110">
        <v>8</v>
      </c>
      <c r="B165" s="71">
        <v>26</v>
      </c>
      <c r="C165" s="100" t="s">
        <v>960</v>
      </c>
      <c r="D165" s="110" t="s">
        <v>779</v>
      </c>
      <c r="E165" s="71">
        <v>40</v>
      </c>
      <c r="F165" s="382">
        <f>IF(D165=예상등급!$A$1,LOOKUP(E165,예상등급!$A$5:$A$13,예상등급!$B$5:$B$13),IF(D165=예상등급!$A$15,LOOKUP(E165,예상등급!$A$19:$A$27,예상등급!$B$19:$B$27),""))</f>
        <v>6</v>
      </c>
      <c r="G165" s="110" t="s">
        <v>780</v>
      </c>
      <c r="H165" s="71">
        <v>14</v>
      </c>
      <c r="I165" s="382">
        <f>IF(G165=예상등급!$G$15,LOOKUP(H165,예상등급!$G$19:$G$27,예상등급!$H$19:$H$27),IF(G165=예상등급!$J$15,LOOKUP(H165,예상등급!$J$19:$J$27,예상등급!$K$19:$K$27),IF(G165=예상등급!$M$15,LOOKUP(H165,예상등급!$M$19:$M$27,예상등급!$N$19:$N$27),"")))</f>
        <v>9</v>
      </c>
      <c r="J165" s="110">
        <v>54</v>
      </c>
      <c r="K165" s="382">
        <f>IF(J165="","",(LOOKUP(J165,예상등급!$D$5:$D$13,예상등급!$E$5:$E$13)))</f>
        <v>5</v>
      </c>
      <c r="L165" s="301">
        <f>SUM(E165,H165,J165)</f>
        <v>108</v>
      </c>
      <c r="M165" s="398">
        <f>RANK(L165,$L$4:$L$491)</f>
        <v>183</v>
      </c>
      <c r="N165" s="110" t="s">
        <v>761</v>
      </c>
      <c r="O165" s="71">
        <v>23</v>
      </c>
      <c r="P165" s="385">
        <f>IF(N165=예상등급!$G$1,LOOKUP(O165,예상등급!$G$5:$G$13,예상등급!$H$5:$H$13),IF(N165=예상등급!$J$1,LOOKUP(O165,예상등급!$J$5:$J$13,예상등급!$K$5:$K$13),IF(N165=예상등급!$M$1,LOOKUP(O165,예상등급!$M$5:$M$13,예상등급!$N$5:$N$13),IF(N165=예상등급!$P$1,LOOKUP(O165,예상등급!$P$5:$P$13,예상등급!$Q$5:$Q$13),IF(N165=예상등급!$S$1,LOOKUP(O165,예상등급!$S$5:$S$13,예상등급!$T$5:$T$13),IF(N165=예상등급!$V$1,LOOKUP(O165,예상등급!$V$5:$V$13,예상등급!$W$5:$W$13),IF(N165=예상등급!$Y$1,LOOKUP(O165,예상등급!$Y$5:$Y$13,예상등급!$Z$5:$Z$13),IF(N165=예상등급!$AB$1,LOOKUP(O165,예상등급!$AB$5:$AB$13,예상등급!$AC$5:$AC$13),IF(N165=예상등급!$AE$1,LOOKUP(O165,예상등급!$AE$5:$AE$13,예상등급!$AF$5:$AF$13),IF(N165=예상등급!$AH$1,LOOKUP(O165,예상등급!$AH$5:$AH$13,예상등급!$AI$5:$AI$13),IF(N165=예상등급!$AK$1,LOOKUP(O165,예상등급!$AK$5:$AK$13,예상등급!$AL$5:$AL$13),IF(N165=예상등급!$AN$1,LOOKUP(O165,예상등급!$AN$5:$AN$13,예상등급!$AO$5:$AO$13),IF(N165=예상등급!$AQ$1,LOOKUP(O165,예상등급!$AQ$5:$AQ$13,예상등급!$AR$5:$AR$13),IF(N165=예상등급!$AH$15,LOOKUP(O165,예상등급!$AH$19:$AH$27,예상등급!$AI$19:$AI$27),IF(N165=예상등급!$AK$15,LOOKUP(O165,예상등급!$AK$19:$AK$27,예상등급!$AL$19:$AL$27),IF(N165=예상등급!$AN$15,LOOKUP(O165,예상등급!$AN$19:$AN$27,예상등급!$AO$19:$AO$27),IF(N165=예상등급!$AQ$15,LOOKUP(O165,예상등급!$AQ$19:$AQ$27,예상등급!$AR$19:$AR$27),"")))))))))))))))))</f>
        <v>5</v>
      </c>
      <c r="Q165" s="110" t="s">
        <v>762</v>
      </c>
      <c r="R165" s="71">
        <v>28</v>
      </c>
      <c r="S165" s="385">
        <f>IF(Q165=예상등급!$G$1,LOOKUP(R165,예상등급!$G$5:$G$13,예상등급!$H$5:$H$13),IF(Q165=예상등급!$J$1,LOOKUP(R165,예상등급!$J$5:$J$13,예상등급!$K$5:$K$13),IF(Q165=예상등급!$M$1,LOOKUP(R165,예상등급!$M$5:$M$13,예상등급!$N$5:$N$13),IF(Q165=예상등급!$P$1,LOOKUP(R165,예상등급!$P$5:$P$13,예상등급!$Q$5:$Q$13),IF(Q165=예상등급!$S$1,LOOKUP(R165,예상등급!$S$5:$S$13,예상등급!$T$5:$T$13),IF(Q165=예상등급!$V$1,LOOKUP(R165,예상등급!$V$5:$V$13,예상등급!$W$5:$W$13),IF(Q165=예상등급!$Y$1,LOOKUP(R165,예상등급!$Y$5:$Y$13,예상등급!$Z$5:$Z$13),IF(Q165=예상등급!$AB$1,LOOKUP(R165,예상등급!$AB$5:$AB$13,예상등급!$AC$5:$AC$13),IF(Q165=예상등급!$AE$1,LOOKUP(R165,예상등급!$AE$5:$AE$13,예상등급!$AF$5:$AF$13),IF(Q165=예상등급!$AH$1,LOOKUP(R165,예상등급!$AH$5:$AH$13,예상등급!$AI$5:$AI$13),IF(Q165=예상등급!$AK$1,LOOKUP(R165,예상등급!$AK$5:$AK$13,예상등급!$AL$5:$AL$13),IF(Q165=예상등급!$AN$1,LOOKUP(R165,예상등급!$AN$5:$AN$13,예상등급!$AO$5:$AO$13),IF(Q165=예상등급!$AQ$1,LOOKUP(R165,예상등급!$AQ$5:$AQ$13,예상등급!$AR$5:$AR$13),IF(Q165=예상등급!$AH$15,LOOKUP(R165,예상등급!$AH$19:$AH$27,예상등급!$AI$19:$AI$27),IF(Q165=예상등급!$AK$15,LOOKUP(R165,예상등급!$AK$19:$AK$27,예상등급!$AL$19:$AL$27),IF(Q165=예상등급!$AN$15,LOOKUP(R165,예상등급!$AN$19:$AN$27,예상등급!$AO$19:$AO$27),IF(Q165=예상등급!$AQ$15,LOOKUP(R165,예상등급!$AQ$19:$AQ$27,예상등급!$AR$19:$AR$27),"")))))))))))))))))</f>
        <v>4</v>
      </c>
      <c r="T165" s="110">
        <v>25</v>
      </c>
      <c r="U165" s="382">
        <f>IF(T165="","",LOOKUP(T165,예상등급!$D$19:$D$27,예상등급!$E$19:$E$27))</f>
        <v>4</v>
      </c>
      <c r="V165" s="402">
        <f>SUM(L165,T165,R165,O165)</f>
        <v>184</v>
      </c>
      <c r="W165" s="278">
        <f>RANK(V165,$V$4:$V$491)</f>
        <v>161</v>
      </c>
      <c r="AA165" s="7"/>
      <c r="AB165" s="7"/>
    </row>
    <row r="166" spans="1:28" ht="24.95" customHeight="1" x14ac:dyDescent="0.15">
      <c r="A166" s="110">
        <v>4</v>
      </c>
      <c r="B166" s="71">
        <v>17</v>
      </c>
      <c r="C166" s="100" t="s">
        <v>869</v>
      </c>
      <c r="D166" s="110" t="s">
        <v>779</v>
      </c>
      <c r="E166" s="71">
        <v>42</v>
      </c>
      <c r="F166" s="382">
        <f>IF(D166=예상등급!$A$1,LOOKUP(E166,예상등급!$A$5:$A$13,예상등급!$B$5:$B$13),IF(D166=예상등급!$A$15,LOOKUP(E166,예상등급!$A$19:$A$27,예상등급!$B$19:$B$27),""))</f>
        <v>5</v>
      </c>
      <c r="G166" s="110" t="s">
        <v>780</v>
      </c>
      <c r="H166" s="71">
        <v>52</v>
      </c>
      <c r="I166" s="382">
        <f>IF(G166=예상등급!$G$15,LOOKUP(H166,예상등급!$G$19:$G$27,예상등급!$H$19:$H$27),IF(G166=예상등급!$J$15,LOOKUP(H166,예상등급!$J$19:$J$27,예상등급!$K$19:$K$27),IF(G166=예상등급!$M$15,LOOKUP(H166,예상등급!$M$19:$M$27,예상등급!$N$19:$N$27),"")))</f>
        <v>5</v>
      </c>
      <c r="J166" s="110">
        <v>54</v>
      </c>
      <c r="K166" s="382">
        <f>IF(J166="","",(LOOKUP(J166,예상등급!$D$5:$D$13,예상등급!$E$5:$E$13)))</f>
        <v>5</v>
      </c>
      <c r="L166" s="301">
        <f>SUM(E166,H166,J166)</f>
        <v>148</v>
      </c>
      <c r="M166" s="398">
        <f>RANK(L166,$L$4:$L$491)</f>
        <v>137</v>
      </c>
      <c r="N166" s="110" t="s">
        <v>761</v>
      </c>
      <c r="O166" s="71">
        <v>10</v>
      </c>
      <c r="P166" s="385">
        <f>IF(N166=예상등급!$G$1,LOOKUP(O166,예상등급!$G$5:$G$13,예상등급!$H$5:$H$13),IF(N166=예상등급!$J$1,LOOKUP(O166,예상등급!$J$5:$J$13,예상등급!$K$5:$K$13),IF(N166=예상등급!$M$1,LOOKUP(O166,예상등급!$M$5:$M$13,예상등급!$N$5:$N$13),IF(N166=예상등급!$P$1,LOOKUP(O166,예상등급!$P$5:$P$13,예상등급!$Q$5:$Q$13),IF(N166=예상등급!$S$1,LOOKUP(O166,예상등급!$S$5:$S$13,예상등급!$T$5:$T$13),IF(N166=예상등급!$V$1,LOOKUP(O166,예상등급!$V$5:$V$13,예상등급!$W$5:$W$13),IF(N166=예상등급!$Y$1,LOOKUP(O166,예상등급!$Y$5:$Y$13,예상등급!$Z$5:$Z$13),IF(N166=예상등급!$AB$1,LOOKUP(O166,예상등급!$AB$5:$AB$13,예상등급!$AC$5:$AC$13),IF(N166=예상등급!$AE$1,LOOKUP(O166,예상등급!$AE$5:$AE$13,예상등급!$AF$5:$AF$13),IF(N166=예상등급!$AH$1,LOOKUP(O166,예상등급!$AH$5:$AH$13,예상등급!$AI$5:$AI$13),IF(N166=예상등급!$AK$1,LOOKUP(O166,예상등급!$AK$5:$AK$13,예상등급!$AL$5:$AL$13),IF(N166=예상등급!$AN$1,LOOKUP(O166,예상등급!$AN$5:$AN$13,예상등급!$AO$5:$AO$13),IF(N166=예상등급!$AQ$1,LOOKUP(O166,예상등급!$AQ$5:$AQ$13,예상등급!$AR$5:$AR$13),IF(N166=예상등급!$AH$15,LOOKUP(O166,예상등급!$AH$19:$AH$27,예상등급!$AI$19:$AI$27),IF(N166=예상등급!$AK$15,LOOKUP(O166,예상등급!$AK$19:$AK$27,예상등급!$AL$19:$AL$27),IF(N166=예상등급!$AN$15,LOOKUP(O166,예상등급!$AN$19:$AN$27,예상등급!$AO$19:$AO$27),IF(N166=예상등급!$AQ$15,LOOKUP(O166,예상등급!$AQ$19:$AQ$27,예상등급!$AR$19:$AR$27),"")))))))))))))))))</f>
        <v>7</v>
      </c>
      <c r="Q166" s="110" t="s">
        <v>762</v>
      </c>
      <c r="R166" s="71">
        <v>7</v>
      </c>
      <c r="S166" s="385">
        <f>IF(Q166=예상등급!$G$1,LOOKUP(R166,예상등급!$G$5:$G$13,예상등급!$H$5:$H$13),IF(Q166=예상등급!$J$1,LOOKUP(R166,예상등급!$J$5:$J$13,예상등급!$K$5:$K$13),IF(Q166=예상등급!$M$1,LOOKUP(R166,예상등급!$M$5:$M$13,예상등급!$N$5:$N$13),IF(Q166=예상등급!$P$1,LOOKUP(R166,예상등급!$P$5:$P$13,예상등급!$Q$5:$Q$13),IF(Q166=예상등급!$S$1,LOOKUP(R166,예상등급!$S$5:$S$13,예상등급!$T$5:$T$13),IF(Q166=예상등급!$V$1,LOOKUP(R166,예상등급!$V$5:$V$13,예상등급!$W$5:$W$13),IF(Q166=예상등급!$Y$1,LOOKUP(R166,예상등급!$Y$5:$Y$13,예상등급!$Z$5:$Z$13),IF(Q166=예상등급!$AB$1,LOOKUP(R166,예상등급!$AB$5:$AB$13,예상등급!$AC$5:$AC$13),IF(Q166=예상등급!$AE$1,LOOKUP(R166,예상등급!$AE$5:$AE$13,예상등급!$AF$5:$AF$13),IF(Q166=예상등급!$AH$1,LOOKUP(R166,예상등급!$AH$5:$AH$13,예상등급!$AI$5:$AI$13),IF(Q166=예상등급!$AK$1,LOOKUP(R166,예상등급!$AK$5:$AK$13,예상등급!$AL$5:$AL$13),IF(Q166=예상등급!$AN$1,LOOKUP(R166,예상등급!$AN$5:$AN$13,예상등급!$AO$5:$AO$13),IF(Q166=예상등급!$AQ$1,LOOKUP(R166,예상등급!$AQ$5:$AQ$13,예상등급!$AR$5:$AR$13),IF(Q166=예상등급!$AH$15,LOOKUP(R166,예상등급!$AH$19:$AH$27,예상등급!$AI$19:$AI$27),IF(Q166=예상등급!$AK$15,LOOKUP(R166,예상등급!$AK$19:$AK$27,예상등급!$AL$19:$AL$27),IF(Q166=예상등급!$AN$15,LOOKUP(R166,예상등급!$AN$19:$AN$27,예상등급!$AO$19:$AO$27),IF(Q166=예상등급!$AQ$15,LOOKUP(R166,예상등급!$AQ$19:$AQ$27,예상등급!$AR$19:$AR$27),"")))))))))))))))))</f>
        <v>8</v>
      </c>
      <c r="T166" s="110">
        <v>18</v>
      </c>
      <c r="U166" s="382">
        <f>IF(T166="","",LOOKUP(T166,예상등급!$D$19:$D$27,예상등급!$E$19:$E$27))</f>
        <v>6</v>
      </c>
      <c r="V166" s="402">
        <f>SUM(L166,T166,R166,O166)</f>
        <v>183</v>
      </c>
      <c r="W166" s="278">
        <f>RANK(V166,$V$4:$V$491)</f>
        <v>163</v>
      </c>
    </row>
    <row r="167" spans="1:28" ht="24.95" customHeight="1" x14ac:dyDescent="0.15">
      <c r="A167" s="110">
        <v>7</v>
      </c>
      <c r="B167" s="71">
        <v>3</v>
      </c>
      <c r="C167" s="100" t="s">
        <v>918</v>
      </c>
      <c r="D167" s="110" t="s">
        <v>779</v>
      </c>
      <c r="E167" s="71">
        <v>45</v>
      </c>
      <c r="F167" s="382">
        <f>IF(D167=예상등급!$A$1,LOOKUP(E167,예상등급!$A$5:$A$13,예상등급!$B$5:$B$13),IF(D167=예상등급!$A$15,LOOKUP(E167,예상등급!$A$19:$A$27,예상등급!$B$19:$B$27),""))</f>
        <v>5</v>
      </c>
      <c r="G167" s="110" t="s">
        <v>781</v>
      </c>
      <c r="H167" s="71">
        <v>58</v>
      </c>
      <c r="I167" s="382">
        <f>IF(G167=예상등급!$G$15,LOOKUP(H167,예상등급!$G$19:$G$27,예상등급!$H$19:$H$27),IF(G167=예상등급!$J$15,LOOKUP(H167,예상등급!$J$19:$J$27,예상등급!$K$19:$K$27),IF(G167=예상등급!$M$15,LOOKUP(H167,예상등급!$M$19:$M$27,예상등급!$N$19:$N$27),"")))</f>
        <v>4</v>
      </c>
      <c r="J167" s="110">
        <v>47</v>
      </c>
      <c r="K167" s="382">
        <f>IF(J167="","",(LOOKUP(J167,예상등급!$D$5:$D$13,예상등급!$E$5:$E$13)))</f>
        <v>6</v>
      </c>
      <c r="L167" s="301">
        <f>SUM(E167,H167,J167)</f>
        <v>150</v>
      </c>
      <c r="M167" s="398">
        <f>RANK(L167,$L$4:$L$491)</f>
        <v>133</v>
      </c>
      <c r="N167" s="110" t="s">
        <v>762</v>
      </c>
      <c r="O167" s="71">
        <v>14</v>
      </c>
      <c r="P167" s="385">
        <f>IF(N167=예상등급!$G$1,LOOKUP(O167,예상등급!$G$5:$G$13,예상등급!$H$5:$H$13),IF(N167=예상등급!$J$1,LOOKUP(O167,예상등급!$J$5:$J$13,예상등급!$K$5:$K$13),IF(N167=예상등급!$M$1,LOOKUP(O167,예상등급!$M$5:$M$13,예상등급!$N$5:$N$13),IF(N167=예상등급!$P$1,LOOKUP(O167,예상등급!$P$5:$P$13,예상등급!$Q$5:$Q$13),IF(N167=예상등급!$S$1,LOOKUP(O167,예상등급!$S$5:$S$13,예상등급!$T$5:$T$13),IF(N167=예상등급!$V$1,LOOKUP(O167,예상등급!$V$5:$V$13,예상등급!$W$5:$W$13),IF(N167=예상등급!$Y$1,LOOKUP(O167,예상등급!$Y$5:$Y$13,예상등급!$Z$5:$Z$13),IF(N167=예상등급!$AB$1,LOOKUP(O167,예상등급!$AB$5:$AB$13,예상등급!$AC$5:$AC$13),IF(N167=예상등급!$AE$1,LOOKUP(O167,예상등급!$AE$5:$AE$13,예상등급!$AF$5:$AF$13),IF(N167=예상등급!$AH$1,LOOKUP(O167,예상등급!$AH$5:$AH$13,예상등급!$AI$5:$AI$13),IF(N167=예상등급!$AK$1,LOOKUP(O167,예상등급!$AK$5:$AK$13,예상등급!$AL$5:$AL$13),IF(N167=예상등급!$AN$1,LOOKUP(O167,예상등급!$AN$5:$AN$13,예상등급!$AO$5:$AO$13),IF(N167=예상등급!$AQ$1,LOOKUP(O167,예상등급!$AQ$5:$AQ$13,예상등급!$AR$5:$AR$13),IF(N167=예상등급!$AH$15,LOOKUP(O167,예상등급!$AH$19:$AH$27,예상등급!$AI$19:$AI$27),IF(N167=예상등급!$AK$15,LOOKUP(O167,예상등급!$AK$19:$AK$27,예상등급!$AL$19:$AL$27),IF(N167=예상등급!$AN$15,LOOKUP(O167,예상등급!$AN$19:$AN$27,예상등급!$AO$19:$AO$27),IF(N167=예상등급!$AQ$15,LOOKUP(O167,예상등급!$AQ$19:$AQ$27,예상등급!$AR$19:$AR$27),"")))))))))))))))))</f>
        <v>6</v>
      </c>
      <c r="Q167" s="110" t="s">
        <v>771</v>
      </c>
      <c r="R167" s="71">
        <v>8</v>
      </c>
      <c r="S167" s="385">
        <f>IF(Q167=예상등급!$G$1,LOOKUP(R167,예상등급!$G$5:$G$13,예상등급!$H$5:$H$13),IF(Q167=예상등급!$J$1,LOOKUP(R167,예상등급!$J$5:$J$13,예상등급!$K$5:$K$13),IF(Q167=예상등급!$M$1,LOOKUP(R167,예상등급!$M$5:$M$13,예상등급!$N$5:$N$13),IF(Q167=예상등급!$P$1,LOOKUP(R167,예상등급!$P$5:$P$13,예상등급!$Q$5:$Q$13),IF(Q167=예상등급!$S$1,LOOKUP(R167,예상등급!$S$5:$S$13,예상등급!$T$5:$T$13),IF(Q167=예상등급!$V$1,LOOKUP(R167,예상등급!$V$5:$V$13,예상등급!$W$5:$W$13),IF(Q167=예상등급!$Y$1,LOOKUP(R167,예상등급!$Y$5:$Y$13,예상등급!$Z$5:$Z$13),IF(Q167=예상등급!$AB$1,LOOKUP(R167,예상등급!$AB$5:$AB$13,예상등급!$AC$5:$AC$13),IF(Q167=예상등급!$AE$1,LOOKUP(R167,예상등급!$AE$5:$AE$13,예상등급!$AF$5:$AF$13),IF(Q167=예상등급!$AH$1,LOOKUP(R167,예상등급!$AH$5:$AH$13,예상등급!$AI$5:$AI$13),IF(Q167=예상등급!$AK$1,LOOKUP(R167,예상등급!$AK$5:$AK$13,예상등급!$AL$5:$AL$13),IF(Q167=예상등급!$AN$1,LOOKUP(R167,예상등급!$AN$5:$AN$13,예상등급!$AO$5:$AO$13),IF(Q167=예상등급!$AQ$1,LOOKUP(R167,예상등급!$AQ$5:$AQ$13,예상등급!$AR$5:$AR$13),IF(Q167=예상등급!$AH$15,LOOKUP(R167,예상등급!$AH$19:$AH$27,예상등급!$AI$19:$AI$27),IF(Q167=예상등급!$AK$15,LOOKUP(R167,예상등급!$AK$19:$AK$27,예상등급!$AL$19:$AL$27),IF(Q167=예상등급!$AN$15,LOOKUP(R167,예상등급!$AN$19:$AN$27,예상등급!$AO$19:$AO$27),IF(Q167=예상등급!$AQ$15,LOOKUP(R167,예상등급!$AQ$19:$AQ$27,예상등급!$AR$19:$AR$27),"")))))))))))))))))</f>
        <v>8</v>
      </c>
      <c r="T167" s="110">
        <v>10</v>
      </c>
      <c r="U167" s="382">
        <f>IF(T167="","",LOOKUP(T167,예상등급!$D$19:$D$27,예상등급!$E$19:$E$27))</f>
        <v>7</v>
      </c>
      <c r="V167" s="402">
        <f>SUM(L167,T167,R167,O167)</f>
        <v>182</v>
      </c>
      <c r="W167" s="278">
        <f>RANK(V167,$V$4:$V$491)</f>
        <v>164</v>
      </c>
    </row>
    <row r="168" spans="1:28" ht="24.95" customHeight="1" x14ac:dyDescent="0.15">
      <c r="A168" s="110">
        <v>9</v>
      </c>
      <c r="B168" s="71">
        <v>25</v>
      </c>
      <c r="C168" s="100" t="s">
        <v>982</v>
      </c>
      <c r="D168" s="110" t="s">
        <v>779</v>
      </c>
      <c r="E168" s="71">
        <v>34</v>
      </c>
      <c r="F168" s="382">
        <f>IF(D168=예상등급!$A$1,LOOKUP(E168,예상등급!$A$5:$A$13,예상등급!$B$5:$B$13),IF(D168=예상등급!$A$15,LOOKUP(E168,예상등급!$A$19:$A$27,예상등급!$B$19:$B$27),""))</f>
        <v>6</v>
      </c>
      <c r="G168" s="110" t="s">
        <v>780</v>
      </c>
      <c r="H168" s="71">
        <v>58</v>
      </c>
      <c r="I168" s="382">
        <f>IF(G168=예상등급!$G$15,LOOKUP(H168,예상등급!$G$19:$G$27,예상등급!$H$19:$H$27),IF(G168=예상등급!$J$15,LOOKUP(H168,예상등급!$J$19:$J$27,예상등급!$K$19:$K$27),IF(G168=예상등급!$M$15,LOOKUP(H168,예상등급!$M$19:$M$27,예상등급!$N$19:$N$27),"")))</f>
        <v>5</v>
      </c>
      <c r="J168" s="110">
        <v>47</v>
      </c>
      <c r="K168" s="382">
        <f>IF(J168="","",(LOOKUP(J168,예상등급!$D$5:$D$13,예상등급!$E$5:$E$13)))</f>
        <v>6</v>
      </c>
      <c r="L168" s="301">
        <f>SUM(E168,H168,J168)</f>
        <v>139</v>
      </c>
      <c r="M168" s="398">
        <f>RANK(L168,$L$4:$L$491)</f>
        <v>151</v>
      </c>
      <c r="N168" s="110" t="s">
        <v>762</v>
      </c>
      <c r="O168" s="71">
        <v>14</v>
      </c>
      <c r="P168" s="385">
        <f>IF(N168=예상등급!$G$1,LOOKUP(O168,예상등급!$G$5:$G$13,예상등급!$H$5:$H$13),IF(N168=예상등급!$J$1,LOOKUP(O168,예상등급!$J$5:$J$13,예상등급!$K$5:$K$13),IF(N168=예상등급!$M$1,LOOKUP(O168,예상등급!$M$5:$M$13,예상등급!$N$5:$N$13),IF(N168=예상등급!$P$1,LOOKUP(O168,예상등급!$P$5:$P$13,예상등급!$Q$5:$Q$13),IF(N168=예상등급!$S$1,LOOKUP(O168,예상등급!$S$5:$S$13,예상등급!$T$5:$T$13),IF(N168=예상등급!$V$1,LOOKUP(O168,예상등급!$V$5:$V$13,예상등급!$W$5:$W$13),IF(N168=예상등급!$Y$1,LOOKUP(O168,예상등급!$Y$5:$Y$13,예상등급!$Z$5:$Z$13),IF(N168=예상등급!$AB$1,LOOKUP(O168,예상등급!$AB$5:$AB$13,예상등급!$AC$5:$AC$13),IF(N168=예상등급!$AE$1,LOOKUP(O168,예상등급!$AE$5:$AE$13,예상등급!$AF$5:$AF$13),IF(N168=예상등급!$AH$1,LOOKUP(O168,예상등급!$AH$5:$AH$13,예상등급!$AI$5:$AI$13),IF(N168=예상등급!$AK$1,LOOKUP(O168,예상등급!$AK$5:$AK$13,예상등급!$AL$5:$AL$13),IF(N168=예상등급!$AN$1,LOOKUP(O168,예상등급!$AN$5:$AN$13,예상등급!$AO$5:$AO$13),IF(N168=예상등급!$AQ$1,LOOKUP(O168,예상등급!$AQ$5:$AQ$13,예상등급!$AR$5:$AR$13),IF(N168=예상등급!$AH$15,LOOKUP(O168,예상등급!$AH$19:$AH$27,예상등급!$AI$19:$AI$27),IF(N168=예상등급!$AK$15,LOOKUP(O168,예상등급!$AK$19:$AK$27,예상등급!$AL$19:$AL$27),IF(N168=예상등급!$AN$15,LOOKUP(O168,예상등급!$AN$19:$AN$27,예상등급!$AO$19:$AO$27),IF(N168=예상등급!$AQ$15,LOOKUP(O168,예상등급!$AQ$19:$AQ$27,예상등급!$AR$19:$AR$27),"")))))))))))))))))</f>
        <v>6</v>
      </c>
      <c r="Q168" s="110" t="s">
        <v>761</v>
      </c>
      <c r="R168" s="71">
        <v>10</v>
      </c>
      <c r="S168" s="385">
        <f>IF(Q168=예상등급!$G$1,LOOKUP(R168,예상등급!$G$5:$G$13,예상등급!$H$5:$H$13),IF(Q168=예상등급!$J$1,LOOKUP(R168,예상등급!$J$5:$J$13,예상등급!$K$5:$K$13),IF(Q168=예상등급!$M$1,LOOKUP(R168,예상등급!$M$5:$M$13,예상등급!$N$5:$N$13),IF(Q168=예상등급!$P$1,LOOKUP(R168,예상등급!$P$5:$P$13,예상등급!$Q$5:$Q$13),IF(Q168=예상등급!$S$1,LOOKUP(R168,예상등급!$S$5:$S$13,예상등급!$T$5:$T$13),IF(Q168=예상등급!$V$1,LOOKUP(R168,예상등급!$V$5:$V$13,예상등급!$W$5:$W$13),IF(Q168=예상등급!$Y$1,LOOKUP(R168,예상등급!$Y$5:$Y$13,예상등급!$Z$5:$Z$13),IF(Q168=예상등급!$AB$1,LOOKUP(R168,예상등급!$AB$5:$AB$13,예상등급!$AC$5:$AC$13),IF(Q168=예상등급!$AE$1,LOOKUP(R168,예상등급!$AE$5:$AE$13,예상등급!$AF$5:$AF$13),IF(Q168=예상등급!$AH$1,LOOKUP(R168,예상등급!$AH$5:$AH$13,예상등급!$AI$5:$AI$13),IF(Q168=예상등급!$AK$1,LOOKUP(R168,예상등급!$AK$5:$AK$13,예상등급!$AL$5:$AL$13),IF(Q168=예상등급!$AN$1,LOOKUP(R168,예상등급!$AN$5:$AN$13,예상등급!$AO$5:$AO$13),IF(Q168=예상등급!$AQ$1,LOOKUP(R168,예상등급!$AQ$5:$AQ$13,예상등급!$AR$5:$AR$13),IF(Q168=예상등급!$AH$15,LOOKUP(R168,예상등급!$AH$19:$AH$27,예상등급!$AI$19:$AI$27),IF(Q168=예상등급!$AK$15,LOOKUP(R168,예상등급!$AK$19:$AK$27,예상등급!$AL$19:$AL$27),IF(Q168=예상등급!$AN$15,LOOKUP(R168,예상등급!$AN$19:$AN$27,예상등급!$AO$19:$AO$27),IF(Q168=예상등급!$AQ$15,LOOKUP(R168,예상등급!$AQ$19:$AQ$27,예상등급!$AR$19:$AR$27),"")))))))))))))))))</f>
        <v>7</v>
      </c>
      <c r="T168" s="110">
        <v>18</v>
      </c>
      <c r="U168" s="382">
        <f>IF(T168="","",LOOKUP(T168,예상등급!$D$19:$D$27,예상등급!$E$19:$E$27))</f>
        <v>6</v>
      </c>
      <c r="V168" s="402">
        <f>SUM(L168,T168,R168,O168)</f>
        <v>181</v>
      </c>
      <c r="W168" s="278">
        <f>RANK(V168,$V$4:$V$491)</f>
        <v>165</v>
      </c>
    </row>
    <row r="169" spans="1:28" ht="24.95" customHeight="1" x14ac:dyDescent="0.15">
      <c r="A169" s="110">
        <v>7</v>
      </c>
      <c r="B169" s="71">
        <v>10</v>
      </c>
      <c r="C169" s="100" t="s">
        <v>924</v>
      </c>
      <c r="D169" s="110" t="s">
        <v>779</v>
      </c>
      <c r="E169" s="71">
        <v>42</v>
      </c>
      <c r="F169" s="382">
        <f>IF(D169=예상등급!$A$1,LOOKUP(E169,예상등급!$A$5:$A$13,예상등급!$B$5:$B$13),IF(D169=예상등급!$A$15,LOOKUP(E169,예상등급!$A$19:$A$27,예상등급!$B$19:$B$27),""))</f>
        <v>5</v>
      </c>
      <c r="G169" s="110" t="s">
        <v>781</v>
      </c>
      <c r="H169" s="71">
        <v>43</v>
      </c>
      <c r="I169" s="382">
        <f>IF(G169=예상등급!$G$15,LOOKUP(H169,예상등급!$G$19:$G$27,예상등급!$H$19:$H$27),IF(G169=예상등급!$J$15,LOOKUP(H169,예상등급!$J$19:$J$27,예상등급!$K$19:$K$27),IF(G169=예상등급!$M$15,LOOKUP(H169,예상등급!$M$19:$M$27,예상등급!$N$19:$N$27),"")))</f>
        <v>5</v>
      </c>
      <c r="J169" s="110">
        <v>53</v>
      </c>
      <c r="K169" s="382">
        <f>IF(J169="","",(LOOKUP(J169,예상등급!$D$5:$D$13,예상등급!$E$5:$E$13)))</f>
        <v>5</v>
      </c>
      <c r="L169" s="301">
        <f>SUM(E169,H169,J169)</f>
        <v>138</v>
      </c>
      <c r="M169" s="398">
        <f>RANK(L169,$L$4:$L$491)</f>
        <v>153</v>
      </c>
      <c r="N169" s="110" t="s">
        <v>769</v>
      </c>
      <c r="O169" s="71">
        <v>18</v>
      </c>
      <c r="P169" s="385">
        <f>IF(N169=예상등급!$G$1,LOOKUP(O169,예상등급!$G$5:$G$13,예상등급!$H$5:$H$13),IF(N169=예상등급!$J$1,LOOKUP(O169,예상등급!$J$5:$J$13,예상등급!$K$5:$K$13),IF(N169=예상등급!$M$1,LOOKUP(O169,예상등급!$M$5:$M$13,예상등급!$N$5:$N$13),IF(N169=예상등급!$P$1,LOOKUP(O169,예상등급!$P$5:$P$13,예상등급!$Q$5:$Q$13),IF(N169=예상등급!$S$1,LOOKUP(O169,예상등급!$S$5:$S$13,예상등급!$T$5:$T$13),IF(N169=예상등급!$V$1,LOOKUP(O169,예상등급!$V$5:$V$13,예상등급!$W$5:$W$13),IF(N169=예상등급!$Y$1,LOOKUP(O169,예상등급!$Y$5:$Y$13,예상등급!$Z$5:$Z$13),IF(N169=예상등급!$AB$1,LOOKUP(O169,예상등급!$AB$5:$AB$13,예상등급!$AC$5:$AC$13),IF(N169=예상등급!$AE$1,LOOKUP(O169,예상등급!$AE$5:$AE$13,예상등급!$AF$5:$AF$13),IF(N169=예상등급!$AH$1,LOOKUP(O169,예상등급!$AH$5:$AH$13,예상등급!$AI$5:$AI$13),IF(N169=예상등급!$AK$1,LOOKUP(O169,예상등급!$AK$5:$AK$13,예상등급!$AL$5:$AL$13),IF(N169=예상등급!$AN$1,LOOKUP(O169,예상등급!$AN$5:$AN$13,예상등급!$AO$5:$AO$13),IF(N169=예상등급!$AQ$1,LOOKUP(O169,예상등급!$AQ$5:$AQ$13,예상등급!$AR$5:$AR$13),IF(N169=예상등급!$AH$15,LOOKUP(O169,예상등급!$AH$19:$AH$27,예상등급!$AI$19:$AI$27),IF(N169=예상등급!$AK$15,LOOKUP(O169,예상등급!$AK$19:$AK$27,예상등급!$AL$19:$AL$27),IF(N169=예상등급!$AN$15,LOOKUP(O169,예상등급!$AN$19:$AN$27,예상등급!$AO$19:$AO$27),IF(N169=예상등급!$AQ$15,LOOKUP(O169,예상등급!$AQ$19:$AQ$27,예상등급!$AR$19:$AR$27),"")))))))))))))))))</f>
        <v>5</v>
      </c>
      <c r="Q169" s="110" t="s">
        <v>771</v>
      </c>
      <c r="R169" s="71">
        <v>8</v>
      </c>
      <c r="S169" s="385">
        <f>IF(Q169=예상등급!$G$1,LOOKUP(R169,예상등급!$G$5:$G$13,예상등급!$H$5:$H$13),IF(Q169=예상등급!$J$1,LOOKUP(R169,예상등급!$J$5:$J$13,예상등급!$K$5:$K$13),IF(Q169=예상등급!$M$1,LOOKUP(R169,예상등급!$M$5:$M$13,예상등급!$N$5:$N$13),IF(Q169=예상등급!$P$1,LOOKUP(R169,예상등급!$P$5:$P$13,예상등급!$Q$5:$Q$13),IF(Q169=예상등급!$S$1,LOOKUP(R169,예상등급!$S$5:$S$13,예상등급!$T$5:$T$13),IF(Q169=예상등급!$V$1,LOOKUP(R169,예상등급!$V$5:$V$13,예상등급!$W$5:$W$13),IF(Q169=예상등급!$Y$1,LOOKUP(R169,예상등급!$Y$5:$Y$13,예상등급!$Z$5:$Z$13),IF(Q169=예상등급!$AB$1,LOOKUP(R169,예상등급!$AB$5:$AB$13,예상등급!$AC$5:$AC$13),IF(Q169=예상등급!$AE$1,LOOKUP(R169,예상등급!$AE$5:$AE$13,예상등급!$AF$5:$AF$13),IF(Q169=예상등급!$AH$1,LOOKUP(R169,예상등급!$AH$5:$AH$13,예상등급!$AI$5:$AI$13),IF(Q169=예상등급!$AK$1,LOOKUP(R169,예상등급!$AK$5:$AK$13,예상등급!$AL$5:$AL$13),IF(Q169=예상등급!$AN$1,LOOKUP(R169,예상등급!$AN$5:$AN$13,예상등급!$AO$5:$AO$13),IF(Q169=예상등급!$AQ$1,LOOKUP(R169,예상등급!$AQ$5:$AQ$13,예상등급!$AR$5:$AR$13),IF(Q169=예상등급!$AH$15,LOOKUP(R169,예상등급!$AH$19:$AH$27,예상등급!$AI$19:$AI$27),IF(Q169=예상등급!$AK$15,LOOKUP(R169,예상등급!$AK$19:$AK$27,예상등급!$AL$19:$AL$27),IF(Q169=예상등급!$AN$15,LOOKUP(R169,예상등급!$AN$19:$AN$27,예상등급!$AO$19:$AO$27),IF(Q169=예상등급!$AQ$15,LOOKUP(R169,예상등급!$AQ$19:$AQ$27,예상등급!$AR$19:$AR$27),"")))))))))))))))))</f>
        <v>8</v>
      </c>
      <c r="T169" s="110">
        <v>16</v>
      </c>
      <c r="U169" s="382">
        <f>IF(T169="","",LOOKUP(T169,예상등급!$D$19:$D$27,예상등급!$E$19:$E$27))</f>
        <v>6</v>
      </c>
      <c r="V169" s="402">
        <f>SUM(L169,T169,R169,O169)</f>
        <v>180</v>
      </c>
      <c r="W169" s="278">
        <f>RANK(V169,$V$4:$V$491)</f>
        <v>166</v>
      </c>
      <c r="Y169" s="149"/>
      <c r="Z169" s="149"/>
    </row>
    <row r="170" spans="1:28" ht="24.95" customHeight="1" x14ac:dyDescent="0.15">
      <c r="A170" s="110">
        <v>9</v>
      </c>
      <c r="B170" s="71">
        <v>12</v>
      </c>
      <c r="C170" s="100" t="s">
        <v>970</v>
      </c>
      <c r="D170" s="110" t="s">
        <v>779</v>
      </c>
      <c r="E170" s="71">
        <v>46</v>
      </c>
      <c r="F170" s="382">
        <f>IF(D170=예상등급!$A$1,LOOKUP(E170,예상등급!$A$5:$A$13,예상등급!$B$5:$B$13),IF(D170=예상등급!$A$15,LOOKUP(E170,예상등급!$A$19:$A$27,예상등급!$B$19:$B$27),""))</f>
        <v>5</v>
      </c>
      <c r="G170" s="110" t="s">
        <v>780</v>
      </c>
      <c r="H170" s="71">
        <v>17</v>
      </c>
      <c r="I170" s="382">
        <f>IF(G170=예상등급!$G$15,LOOKUP(H170,예상등급!$G$19:$G$27,예상등급!$H$19:$H$27),IF(G170=예상등급!$J$15,LOOKUP(H170,예상등급!$J$19:$J$27,예상등급!$K$19:$K$27),IF(G170=예상등급!$M$15,LOOKUP(H170,예상등급!$M$19:$M$27,예상등급!$N$19:$N$27),"")))</f>
        <v>8</v>
      </c>
      <c r="J170" s="110">
        <v>52</v>
      </c>
      <c r="K170" s="382">
        <f>IF(J170="","",(LOOKUP(J170,예상등급!$D$5:$D$13,예상등급!$E$5:$E$13)))</f>
        <v>5</v>
      </c>
      <c r="L170" s="301">
        <f>SUM(E170,H170,J170)</f>
        <v>115</v>
      </c>
      <c r="M170" s="398">
        <f>RANK(L170,$L$4:$L$491)</f>
        <v>174</v>
      </c>
      <c r="N170" s="110" t="s">
        <v>761</v>
      </c>
      <c r="O170" s="71">
        <v>24</v>
      </c>
      <c r="P170" s="385">
        <f>IF(N170=예상등급!$G$1,LOOKUP(O170,예상등급!$G$5:$G$13,예상등급!$H$5:$H$13),IF(N170=예상등급!$J$1,LOOKUP(O170,예상등급!$J$5:$J$13,예상등급!$K$5:$K$13),IF(N170=예상등급!$M$1,LOOKUP(O170,예상등급!$M$5:$M$13,예상등급!$N$5:$N$13),IF(N170=예상등급!$P$1,LOOKUP(O170,예상등급!$P$5:$P$13,예상등급!$Q$5:$Q$13),IF(N170=예상등급!$S$1,LOOKUP(O170,예상등급!$S$5:$S$13,예상등급!$T$5:$T$13),IF(N170=예상등급!$V$1,LOOKUP(O170,예상등급!$V$5:$V$13,예상등급!$W$5:$W$13),IF(N170=예상등급!$Y$1,LOOKUP(O170,예상등급!$Y$5:$Y$13,예상등급!$Z$5:$Z$13),IF(N170=예상등급!$AB$1,LOOKUP(O170,예상등급!$AB$5:$AB$13,예상등급!$AC$5:$AC$13),IF(N170=예상등급!$AE$1,LOOKUP(O170,예상등급!$AE$5:$AE$13,예상등급!$AF$5:$AF$13),IF(N170=예상등급!$AH$1,LOOKUP(O170,예상등급!$AH$5:$AH$13,예상등급!$AI$5:$AI$13),IF(N170=예상등급!$AK$1,LOOKUP(O170,예상등급!$AK$5:$AK$13,예상등급!$AL$5:$AL$13),IF(N170=예상등급!$AN$1,LOOKUP(O170,예상등급!$AN$5:$AN$13,예상등급!$AO$5:$AO$13),IF(N170=예상등급!$AQ$1,LOOKUP(O170,예상등급!$AQ$5:$AQ$13,예상등급!$AR$5:$AR$13),IF(N170=예상등급!$AH$15,LOOKUP(O170,예상등급!$AH$19:$AH$27,예상등급!$AI$19:$AI$27),IF(N170=예상등급!$AK$15,LOOKUP(O170,예상등급!$AK$19:$AK$27,예상등급!$AL$19:$AL$27),IF(N170=예상등급!$AN$15,LOOKUP(O170,예상등급!$AN$19:$AN$27,예상등급!$AO$19:$AO$27),IF(N170=예상등급!$AQ$15,LOOKUP(O170,예상등급!$AQ$19:$AQ$27,예상등급!$AR$19:$AR$27),"")))))))))))))))))</f>
        <v>5</v>
      </c>
      <c r="Q170" s="110" t="s">
        <v>762</v>
      </c>
      <c r="R170" s="71">
        <v>24</v>
      </c>
      <c r="S170" s="385">
        <f>IF(Q170=예상등급!$G$1,LOOKUP(R170,예상등급!$G$5:$G$13,예상등급!$H$5:$H$13),IF(Q170=예상등급!$J$1,LOOKUP(R170,예상등급!$J$5:$J$13,예상등급!$K$5:$K$13),IF(Q170=예상등급!$M$1,LOOKUP(R170,예상등급!$M$5:$M$13,예상등급!$N$5:$N$13),IF(Q170=예상등급!$P$1,LOOKUP(R170,예상등급!$P$5:$P$13,예상등급!$Q$5:$Q$13),IF(Q170=예상등급!$S$1,LOOKUP(R170,예상등급!$S$5:$S$13,예상등급!$T$5:$T$13),IF(Q170=예상등급!$V$1,LOOKUP(R170,예상등급!$V$5:$V$13,예상등급!$W$5:$W$13),IF(Q170=예상등급!$Y$1,LOOKUP(R170,예상등급!$Y$5:$Y$13,예상등급!$Z$5:$Z$13),IF(Q170=예상등급!$AB$1,LOOKUP(R170,예상등급!$AB$5:$AB$13,예상등급!$AC$5:$AC$13),IF(Q170=예상등급!$AE$1,LOOKUP(R170,예상등급!$AE$5:$AE$13,예상등급!$AF$5:$AF$13),IF(Q170=예상등급!$AH$1,LOOKUP(R170,예상등급!$AH$5:$AH$13,예상등급!$AI$5:$AI$13),IF(Q170=예상등급!$AK$1,LOOKUP(R170,예상등급!$AK$5:$AK$13,예상등급!$AL$5:$AL$13),IF(Q170=예상등급!$AN$1,LOOKUP(R170,예상등급!$AN$5:$AN$13,예상등급!$AO$5:$AO$13),IF(Q170=예상등급!$AQ$1,LOOKUP(R170,예상등급!$AQ$5:$AQ$13,예상등급!$AR$5:$AR$13),IF(Q170=예상등급!$AH$15,LOOKUP(R170,예상등급!$AH$19:$AH$27,예상등급!$AI$19:$AI$27),IF(Q170=예상등급!$AK$15,LOOKUP(R170,예상등급!$AK$19:$AK$27,예상등급!$AL$19:$AL$27),IF(Q170=예상등급!$AN$15,LOOKUP(R170,예상등급!$AN$19:$AN$27,예상등급!$AO$19:$AO$27),IF(Q170=예상등급!$AQ$15,LOOKUP(R170,예상등급!$AQ$19:$AQ$27,예상등급!$AR$19:$AR$27),"")))))))))))))))))</f>
        <v>5</v>
      </c>
      <c r="T170" s="110">
        <v>16</v>
      </c>
      <c r="U170" s="382">
        <f>IF(T170="","",LOOKUP(T170,예상등급!$D$19:$D$27,예상등급!$E$19:$E$27))</f>
        <v>6</v>
      </c>
      <c r="V170" s="402">
        <f>SUM(L170,T170,R170,O170)</f>
        <v>179</v>
      </c>
      <c r="W170" s="278">
        <f>RANK(V170,$V$4:$V$491)</f>
        <v>167</v>
      </c>
    </row>
    <row r="171" spans="1:28" ht="24.95" customHeight="1" x14ac:dyDescent="0.15">
      <c r="A171" s="110">
        <v>10</v>
      </c>
      <c r="B171" s="71">
        <v>19</v>
      </c>
      <c r="C171" s="100" t="s">
        <v>1002</v>
      </c>
      <c r="D171" s="110" t="s">
        <v>779</v>
      </c>
      <c r="E171" s="71">
        <v>37</v>
      </c>
      <c r="F171" s="382">
        <f>IF(D171=예상등급!$A$1,LOOKUP(E171,예상등급!$A$5:$A$13,예상등급!$B$5:$B$13),IF(D171=예상등급!$A$15,LOOKUP(E171,예상등급!$A$19:$A$27,예상등급!$B$19:$B$27),""))</f>
        <v>6</v>
      </c>
      <c r="G171" s="110" t="s">
        <v>780</v>
      </c>
      <c r="H171" s="71">
        <v>15</v>
      </c>
      <c r="I171" s="382">
        <f>IF(G171=예상등급!$G$15,LOOKUP(H171,예상등급!$G$19:$G$27,예상등급!$H$19:$H$27),IF(G171=예상등급!$J$15,LOOKUP(H171,예상등급!$J$19:$J$27,예상등급!$K$19:$K$27),IF(G171=예상등급!$M$15,LOOKUP(H171,예상등급!$M$19:$M$27,예상등급!$N$19:$N$27),"")))</f>
        <v>8</v>
      </c>
      <c r="J171" s="110">
        <v>85</v>
      </c>
      <c r="K171" s="382">
        <f>IF(J171="","",(LOOKUP(J171,예상등급!$D$5:$D$13,예상등급!$E$5:$E$13)))</f>
        <v>2</v>
      </c>
      <c r="L171" s="301">
        <f>SUM(E171,H171,J171)</f>
        <v>137</v>
      </c>
      <c r="M171" s="398">
        <f>RANK(L171,$L$4:$L$491)</f>
        <v>156</v>
      </c>
      <c r="N171" s="110" t="s">
        <v>761</v>
      </c>
      <c r="O171" s="71">
        <v>6</v>
      </c>
      <c r="P171" s="385">
        <f>IF(N171=예상등급!$G$1,LOOKUP(O171,예상등급!$G$5:$G$13,예상등급!$H$5:$H$13),IF(N171=예상등급!$J$1,LOOKUP(O171,예상등급!$J$5:$J$13,예상등급!$K$5:$K$13),IF(N171=예상등급!$M$1,LOOKUP(O171,예상등급!$M$5:$M$13,예상등급!$N$5:$N$13),IF(N171=예상등급!$P$1,LOOKUP(O171,예상등급!$P$5:$P$13,예상등급!$Q$5:$Q$13),IF(N171=예상등급!$S$1,LOOKUP(O171,예상등급!$S$5:$S$13,예상등급!$T$5:$T$13),IF(N171=예상등급!$V$1,LOOKUP(O171,예상등급!$V$5:$V$13,예상등급!$W$5:$W$13),IF(N171=예상등급!$Y$1,LOOKUP(O171,예상등급!$Y$5:$Y$13,예상등급!$Z$5:$Z$13),IF(N171=예상등급!$AB$1,LOOKUP(O171,예상등급!$AB$5:$AB$13,예상등급!$AC$5:$AC$13),IF(N171=예상등급!$AE$1,LOOKUP(O171,예상등급!$AE$5:$AE$13,예상등급!$AF$5:$AF$13),IF(N171=예상등급!$AH$1,LOOKUP(O171,예상등급!$AH$5:$AH$13,예상등급!$AI$5:$AI$13),IF(N171=예상등급!$AK$1,LOOKUP(O171,예상등급!$AK$5:$AK$13,예상등급!$AL$5:$AL$13),IF(N171=예상등급!$AN$1,LOOKUP(O171,예상등급!$AN$5:$AN$13,예상등급!$AO$5:$AO$13),IF(N171=예상등급!$AQ$1,LOOKUP(O171,예상등급!$AQ$5:$AQ$13,예상등급!$AR$5:$AR$13),IF(N171=예상등급!$AH$15,LOOKUP(O171,예상등급!$AH$19:$AH$27,예상등급!$AI$19:$AI$27),IF(N171=예상등급!$AK$15,LOOKUP(O171,예상등급!$AK$19:$AK$27,예상등급!$AL$19:$AL$27),IF(N171=예상등급!$AN$15,LOOKUP(O171,예상등급!$AN$19:$AN$27,예상등급!$AO$19:$AO$27),IF(N171=예상등급!$AQ$15,LOOKUP(O171,예상등급!$AQ$19:$AQ$27,예상등급!$AR$19:$AR$27),"")))))))))))))))))</f>
        <v>8</v>
      </c>
      <c r="Q171" s="110" t="s">
        <v>762</v>
      </c>
      <c r="R171" s="71">
        <v>20</v>
      </c>
      <c r="S171" s="385">
        <f>IF(Q171=예상등급!$G$1,LOOKUP(R171,예상등급!$G$5:$G$13,예상등급!$H$5:$H$13),IF(Q171=예상등급!$J$1,LOOKUP(R171,예상등급!$J$5:$J$13,예상등급!$K$5:$K$13),IF(Q171=예상등급!$M$1,LOOKUP(R171,예상등급!$M$5:$M$13,예상등급!$N$5:$N$13),IF(Q171=예상등급!$P$1,LOOKUP(R171,예상등급!$P$5:$P$13,예상등급!$Q$5:$Q$13),IF(Q171=예상등급!$S$1,LOOKUP(R171,예상등급!$S$5:$S$13,예상등급!$T$5:$T$13),IF(Q171=예상등급!$V$1,LOOKUP(R171,예상등급!$V$5:$V$13,예상등급!$W$5:$W$13),IF(Q171=예상등급!$Y$1,LOOKUP(R171,예상등급!$Y$5:$Y$13,예상등급!$Z$5:$Z$13),IF(Q171=예상등급!$AB$1,LOOKUP(R171,예상등급!$AB$5:$AB$13,예상등급!$AC$5:$AC$13),IF(Q171=예상등급!$AE$1,LOOKUP(R171,예상등급!$AE$5:$AE$13,예상등급!$AF$5:$AF$13),IF(Q171=예상등급!$AH$1,LOOKUP(R171,예상등급!$AH$5:$AH$13,예상등급!$AI$5:$AI$13),IF(Q171=예상등급!$AK$1,LOOKUP(R171,예상등급!$AK$5:$AK$13,예상등급!$AL$5:$AL$13),IF(Q171=예상등급!$AN$1,LOOKUP(R171,예상등급!$AN$5:$AN$13,예상등급!$AO$5:$AO$13),IF(Q171=예상등급!$AQ$1,LOOKUP(R171,예상등급!$AQ$5:$AQ$13,예상등급!$AR$5:$AR$13),IF(Q171=예상등급!$AH$15,LOOKUP(R171,예상등급!$AH$19:$AH$27,예상등급!$AI$19:$AI$27),IF(Q171=예상등급!$AK$15,LOOKUP(R171,예상등급!$AK$19:$AK$27,예상등급!$AL$19:$AL$27),IF(Q171=예상등급!$AN$15,LOOKUP(R171,예상등급!$AN$19:$AN$27,예상등급!$AO$19:$AO$27),IF(Q171=예상등급!$AQ$15,LOOKUP(R171,예상등급!$AQ$19:$AQ$27,예상등급!$AR$19:$AR$27),"")))))))))))))))))</f>
        <v>5</v>
      </c>
      <c r="T171" s="110">
        <v>15</v>
      </c>
      <c r="U171" s="382">
        <f>IF(T171="","",LOOKUP(T171,예상등급!$D$19:$D$27,예상등급!$E$19:$E$27))</f>
        <v>6</v>
      </c>
      <c r="V171" s="402">
        <f>SUM(L171,T171,R171,O171)</f>
        <v>178</v>
      </c>
      <c r="W171" s="278">
        <f>RANK(V171,$V$4:$V$491)</f>
        <v>168</v>
      </c>
    </row>
    <row r="172" spans="1:28" ht="24.95" customHeight="1" x14ac:dyDescent="0.15">
      <c r="A172" s="110">
        <v>5</v>
      </c>
      <c r="B172" s="71">
        <v>20</v>
      </c>
      <c r="C172" s="100" t="s">
        <v>506</v>
      </c>
      <c r="D172" s="110" t="s">
        <v>779</v>
      </c>
      <c r="E172" s="71">
        <v>46</v>
      </c>
      <c r="F172" s="382">
        <f>IF(D172=예상등급!$A$1,LOOKUP(E172,예상등급!$A$5:$A$13,예상등급!$B$5:$B$13),IF(D172=예상등급!$A$15,LOOKUP(E172,예상등급!$A$19:$A$27,예상등급!$B$19:$B$27),""))</f>
        <v>5</v>
      </c>
      <c r="G172" s="110" t="s">
        <v>780</v>
      </c>
      <c r="H172" s="71">
        <v>28</v>
      </c>
      <c r="I172" s="382">
        <f>IF(G172=예상등급!$G$15,LOOKUP(H172,예상등급!$G$19:$G$27,예상등급!$H$19:$H$27),IF(G172=예상등급!$J$15,LOOKUP(H172,예상등급!$J$19:$J$27,예상등급!$K$19:$K$27),IF(G172=예상등급!$M$15,LOOKUP(H172,예상등급!$M$19:$M$27,예상등급!$N$19:$N$27),"")))</f>
        <v>6</v>
      </c>
      <c r="J172" s="110">
        <v>70</v>
      </c>
      <c r="K172" s="382">
        <f>IF(J172="","",(LOOKUP(J172,예상등급!$D$5:$D$13,예상등급!$E$5:$E$13)))</f>
        <v>3</v>
      </c>
      <c r="L172" s="301">
        <f>SUM(E172,H172,J172)</f>
        <v>144</v>
      </c>
      <c r="M172" s="398">
        <f>RANK(L172,$L$4:$L$491)</f>
        <v>143</v>
      </c>
      <c r="N172" s="110" t="s">
        <v>762</v>
      </c>
      <c r="O172" s="71">
        <v>16</v>
      </c>
      <c r="P172" s="385">
        <f>IF(N172=예상등급!$G$1,LOOKUP(O172,예상등급!$G$5:$G$13,예상등급!$H$5:$H$13),IF(N172=예상등급!$J$1,LOOKUP(O172,예상등급!$J$5:$J$13,예상등급!$K$5:$K$13),IF(N172=예상등급!$M$1,LOOKUP(O172,예상등급!$M$5:$M$13,예상등급!$N$5:$N$13),IF(N172=예상등급!$P$1,LOOKUP(O172,예상등급!$P$5:$P$13,예상등급!$Q$5:$Q$13),IF(N172=예상등급!$S$1,LOOKUP(O172,예상등급!$S$5:$S$13,예상등급!$T$5:$T$13),IF(N172=예상등급!$V$1,LOOKUP(O172,예상등급!$V$5:$V$13,예상등급!$W$5:$W$13),IF(N172=예상등급!$Y$1,LOOKUP(O172,예상등급!$Y$5:$Y$13,예상등급!$Z$5:$Z$13),IF(N172=예상등급!$AB$1,LOOKUP(O172,예상등급!$AB$5:$AB$13,예상등급!$AC$5:$AC$13),IF(N172=예상등급!$AE$1,LOOKUP(O172,예상등급!$AE$5:$AE$13,예상등급!$AF$5:$AF$13),IF(N172=예상등급!$AH$1,LOOKUP(O172,예상등급!$AH$5:$AH$13,예상등급!$AI$5:$AI$13),IF(N172=예상등급!$AK$1,LOOKUP(O172,예상등급!$AK$5:$AK$13,예상등급!$AL$5:$AL$13),IF(N172=예상등급!$AN$1,LOOKUP(O172,예상등급!$AN$5:$AN$13,예상등급!$AO$5:$AO$13),IF(N172=예상등급!$AQ$1,LOOKUP(O172,예상등급!$AQ$5:$AQ$13,예상등급!$AR$5:$AR$13),IF(N172=예상등급!$AH$15,LOOKUP(O172,예상등급!$AH$19:$AH$27,예상등급!$AI$19:$AI$27),IF(N172=예상등급!$AK$15,LOOKUP(O172,예상등급!$AK$19:$AK$27,예상등급!$AL$19:$AL$27),IF(N172=예상등급!$AN$15,LOOKUP(O172,예상등급!$AN$19:$AN$27,예상등급!$AO$19:$AO$27),IF(N172=예상등급!$AQ$15,LOOKUP(O172,예상등급!$AQ$19:$AQ$27,예상등급!$AR$19:$AR$27),"")))))))))))))))))</f>
        <v>6</v>
      </c>
      <c r="Q172" s="110" t="s">
        <v>765</v>
      </c>
      <c r="R172" s="71">
        <v>11</v>
      </c>
      <c r="S172" s="385">
        <f>IF(Q172=예상등급!$G$1,LOOKUP(R172,예상등급!$G$5:$G$13,예상등급!$H$5:$H$13),IF(Q172=예상등급!$J$1,LOOKUP(R172,예상등급!$J$5:$J$13,예상등급!$K$5:$K$13),IF(Q172=예상등급!$M$1,LOOKUP(R172,예상등급!$M$5:$M$13,예상등급!$N$5:$N$13),IF(Q172=예상등급!$P$1,LOOKUP(R172,예상등급!$P$5:$P$13,예상등급!$Q$5:$Q$13),IF(Q172=예상등급!$S$1,LOOKUP(R172,예상등급!$S$5:$S$13,예상등급!$T$5:$T$13),IF(Q172=예상등급!$V$1,LOOKUP(R172,예상등급!$V$5:$V$13,예상등급!$W$5:$W$13),IF(Q172=예상등급!$Y$1,LOOKUP(R172,예상등급!$Y$5:$Y$13,예상등급!$Z$5:$Z$13),IF(Q172=예상등급!$AB$1,LOOKUP(R172,예상등급!$AB$5:$AB$13,예상등급!$AC$5:$AC$13),IF(Q172=예상등급!$AE$1,LOOKUP(R172,예상등급!$AE$5:$AE$13,예상등급!$AF$5:$AF$13),IF(Q172=예상등급!$AH$1,LOOKUP(R172,예상등급!$AH$5:$AH$13,예상등급!$AI$5:$AI$13),IF(Q172=예상등급!$AK$1,LOOKUP(R172,예상등급!$AK$5:$AK$13,예상등급!$AL$5:$AL$13),IF(Q172=예상등급!$AN$1,LOOKUP(R172,예상등급!$AN$5:$AN$13,예상등급!$AO$5:$AO$13),IF(Q172=예상등급!$AQ$1,LOOKUP(R172,예상등급!$AQ$5:$AQ$13,예상등급!$AR$5:$AR$13),IF(Q172=예상등급!$AH$15,LOOKUP(R172,예상등급!$AH$19:$AH$27,예상등급!$AI$19:$AI$27),IF(Q172=예상등급!$AK$15,LOOKUP(R172,예상등급!$AK$19:$AK$27,예상등급!$AL$19:$AL$27),IF(Q172=예상등급!$AN$15,LOOKUP(R172,예상등급!$AN$19:$AN$27,예상등급!$AO$19:$AO$27),IF(Q172=예상등급!$AQ$15,LOOKUP(R172,예상등급!$AQ$19:$AQ$27,예상등급!$AR$19:$AR$27),"")))))))))))))))))</f>
        <v>7</v>
      </c>
      <c r="T172" s="110">
        <v>6</v>
      </c>
      <c r="U172" s="382">
        <f>IF(T172="","",LOOKUP(T172,예상등급!$D$19:$D$27,예상등급!$E$19:$E$27))</f>
        <v>8</v>
      </c>
      <c r="V172" s="402">
        <f>SUM(L172,T172,R172,O172)</f>
        <v>177</v>
      </c>
      <c r="W172" s="278">
        <f>RANK(V172,$V$4:$V$491)</f>
        <v>169</v>
      </c>
      <c r="Y172" s="149"/>
      <c r="Z172" s="149"/>
    </row>
    <row r="173" spans="1:28" ht="24.95" customHeight="1" x14ac:dyDescent="0.15">
      <c r="A173" s="110">
        <v>9</v>
      </c>
      <c r="B173" s="71">
        <v>8</v>
      </c>
      <c r="C173" s="100" t="s">
        <v>967</v>
      </c>
      <c r="D173" s="110" t="s">
        <v>779</v>
      </c>
      <c r="E173" s="71">
        <v>45</v>
      </c>
      <c r="F173" s="382">
        <f>IF(D173=예상등급!$A$1,LOOKUP(E173,예상등급!$A$5:$A$13,예상등급!$B$5:$B$13),IF(D173=예상등급!$A$15,LOOKUP(E173,예상등급!$A$19:$A$27,예상등급!$B$19:$B$27),""))</f>
        <v>5</v>
      </c>
      <c r="G173" s="110" t="s">
        <v>780</v>
      </c>
      <c r="H173" s="71">
        <v>18</v>
      </c>
      <c r="I173" s="382">
        <f>IF(G173=예상등급!$G$15,LOOKUP(H173,예상등급!$G$19:$G$27,예상등급!$H$19:$H$27),IF(G173=예상등급!$J$15,LOOKUP(H173,예상등급!$J$19:$J$27,예상등급!$K$19:$K$27),IF(G173=예상등급!$M$15,LOOKUP(H173,예상등급!$M$19:$M$27,예상등급!$N$19:$N$27),"")))</f>
        <v>7</v>
      </c>
      <c r="J173" s="110">
        <v>62</v>
      </c>
      <c r="K173" s="382">
        <f>IF(J173="","",(LOOKUP(J173,예상등급!$D$5:$D$13,예상등급!$E$5:$E$13)))</f>
        <v>4</v>
      </c>
      <c r="L173" s="301">
        <f>SUM(E173,H173,J173)</f>
        <v>125</v>
      </c>
      <c r="M173" s="398">
        <f>RANK(L173,$L$4:$L$491)</f>
        <v>166</v>
      </c>
      <c r="N173" s="110" t="s">
        <v>762</v>
      </c>
      <c r="O173" s="71">
        <v>16</v>
      </c>
      <c r="P173" s="385">
        <f>IF(N173=예상등급!$G$1,LOOKUP(O173,예상등급!$G$5:$G$13,예상등급!$H$5:$H$13),IF(N173=예상등급!$J$1,LOOKUP(O173,예상등급!$J$5:$J$13,예상등급!$K$5:$K$13),IF(N173=예상등급!$M$1,LOOKUP(O173,예상등급!$M$5:$M$13,예상등급!$N$5:$N$13),IF(N173=예상등급!$P$1,LOOKUP(O173,예상등급!$P$5:$P$13,예상등급!$Q$5:$Q$13),IF(N173=예상등급!$S$1,LOOKUP(O173,예상등급!$S$5:$S$13,예상등급!$T$5:$T$13),IF(N173=예상등급!$V$1,LOOKUP(O173,예상등급!$V$5:$V$13,예상등급!$W$5:$W$13),IF(N173=예상등급!$Y$1,LOOKUP(O173,예상등급!$Y$5:$Y$13,예상등급!$Z$5:$Z$13),IF(N173=예상등급!$AB$1,LOOKUP(O173,예상등급!$AB$5:$AB$13,예상등급!$AC$5:$AC$13),IF(N173=예상등급!$AE$1,LOOKUP(O173,예상등급!$AE$5:$AE$13,예상등급!$AF$5:$AF$13),IF(N173=예상등급!$AH$1,LOOKUP(O173,예상등급!$AH$5:$AH$13,예상등급!$AI$5:$AI$13),IF(N173=예상등급!$AK$1,LOOKUP(O173,예상등급!$AK$5:$AK$13,예상등급!$AL$5:$AL$13),IF(N173=예상등급!$AN$1,LOOKUP(O173,예상등급!$AN$5:$AN$13,예상등급!$AO$5:$AO$13),IF(N173=예상등급!$AQ$1,LOOKUP(O173,예상등급!$AQ$5:$AQ$13,예상등급!$AR$5:$AR$13),IF(N173=예상등급!$AH$15,LOOKUP(O173,예상등급!$AH$19:$AH$27,예상등급!$AI$19:$AI$27),IF(N173=예상등급!$AK$15,LOOKUP(O173,예상등급!$AK$19:$AK$27,예상등급!$AL$19:$AL$27),IF(N173=예상등급!$AN$15,LOOKUP(O173,예상등급!$AN$19:$AN$27,예상등급!$AO$19:$AO$27),IF(N173=예상등급!$AQ$15,LOOKUP(O173,예상등급!$AQ$19:$AQ$27,예상등급!$AR$19:$AR$27),"")))))))))))))))))</f>
        <v>6</v>
      </c>
      <c r="Q173" s="110" t="s">
        <v>761</v>
      </c>
      <c r="R173" s="71">
        <v>24</v>
      </c>
      <c r="S173" s="385">
        <f>IF(Q173=예상등급!$G$1,LOOKUP(R173,예상등급!$G$5:$G$13,예상등급!$H$5:$H$13),IF(Q173=예상등급!$J$1,LOOKUP(R173,예상등급!$J$5:$J$13,예상등급!$K$5:$K$13),IF(Q173=예상등급!$M$1,LOOKUP(R173,예상등급!$M$5:$M$13,예상등급!$N$5:$N$13),IF(Q173=예상등급!$P$1,LOOKUP(R173,예상등급!$P$5:$P$13,예상등급!$Q$5:$Q$13),IF(Q173=예상등급!$S$1,LOOKUP(R173,예상등급!$S$5:$S$13,예상등급!$T$5:$T$13),IF(Q173=예상등급!$V$1,LOOKUP(R173,예상등급!$V$5:$V$13,예상등급!$W$5:$W$13),IF(Q173=예상등급!$Y$1,LOOKUP(R173,예상등급!$Y$5:$Y$13,예상등급!$Z$5:$Z$13),IF(Q173=예상등급!$AB$1,LOOKUP(R173,예상등급!$AB$5:$AB$13,예상등급!$AC$5:$AC$13),IF(Q173=예상등급!$AE$1,LOOKUP(R173,예상등급!$AE$5:$AE$13,예상등급!$AF$5:$AF$13),IF(Q173=예상등급!$AH$1,LOOKUP(R173,예상등급!$AH$5:$AH$13,예상등급!$AI$5:$AI$13),IF(Q173=예상등급!$AK$1,LOOKUP(R173,예상등급!$AK$5:$AK$13,예상등급!$AL$5:$AL$13),IF(Q173=예상등급!$AN$1,LOOKUP(R173,예상등급!$AN$5:$AN$13,예상등급!$AO$5:$AO$13),IF(Q173=예상등급!$AQ$1,LOOKUP(R173,예상등급!$AQ$5:$AQ$13,예상등급!$AR$5:$AR$13),IF(Q173=예상등급!$AH$15,LOOKUP(R173,예상등급!$AH$19:$AH$27,예상등급!$AI$19:$AI$27),IF(Q173=예상등급!$AK$15,LOOKUP(R173,예상등급!$AK$19:$AK$27,예상등급!$AL$19:$AL$27),IF(Q173=예상등급!$AN$15,LOOKUP(R173,예상등급!$AN$19:$AN$27,예상등급!$AO$19:$AO$27),IF(Q173=예상등급!$AQ$15,LOOKUP(R173,예상등급!$AQ$19:$AQ$27,예상등급!$AR$19:$AR$27),"")))))))))))))))))</f>
        <v>5</v>
      </c>
      <c r="T173" s="110">
        <v>12</v>
      </c>
      <c r="U173" s="382">
        <f>IF(T173="","",LOOKUP(T173,예상등급!$D$19:$D$27,예상등급!$E$19:$E$27))</f>
        <v>7</v>
      </c>
      <c r="V173" s="402">
        <f>SUM(L173,T173,R173,O173)</f>
        <v>177</v>
      </c>
      <c r="W173" s="278">
        <f>RANK(V173,$V$4:$V$491)</f>
        <v>169</v>
      </c>
    </row>
    <row r="174" spans="1:28" ht="24.95" customHeight="1" x14ac:dyDescent="0.15">
      <c r="A174" s="110">
        <v>8</v>
      </c>
      <c r="B174" s="71">
        <v>15</v>
      </c>
      <c r="C174" s="100" t="s">
        <v>949</v>
      </c>
      <c r="D174" s="110" t="s">
        <v>779</v>
      </c>
      <c r="E174" s="71">
        <v>37</v>
      </c>
      <c r="F174" s="382">
        <f>IF(D174=예상등급!$A$1,LOOKUP(E174,예상등급!$A$5:$A$13,예상등급!$B$5:$B$13),IF(D174=예상등급!$A$15,LOOKUP(E174,예상등급!$A$19:$A$27,예상등급!$B$19:$B$27),""))</f>
        <v>6</v>
      </c>
      <c r="G174" s="110" t="s">
        <v>780</v>
      </c>
      <c r="H174" s="71">
        <v>20</v>
      </c>
      <c r="I174" s="382">
        <f>IF(G174=예상등급!$G$15,LOOKUP(H174,예상등급!$G$19:$G$27,예상등급!$H$19:$H$27),IF(G174=예상등급!$J$15,LOOKUP(H174,예상등급!$J$19:$J$27,예상등급!$K$19:$K$27),IF(G174=예상등급!$M$15,LOOKUP(H174,예상등급!$M$19:$M$27,예상등급!$N$19:$N$27),"")))</f>
        <v>7</v>
      </c>
      <c r="J174" s="110">
        <v>73</v>
      </c>
      <c r="K174" s="382">
        <f>IF(J174="","",(LOOKUP(J174,예상등급!$D$5:$D$13,예상등급!$E$5:$E$13)))</f>
        <v>3</v>
      </c>
      <c r="L174" s="301">
        <f>SUM(E174,H174,J174)</f>
        <v>130</v>
      </c>
      <c r="M174" s="398">
        <f>RANK(L174,$L$4:$L$491)</f>
        <v>162</v>
      </c>
      <c r="N174" s="110" t="s">
        <v>772</v>
      </c>
      <c r="O174" s="71">
        <v>13</v>
      </c>
      <c r="P174" s="385">
        <f>IF(N174=예상등급!$G$1,LOOKUP(O174,예상등급!$G$5:$G$13,예상등급!$H$5:$H$13),IF(N174=예상등급!$J$1,LOOKUP(O174,예상등급!$J$5:$J$13,예상등급!$K$5:$K$13),IF(N174=예상등급!$M$1,LOOKUP(O174,예상등급!$M$5:$M$13,예상등급!$N$5:$N$13),IF(N174=예상등급!$P$1,LOOKUP(O174,예상등급!$P$5:$P$13,예상등급!$Q$5:$Q$13),IF(N174=예상등급!$S$1,LOOKUP(O174,예상등급!$S$5:$S$13,예상등급!$T$5:$T$13),IF(N174=예상등급!$V$1,LOOKUP(O174,예상등급!$V$5:$V$13,예상등급!$W$5:$W$13),IF(N174=예상등급!$Y$1,LOOKUP(O174,예상등급!$Y$5:$Y$13,예상등급!$Z$5:$Z$13),IF(N174=예상등급!$AB$1,LOOKUP(O174,예상등급!$AB$5:$AB$13,예상등급!$AC$5:$AC$13),IF(N174=예상등급!$AE$1,LOOKUP(O174,예상등급!$AE$5:$AE$13,예상등급!$AF$5:$AF$13),IF(N174=예상등급!$AH$1,LOOKUP(O174,예상등급!$AH$5:$AH$13,예상등급!$AI$5:$AI$13),IF(N174=예상등급!$AK$1,LOOKUP(O174,예상등급!$AK$5:$AK$13,예상등급!$AL$5:$AL$13),IF(N174=예상등급!$AN$1,LOOKUP(O174,예상등급!$AN$5:$AN$13,예상등급!$AO$5:$AO$13),IF(N174=예상등급!$AQ$1,LOOKUP(O174,예상등급!$AQ$5:$AQ$13,예상등급!$AR$5:$AR$13),IF(N174=예상등급!$AH$15,LOOKUP(O174,예상등급!$AH$19:$AH$27,예상등급!$AI$19:$AI$27),IF(N174=예상등급!$AK$15,LOOKUP(O174,예상등급!$AK$19:$AK$27,예상등급!$AL$19:$AL$27),IF(N174=예상등급!$AN$15,LOOKUP(O174,예상등급!$AN$19:$AN$27,예상등급!$AO$19:$AO$27),IF(N174=예상등급!$AQ$15,LOOKUP(O174,예상등급!$AQ$19:$AQ$27,예상등급!$AR$19:$AR$27),"")))))))))))))))))</f>
        <v>6</v>
      </c>
      <c r="Q174" s="110" t="s">
        <v>762</v>
      </c>
      <c r="R174" s="71">
        <v>4</v>
      </c>
      <c r="S174" s="385">
        <f>IF(Q174=예상등급!$G$1,LOOKUP(R174,예상등급!$G$5:$G$13,예상등급!$H$5:$H$13),IF(Q174=예상등급!$J$1,LOOKUP(R174,예상등급!$J$5:$J$13,예상등급!$K$5:$K$13),IF(Q174=예상등급!$M$1,LOOKUP(R174,예상등급!$M$5:$M$13,예상등급!$N$5:$N$13),IF(Q174=예상등급!$P$1,LOOKUP(R174,예상등급!$P$5:$P$13,예상등급!$Q$5:$Q$13),IF(Q174=예상등급!$S$1,LOOKUP(R174,예상등급!$S$5:$S$13,예상등급!$T$5:$T$13),IF(Q174=예상등급!$V$1,LOOKUP(R174,예상등급!$V$5:$V$13,예상등급!$W$5:$W$13),IF(Q174=예상등급!$Y$1,LOOKUP(R174,예상등급!$Y$5:$Y$13,예상등급!$Z$5:$Z$13),IF(Q174=예상등급!$AB$1,LOOKUP(R174,예상등급!$AB$5:$AB$13,예상등급!$AC$5:$AC$13),IF(Q174=예상등급!$AE$1,LOOKUP(R174,예상등급!$AE$5:$AE$13,예상등급!$AF$5:$AF$13),IF(Q174=예상등급!$AH$1,LOOKUP(R174,예상등급!$AH$5:$AH$13,예상등급!$AI$5:$AI$13),IF(Q174=예상등급!$AK$1,LOOKUP(R174,예상등급!$AK$5:$AK$13,예상등급!$AL$5:$AL$13),IF(Q174=예상등급!$AN$1,LOOKUP(R174,예상등급!$AN$5:$AN$13,예상등급!$AO$5:$AO$13),IF(Q174=예상등급!$AQ$1,LOOKUP(R174,예상등급!$AQ$5:$AQ$13,예상등급!$AR$5:$AR$13),IF(Q174=예상등급!$AH$15,LOOKUP(R174,예상등급!$AH$19:$AH$27,예상등급!$AI$19:$AI$27),IF(Q174=예상등급!$AK$15,LOOKUP(R174,예상등급!$AK$19:$AK$27,예상등급!$AL$19:$AL$27),IF(Q174=예상등급!$AN$15,LOOKUP(R174,예상등급!$AN$19:$AN$27,예상등급!$AO$19:$AO$27),IF(Q174=예상등급!$AQ$15,LOOKUP(R174,예상등급!$AQ$19:$AQ$27,예상등급!$AR$19:$AR$27),"")))))))))))))))))</f>
        <v>9</v>
      </c>
      <c r="T174" s="110">
        <v>28</v>
      </c>
      <c r="U174" s="382">
        <f>IF(T174="","",LOOKUP(T174,예상등급!$D$19:$D$27,예상등급!$E$19:$E$27))</f>
        <v>4</v>
      </c>
      <c r="V174" s="402">
        <f>SUM(L174,T174,R174,O174)</f>
        <v>175</v>
      </c>
      <c r="W174" s="278">
        <f>RANK(V174,$V$4:$V$491)</f>
        <v>171</v>
      </c>
    </row>
    <row r="175" spans="1:28" ht="24.95" customHeight="1" x14ac:dyDescent="0.15">
      <c r="A175" s="110">
        <v>1</v>
      </c>
      <c r="B175" s="71">
        <v>8</v>
      </c>
      <c r="C175" s="100" t="s">
        <v>805</v>
      </c>
      <c r="D175" s="110" t="s">
        <v>779</v>
      </c>
      <c r="E175" s="71">
        <v>30</v>
      </c>
      <c r="F175" s="382">
        <f>IF(D175=예상등급!$A$1,LOOKUP(E175,예상등급!$A$5:$A$13,예상등급!$B$5:$B$13),IF(D175=예상등급!$A$15,LOOKUP(E175,예상등급!$A$19:$A$27,예상등급!$B$19:$B$27),""))</f>
        <v>6</v>
      </c>
      <c r="G175" s="110" t="s">
        <v>782</v>
      </c>
      <c r="H175" s="71">
        <v>33</v>
      </c>
      <c r="I175" s="382">
        <f>IF(G175=예상등급!$G$15,LOOKUP(H175,예상등급!$G$19:$G$27,예상등급!$H$19:$H$27),IF(G175=예상등급!$J$15,LOOKUP(H175,예상등급!$J$19:$J$27,예상등급!$K$19:$K$27),IF(G175=예상등급!$M$15,LOOKUP(H175,예상등급!$M$19:$M$27,예상등급!$N$19:$N$27),"")))</f>
        <v>5</v>
      </c>
      <c r="J175" s="110">
        <v>54</v>
      </c>
      <c r="K175" s="382">
        <f>IF(J175="","",(LOOKUP(J175,예상등급!$D$5:$D$13,예상등급!$E$5:$E$13)))</f>
        <v>5</v>
      </c>
      <c r="L175" s="301">
        <f>SUM(E175,H175,J175)</f>
        <v>117</v>
      </c>
      <c r="M175" s="398">
        <f>RANK(L175,$L$4:$L$491)</f>
        <v>172</v>
      </c>
      <c r="N175" s="110" t="s">
        <v>771</v>
      </c>
      <c r="O175" s="71">
        <v>16</v>
      </c>
      <c r="P175" s="385">
        <f>IF(N175=예상등급!$G$1,LOOKUP(O175,예상등급!$G$5:$G$13,예상등급!$H$5:$H$13),IF(N175=예상등급!$J$1,LOOKUP(O175,예상등급!$J$5:$J$13,예상등급!$K$5:$K$13),IF(N175=예상등급!$M$1,LOOKUP(O175,예상등급!$M$5:$M$13,예상등급!$N$5:$N$13),IF(N175=예상등급!$P$1,LOOKUP(O175,예상등급!$P$5:$P$13,예상등급!$Q$5:$Q$13),IF(N175=예상등급!$S$1,LOOKUP(O175,예상등급!$S$5:$S$13,예상등급!$T$5:$T$13),IF(N175=예상등급!$V$1,LOOKUP(O175,예상등급!$V$5:$V$13,예상등급!$W$5:$W$13),IF(N175=예상등급!$Y$1,LOOKUP(O175,예상등급!$Y$5:$Y$13,예상등급!$Z$5:$Z$13),IF(N175=예상등급!$AB$1,LOOKUP(O175,예상등급!$AB$5:$AB$13,예상등급!$AC$5:$AC$13),IF(N175=예상등급!$AE$1,LOOKUP(O175,예상등급!$AE$5:$AE$13,예상등급!$AF$5:$AF$13),IF(N175=예상등급!$AH$1,LOOKUP(O175,예상등급!$AH$5:$AH$13,예상등급!$AI$5:$AI$13),IF(N175=예상등급!$AK$1,LOOKUP(O175,예상등급!$AK$5:$AK$13,예상등급!$AL$5:$AL$13),IF(N175=예상등급!$AN$1,LOOKUP(O175,예상등급!$AN$5:$AN$13,예상등급!$AO$5:$AO$13),IF(N175=예상등급!$AQ$1,LOOKUP(O175,예상등급!$AQ$5:$AQ$13,예상등급!$AR$5:$AR$13),IF(N175=예상등급!$AH$15,LOOKUP(O175,예상등급!$AH$19:$AH$27,예상등급!$AI$19:$AI$27),IF(N175=예상등급!$AK$15,LOOKUP(O175,예상등급!$AK$19:$AK$27,예상등급!$AL$19:$AL$27),IF(N175=예상등급!$AN$15,LOOKUP(O175,예상등급!$AN$19:$AN$27,예상등급!$AO$19:$AO$27),IF(N175=예상등급!$AQ$15,LOOKUP(O175,예상등급!$AQ$19:$AQ$27,예상등급!$AR$19:$AR$27),"")))))))))))))))))</f>
        <v>6</v>
      </c>
      <c r="Q175" s="110" t="s">
        <v>762</v>
      </c>
      <c r="R175" s="71">
        <v>15</v>
      </c>
      <c r="S175" s="385">
        <f>IF(Q175=예상등급!$G$1,LOOKUP(R175,예상등급!$G$5:$G$13,예상등급!$H$5:$H$13),IF(Q175=예상등급!$J$1,LOOKUP(R175,예상등급!$J$5:$J$13,예상등급!$K$5:$K$13),IF(Q175=예상등급!$M$1,LOOKUP(R175,예상등급!$M$5:$M$13,예상등급!$N$5:$N$13),IF(Q175=예상등급!$P$1,LOOKUP(R175,예상등급!$P$5:$P$13,예상등급!$Q$5:$Q$13),IF(Q175=예상등급!$S$1,LOOKUP(R175,예상등급!$S$5:$S$13,예상등급!$T$5:$T$13),IF(Q175=예상등급!$V$1,LOOKUP(R175,예상등급!$V$5:$V$13,예상등급!$W$5:$W$13),IF(Q175=예상등급!$Y$1,LOOKUP(R175,예상등급!$Y$5:$Y$13,예상등급!$Z$5:$Z$13),IF(Q175=예상등급!$AB$1,LOOKUP(R175,예상등급!$AB$5:$AB$13,예상등급!$AC$5:$AC$13),IF(Q175=예상등급!$AE$1,LOOKUP(R175,예상등급!$AE$5:$AE$13,예상등급!$AF$5:$AF$13),IF(Q175=예상등급!$AH$1,LOOKUP(R175,예상등급!$AH$5:$AH$13,예상등급!$AI$5:$AI$13),IF(Q175=예상등급!$AK$1,LOOKUP(R175,예상등급!$AK$5:$AK$13,예상등급!$AL$5:$AL$13),IF(Q175=예상등급!$AN$1,LOOKUP(R175,예상등급!$AN$5:$AN$13,예상등급!$AO$5:$AO$13),IF(Q175=예상등급!$AQ$1,LOOKUP(R175,예상등급!$AQ$5:$AQ$13,예상등급!$AR$5:$AR$13),IF(Q175=예상등급!$AH$15,LOOKUP(R175,예상등급!$AH$19:$AH$27,예상등급!$AI$19:$AI$27),IF(Q175=예상등급!$AK$15,LOOKUP(R175,예상등급!$AK$19:$AK$27,예상등급!$AL$19:$AL$27),IF(Q175=예상등급!$AN$15,LOOKUP(R175,예상등급!$AN$19:$AN$27,예상등급!$AO$19:$AO$27),IF(Q175=예상등급!$AQ$15,LOOKUP(R175,예상등급!$AQ$19:$AQ$27,예상등급!$AR$19:$AR$27),"")))))))))))))))))</f>
        <v>6</v>
      </c>
      <c r="T175" s="110">
        <v>21</v>
      </c>
      <c r="U175" s="382">
        <f>IF(T175="","",LOOKUP(T175,예상등급!$D$19:$D$27,예상등급!$E$19:$E$27))</f>
        <v>5</v>
      </c>
      <c r="V175" s="402">
        <f>SUM(L175,T175,R175,O175)</f>
        <v>169</v>
      </c>
      <c r="W175" s="278">
        <f>RANK(V175,$V$4:$V$491)</f>
        <v>172</v>
      </c>
    </row>
    <row r="176" spans="1:28" ht="24.95" customHeight="1" x14ac:dyDescent="0.15">
      <c r="A176" s="110">
        <v>3</v>
      </c>
      <c r="B176" s="71">
        <v>24</v>
      </c>
      <c r="C176" s="100" t="s">
        <v>855</v>
      </c>
      <c r="D176" s="110" t="s">
        <v>779</v>
      </c>
      <c r="E176" s="71">
        <v>41</v>
      </c>
      <c r="F176" s="382">
        <f>IF(D176=예상등급!$A$1,LOOKUP(E176,예상등급!$A$5:$A$13,예상등급!$B$5:$B$13),IF(D176=예상등급!$A$15,LOOKUP(E176,예상등급!$A$19:$A$27,예상등급!$B$19:$B$27),""))</f>
        <v>5</v>
      </c>
      <c r="G176" s="110" t="s">
        <v>781</v>
      </c>
      <c r="H176" s="71">
        <v>18</v>
      </c>
      <c r="I176" s="382">
        <f>IF(G176=예상등급!$G$15,LOOKUP(H176,예상등급!$G$19:$G$27,예상등급!$H$19:$H$27),IF(G176=예상등급!$J$15,LOOKUP(H176,예상등급!$J$19:$J$27,예상등급!$K$19:$K$27),IF(G176=예상등급!$M$15,LOOKUP(H176,예상등급!$M$19:$M$27,예상등급!$N$19:$N$27),"")))</f>
        <v>7</v>
      </c>
      <c r="J176" s="110">
        <v>63</v>
      </c>
      <c r="K176" s="382">
        <f>IF(J176="","",(LOOKUP(J176,예상등급!$D$5:$D$13,예상등급!$E$5:$E$13)))</f>
        <v>4</v>
      </c>
      <c r="L176" s="301">
        <f>SUM(E176,H176,J176)</f>
        <v>122</v>
      </c>
      <c r="M176" s="398">
        <f>RANK(L176,$L$4:$L$491)</f>
        <v>169</v>
      </c>
      <c r="N176" s="110" t="s">
        <v>770</v>
      </c>
      <c r="O176" s="71">
        <v>18</v>
      </c>
      <c r="P176" s="385">
        <f>IF(N176=예상등급!$G$1,LOOKUP(O176,예상등급!$G$5:$G$13,예상등급!$H$5:$H$13),IF(N176=예상등급!$J$1,LOOKUP(O176,예상등급!$J$5:$J$13,예상등급!$K$5:$K$13),IF(N176=예상등급!$M$1,LOOKUP(O176,예상등급!$M$5:$M$13,예상등급!$N$5:$N$13),IF(N176=예상등급!$P$1,LOOKUP(O176,예상등급!$P$5:$P$13,예상등급!$Q$5:$Q$13),IF(N176=예상등급!$S$1,LOOKUP(O176,예상등급!$S$5:$S$13,예상등급!$T$5:$T$13),IF(N176=예상등급!$V$1,LOOKUP(O176,예상등급!$V$5:$V$13,예상등급!$W$5:$W$13),IF(N176=예상등급!$Y$1,LOOKUP(O176,예상등급!$Y$5:$Y$13,예상등급!$Z$5:$Z$13),IF(N176=예상등급!$AB$1,LOOKUP(O176,예상등급!$AB$5:$AB$13,예상등급!$AC$5:$AC$13),IF(N176=예상등급!$AE$1,LOOKUP(O176,예상등급!$AE$5:$AE$13,예상등급!$AF$5:$AF$13),IF(N176=예상등급!$AH$1,LOOKUP(O176,예상등급!$AH$5:$AH$13,예상등급!$AI$5:$AI$13),IF(N176=예상등급!$AK$1,LOOKUP(O176,예상등급!$AK$5:$AK$13,예상등급!$AL$5:$AL$13),IF(N176=예상등급!$AN$1,LOOKUP(O176,예상등급!$AN$5:$AN$13,예상등급!$AO$5:$AO$13),IF(N176=예상등급!$AQ$1,LOOKUP(O176,예상등급!$AQ$5:$AQ$13,예상등급!$AR$5:$AR$13),IF(N176=예상등급!$AH$15,LOOKUP(O176,예상등급!$AH$19:$AH$27,예상등급!$AI$19:$AI$27),IF(N176=예상등급!$AK$15,LOOKUP(O176,예상등급!$AK$19:$AK$27,예상등급!$AL$19:$AL$27),IF(N176=예상등급!$AN$15,LOOKUP(O176,예상등급!$AN$19:$AN$27,예상등급!$AO$19:$AO$27),IF(N176=예상등급!$AQ$15,LOOKUP(O176,예상등급!$AQ$19:$AQ$27,예상등급!$AR$19:$AR$27),"")))))))))))))))))</f>
        <v>6</v>
      </c>
      <c r="Q176" s="110" t="s">
        <v>761</v>
      </c>
      <c r="R176" s="71">
        <v>14</v>
      </c>
      <c r="S176" s="385">
        <f>IF(Q176=예상등급!$G$1,LOOKUP(R176,예상등급!$G$5:$G$13,예상등급!$H$5:$H$13),IF(Q176=예상등급!$J$1,LOOKUP(R176,예상등급!$J$5:$J$13,예상등급!$K$5:$K$13),IF(Q176=예상등급!$M$1,LOOKUP(R176,예상등급!$M$5:$M$13,예상등급!$N$5:$N$13),IF(Q176=예상등급!$P$1,LOOKUP(R176,예상등급!$P$5:$P$13,예상등급!$Q$5:$Q$13),IF(Q176=예상등급!$S$1,LOOKUP(R176,예상등급!$S$5:$S$13,예상등급!$T$5:$T$13),IF(Q176=예상등급!$V$1,LOOKUP(R176,예상등급!$V$5:$V$13,예상등급!$W$5:$W$13),IF(Q176=예상등급!$Y$1,LOOKUP(R176,예상등급!$Y$5:$Y$13,예상등급!$Z$5:$Z$13),IF(Q176=예상등급!$AB$1,LOOKUP(R176,예상등급!$AB$5:$AB$13,예상등급!$AC$5:$AC$13),IF(Q176=예상등급!$AE$1,LOOKUP(R176,예상등급!$AE$5:$AE$13,예상등급!$AF$5:$AF$13),IF(Q176=예상등급!$AH$1,LOOKUP(R176,예상등급!$AH$5:$AH$13,예상등급!$AI$5:$AI$13),IF(Q176=예상등급!$AK$1,LOOKUP(R176,예상등급!$AK$5:$AK$13,예상등급!$AL$5:$AL$13),IF(Q176=예상등급!$AN$1,LOOKUP(R176,예상등급!$AN$5:$AN$13,예상등급!$AO$5:$AO$13),IF(Q176=예상등급!$AQ$1,LOOKUP(R176,예상등급!$AQ$5:$AQ$13,예상등급!$AR$5:$AR$13),IF(Q176=예상등급!$AH$15,LOOKUP(R176,예상등급!$AH$19:$AH$27,예상등급!$AI$19:$AI$27),IF(Q176=예상등급!$AK$15,LOOKUP(R176,예상등급!$AK$19:$AK$27,예상등급!$AL$19:$AL$27),IF(Q176=예상등급!$AN$15,LOOKUP(R176,예상등급!$AN$19:$AN$27,예상등급!$AO$19:$AO$27),IF(Q176=예상등급!$AQ$15,LOOKUP(R176,예상등급!$AQ$19:$AQ$27,예상등급!$AR$19:$AR$27),"")))))))))))))))))</f>
        <v>6</v>
      </c>
      <c r="T176" s="110">
        <v>14</v>
      </c>
      <c r="U176" s="382">
        <f>IF(T176="","",LOOKUP(T176,예상등급!$D$19:$D$27,예상등급!$E$19:$E$27))</f>
        <v>7</v>
      </c>
      <c r="V176" s="402">
        <f>SUM(L176,T176,R176,O176)</f>
        <v>168</v>
      </c>
      <c r="W176" s="278">
        <f>RANK(V176,$V$4:$V$491)</f>
        <v>173</v>
      </c>
    </row>
    <row r="177" spans="1:26" ht="24.95" customHeight="1" x14ac:dyDescent="0.15">
      <c r="A177" s="110">
        <v>8</v>
      </c>
      <c r="B177" s="71">
        <v>11</v>
      </c>
      <c r="C177" s="100" t="s">
        <v>947</v>
      </c>
      <c r="D177" s="110" t="s">
        <v>779</v>
      </c>
      <c r="E177" s="71">
        <v>40</v>
      </c>
      <c r="F177" s="382">
        <f>IF(D177=예상등급!$A$1,LOOKUP(E177,예상등급!$A$5:$A$13,예상등급!$B$5:$B$13),IF(D177=예상등급!$A$15,LOOKUP(E177,예상등급!$A$19:$A$27,예상등급!$B$19:$B$27),""))</f>
        <v>6</v>
      </c>
      <c r="G177" s="110" t="s">
        <v>780</v>
      </c>
      <c r="H177" s="71">
        <v>12</v>
      </c>
      <c r="I177" s="382">
        <f>IF(G177=예상등급!$G$15,LOOKUP(H177,예상등급!$G$19:$G$27,예상등급!$H$19:$H$27),IF(G177=예상등급!$J$15,LOOKUP(H177,예상등급!$J$19:$J$27,예상등급!$K$19:$K$27),IF(G177=예상등급!$M$15,LOOKUP(H177,예상등급!$M$19:$M$27,예상등급!$N$19:$N$27),"")))</f>
        <v>9</v>
      </c>
      <c r="J177" s="110">
        <v>63</v>
      </c>
      <c r="K177" s="382">
        <f>IF(J177="","",(LOOKUP(J177,예상등급!$D$5:$D$13,예상등급!$E$5:$E$13)))</f>
        <v>4</v>
      </c>
      <c r="L177" s="301">
        <f>SUM(E177,H177,J177)</f>
        <v>115</v>
      </c>
      <c r="M177" s="398">
        <f>RANK(L177,$L$4:$L$491)</f>
        <v>174</v>
      </c>
      <c r="N177" s="110" t="s">
        <v>772</v>
      </c>
      <c r="O177" s="71">
        <v>16</v>
      </c>
      <c r="P177" s="385">
        <f>IF(N177=예상등급!$G$1,LOOKUP(O177,예상등급!$G$5:$G$13,예상등급!$H$5:$H$13),IF(N177=예상등급!$J$1,LOOKUP(O177,예상등급!$J$5:$J$13,예상등급!$K$5:$K$13),IF(N177=예상등급!$M$1,LOOKUP(O177,예상등급!$M$5:$M$13,예상등급!$N$5:$N$13),IF(N177=예상등급!$P$1,LOOKUP(O177,예상등급!$P$5:$P$13,예상등급!$Q$5:$Q$13),IF(N177=예상등급!$S$1,LOOKUP(O177,예상등급!$S$5:$S$13,예상등급!$T$5:$T$13),IF(N177=예상등급!$V$1,LOOKUP(O177,예상등급!$V$5:$V$13,예상등급!$W$5:$W$13),IF(N177=예상등급!$Y$1,LOOKUP(O177,예상등급!$Y$5:$Y$13,예상등급!$Z$5:$Z$13),IF(N177=예상등급!$AB$1,LOOKUP(O177,예상등급!$AB$5:$AB$13,예상등급!$AC$5:$AC$13),IF(N177=예상등급!$AE$1,LOOKUP(O177,예상등급!$AE$5:$AE$13,예상등급!$AF$5:$AF$13),IF(N177=예상등급!$AH$1,LOOKUP(O177,예상등급!$AH$5:$AH$13,예상등급!$AI$5:$AI$13),IF(N177=예상등급!$AK$1,LOOKUP(O177,예상등급!$AK$5:$AK$13,예상등급!$AL$5:$AL$13),IF(N177=예상등급!$AN$1,LOOKUP(O177,예상등급!$AN$5:$AN$13,예상등급!$AO$5:$AO$13),IF(N177=예상등급!$AQ$1,LOOKUP(O177,예상등급!$AQ$5:$AQ$13,예상등급!$AR$5:$AR$13),IF(N177=예상등급!$AH$15,LOOKUP(O177,예상등급!$AH$19:$AH$27,예상등급!$AI$19:$AI$27),IF(N177=예상등급!$AK$15,LOOKUP(O177,예상등급!$AK$19:$AK$27,예상등급!$AL$19:$AL$27),IF(N177=예상등급!$AN$15,LOOKUP(O177,예상등급!$AN$19:$AN$27,예상등급!$AO$19:$AO$27),IF(N177=예상등급!$AQ$15,LOOKUP(O177,예상등급!$AQ$19:$AQ$27,예상등급!$AR$19:$AR$27),"")))))))))))))))))</f>
        <v>5</v>
      </c>
      <c r="Q177" s="110" t="s">
        <v>760</v>
      </c>
      <c r="R177" s="71">
        <v>17</v>
      </c>
      <c r="S177" s="385">
        <f>IF(Q177=예상등급!$G$1,LOOKUP(R177,예상등급!$G$5:$G$13,예상등급!$H$5:$H$13),IF(Q177=예상등급!$J$1,LOOKUP(R177,예상등급!$J$5:$J$13,예상등급!$K$5:$K$13),IF(Q177=예상등급!$M$1,LOOKUP(R177,예상등급!$M$5:$M$13,예상등급!$N$5:$N$13),IF(Q177=예상등급!$P$1,LOOKUP(R177,예상등급!$P$5:$P$13,예상등급!$Q$5:$Q$13),IF(Q177=예상등급!$S$1,LOOKUP(R177,예상등급!$S$5:$S$13,예상등급!$T$5:$T$13),IF(Q177=예상등급!$V$1,LOOKUP(R177,예상등급!$V$5:$V$13,예상등급!$W$5:$W$13),IF(Q177=예상등급!$Y$1,LOOKUP(R177,예상등급!$Y$5:$Y$13,예상등급!$Z$5:$Z$13),IF(Q177=예상등급!$AB$1,LOOKUP(R177,예상등급!$AB$5:$AB$13,예상등급!$AC$5:$AC$13),IF(Q177=예상등급!$AE$1,LOOKUP(R177,예상등급!$AE$5:$AE$13,예상등급!$AF$5:$AF$13),IF(Q177=예상등급!$AH$1,LOOKUP(R177,예상등급!$AH$5:$AH$13,예상등급!$AI$5:$AI$13),IF(Q177=예상등급!$AK$1,LOOKUP(R177,예상등급!$AK$5:$AK$13,예상등급!$AL$5:$AL$13),IF(Q177=예상등급!$AN$1,LOOKUP(R177,예상등급!$AN$5:$AN$13,예상등급!$AO$5:$AO$13),IF(Q177=예상등급!$AQ$1,LOOKUP(R177,예상등급!$AQ$5:$AQ$13,예상등급!$AR$5:$AR$13),IF(Q177=예상등급!$AH$15,LOOKUP(R177,예상등급!$AH$19:$AH$27,예상등급!$AI$19:$AI$27),IF(Q177=예상등급!$AK$15,LOOKUP(R177,예상등급!$AK$19:$AK$27,예상등급!$AL$19:$AL$27),IF(Q177=예상등급!$AN$15,LOOKUP(R177,예상등급!$AN$19:$AN$27,예상등급!$AO$19:$AO$27),IF(Q177=예상등급!$AQ$15,LOOKUP(R177,예상등급!$AQ$19:$AQ$27,예상등급!$AR$19:$AR$27),"")))))))))))))))))</f>
        <v>5</v>
      </c>
      <c r="T177" s="110">
        <v>20</v>
      </c>
      <c r="U177" s="382">
        <f>IF(T177="","",LOOKUP(T177,예상등급!$D$19:$D$27,예상등급!$E$19:$E$27))</f>
        <v>5</v>
      </c>
      <c r="V177" s="402">
        <f>SUM(L177,T177,R177,O177)</f>
        <v>168</v>
      </c>
      <c r="W177" s="278">
        <f>RANK(V177,$V$4:$V$491)</f>
        <v>173</v>
      </c>
      <c r="Y177" s="149"/>
      <c r="Z177" s="149"/>
    </row>
    <row r="178" spans="1:26" ht="24.95" customHeight="1" x14ac:dyDescent="0.15">
      <c r="A178" s="110">
        <v>9</v>
      </c>
      <c r="B178" s="71">
        <v>6</v>
      </c>
      <c r="C178" s="100" t="s">
        <v>965</v>
      </c>
      <c r="D178" s="110" t="s">
        <v>779</v>
      </c>
      <c r="E178" s="71">
        <v>39</v>
      </c>
      <c r="F178" s="382">
        <f>IF(D178=예상등급!$A$1,LOOKUP(E178,예상등급!$A$5:$A$13,예상등급!$B$5:$B$13),IF(D178=예상등급!$A$15,LOOKUP(E178,예상등급!$A$19:$A$27,예상등급!$B$19:$B$27),""))</f>
        <v>6</v>
      </c>
      <c r="G178" s="110" t="s">
        <v>780</v>
      </c>
      <c r="H178" s="71">
        <v>23</v>
      </c>
      <c r="I178" s="382">
        <f>IF(G178=예상등급!$G$15,LOOKUP(H178,예상등급!$G$19:$G$27,예상등급!$H$19:$H$27),IF(G178=예상등급!$J$15,LOOKUP(H178,예상등급!$J$19:$J$27,예상등급!$K$19:$K$27),IF(G178=예상등급!$M$15,LOOKUP(H178,예상등급!$M$19:$M$27,예상등급!$N$19:$N$27),"")))</f>
        <v>6</v>
      </c>
      <c r="J178" s="110">
        <v>61</v>
      </c>
      <c r="K178" s="382">
        <f>IF(J178="","",(LOOKUP(J178,예상등급!$D$5:$D$13,예상등급!$E$5:$E$13)))</f>
        <v>4</v>
      </c>
      <c r="L178" s="301">
        <f>SUM(E178,H178,J178)</f>
        <v>123</v>
      </c>
      <c r="M178" s="398">
        <f>RANK(L178,$L$4:$L$491)</f>
        <v>168</v>
      </c>
      <c r="N178" s="110" t="s">
        <v>762</v>
      </c>
      <c r="O178" s="71">
        <v>15</v>
      </c>
      <c r="P178" s="385">
        <f>IF(N178=예상등급!$G$1,LOOKUP(O178,예상등급!$G$5:$G$13,예상등급!$H$5:$H$13),IF(N178=예상등급!$J$1,LOOKUP(O178,예상등급!$J$5:$J$13,예상등급!$K$5:$K$13),IF(N178=예상등급!$M$1,LOOKUP(O178,예상등급!$M$5:$M$13,예상등급!$N$5:$N$13),IF(N178=예상등급!$P$1,LOOKUP(O178,예상등급!$P$5:$P$13,예상등급!$Q$5:$Q$13),IF(N178=예상등급!$S$1,LOOKUP(O178,예상등급!$S$5:$S$13,예상등급!$T$5:$T$13),IF(N178=예상등급!$V$1,LOOKUP(O178,예상등급!$V$5:$V$13,예상등급!$W$5:$W$13),IF(N178=예상등급!$Y$1,LOOKUP(O178,예상등급!$Y$5:$Y$13,예상등급!$Z$5:$Z$13),IF(N178=예상등급!$AB$1,LOOKUP(O178,예상등급!$AB$5:$AB$13,예상등급!$AC$5:$AC$13),IF(N178=예상등급!$AE$1,LOOKUP(O178,예상등급!$AE$5:$AE$13,예상등급!$AF$5:$AF$13),IF(N178=예상등급!$AH$1,LOOKUP(O178,예상등급!$AH$5:$AH$13,예상등급!$AI$5:$AI$13),IF(N178=예상등급!$AK$1,LOOKUP(O178,예상등급!$AK$5:$AK$13,예상등급!$AL$5:$AL$13),IF(N178=예상등급!$AN$1,LOOKUP(O178,예상등급!$AN$5:$AN$13,예상등급!$AO$5:$AO$13),IF(N178=예상등급!$AQ$1,LOOKUP(O178,예상등급!$AQ$5:$AQ$13,예상등급!$AR$5:$AR$13),IF(N178=예상등급!$AH$15,LOOKUP(O178,예상등급!$AH$19:$AH$27,예상등급!$AI$19:$AI$27),IF(N178=예상등급!$AK$15,LOOKUP(O178,예상등급!$AK$19:$AK$27,예상등급!$AL$19:$AL$27),IF(N178=예상등급!$AN$15,LOOKUP(O178,예상등급!$AN$19:$AN$27,예상등급!$AO$19:$AO$27),IF(N178=예상등급!$AQ$15,LOOKUP(O178,예상등급!$AQ$19:$AQ$27,예상등급!$AR$19:$AR$27),"")))))))))))))))))</f>
        <v>6</v>
      </c>
      <c r="Q178" s="110" t="s">
        <v>772</v>
      </c>
      <c r="R178" s="71">
        <v>14</v>
      </c>
      <c r="S178" s="385">
        <f>IF(Q178=예상등급!$G$1,LOOKUP(R178,예상등급!$G$5:$G$13,예상등급!$H$5:$H$13),IF(Q178=예상등급!$J$1,LOOKUP(R178,예상등급!$J$5:$J$13,예상등급!$K$5:$K$13),IF(Q178=예상등급!$M$1,LOOKUP(R178,예상등급!$M$5:$M$13,예상등급!$N$5:$N$13),IF(Q178=예상등급!$P$1,LOOKUP(R178,예상등급!$P$5:$P$13,예상등급!$Q$5:$Q$13),IF(Q178=예상등급!$S$1,LOOKUP(R178,예상등급!$S$5:$S$13,예상등급!$T$5:$T$13),IF(Q178=예상등급!$V$1,LOOKUP(R178,예상등급!$V$5:$V$13,예상등급!$W$5:$W$13),IF(Q178=예상등급!$Y$1,LOOKUP(R178,예상등급!$Y$5:$Y$13,예상등급!$Z$5:$Z$13),IF(Q178=예상등급!$AB$1,LOOKUP(R178,예상등급!$AB$5:$AB$13,예상등급!$AC$5:$AC$13),IF(Q178=예상등급!$AE$1,LOOKUP(R178,예상등급!$AE$5:$AE$13,예상등급!$AF$5:$AF$13),IF(Q178=예상등급!$AH$1,LOOKUP(R178,예상등급!$AH$5:$AH$13,예상등급!$AI$5:$AI$13),IF(Q178=예상등급!$AK$1,LOOKUP(R178,예상등급!$AK$5:$AK$13,예상등급!$AL$5:$AL$13),IF(Q178=예상등급!$AN$1,LOOKUP(R178,예상등급!$AN$5:$AN$13,예상등급!$AO$5:$AO$13),IF(Q178=예상등급!$AQ$1,LOOKUP(R178,예상등급!$AQ$5:$AQ$13,예상등급!$AR$5:$AR$13),IF(Q178=예상등급!$AH$15,LOOKUP(R178,예상등급!$AH$19:$AH$27,예상등급!$AI$19:$AI$27),IF(Q178=예상등급!$AK$15,LOOKUP(R178,예상등급!$AK$19:$AK$27,예상등급!$AL$19:$AL$27),IF(Q178=예상등급!$AN$15,LOOKUP(R178,예상등급!$AN$19:$AN$27,예상등급!$AO$19:$AO$27),IF(Q178=예상등급!$AQ$15,LOOKUP(R178,예상등급!$AQ$19:$AQ$27,예상등급!$AR$19:$AR$27),"")))))))))))))))))</f>
        <v>5</v>
      </c>
      <c r="T178" s="110">
        <v>16</v>
      </c>
      <c r="U178" s="382">
        <f>IF(T178="","",LOOKUP(T178,예상등급!$D$19:$D$27,예상등급!$E$19:$E$27))</f>
        <v>6</v>
      </c>
      <c r="V178" s="402">
        <f>SUM(L178,T178,R178,O178)</f>
        <v>168</v>
      </c>
      <c r="W178" s="278">
        <f>RANK(V178,$V$4:$V$491)</f>
        <v>173</v>
      </c>
    </row>
    <row r="179" spans="1:26" ht="24.95" customHeight="1" x14ac:dyDescent="0.15">
      <c r="A179" s="110">
        <v>10</v>
      </c>
      <c r="B179" s="71">
        <v>14</v>
      </c>
      <c r="C179" s="100" t="s">
        <v>997</v>
      </c>
      <c r="D179" s="110" t="s">
        <v>779</v>
      </c>
      <c r="E179" s="71">
        <v>42</v>
      </c>
      <c r="F179" s="382">
        <f>IF(D179=예상등급!$A$1,LOOKUP(E179,예상등급!$A$5:$A$13,예상등급!$B$5:$B$13),IF(D179=예상등급!$A$15,LOOKUP(E179,예상등급!$A$19:$A$27,예상등급!$B$19:$B$27),""))</f>
        <v>5</v>
      </c>
      <c r="G179" s="110" t="s">
        <v>780</v>
      </c>
      <c r="H179" s="71">
        <v>22</v>
      </c>
      <c r="I179" s="382">
        <f>IF(G179=예상등급!$G$15,LOOKUP(H179,예상등급!$G$19:$G$27,예상등급!$H$19:$H$27),IF(G179=예상등급!$J$15,LOOKUP(H179,예상등급!$J$19:$J$27,예상등급!$K$19:$K$27),IF(G179=예상등급!$M$15,LOOKUP(H179,예상등급!$M$19:$M$27,예상등급!$N$19:$N$27),"")))</f>
        <v>7</v>
      </c>
      <c r="J179" s="110">
        <v>48</v>
      </c>
      <c r="K179" s="382">
        <f>IF(J179="","",(LOOKUP(J179,예상등급!$D$5:$D$13,예상등급!$E$5:$E$13)))</f>
        <v>6</v>
      </c>
      <c r="L179" s="301">
        <f>SUM(E179,H179,J179)</f>
        <v>112</v>
      </c>
      <c r="M179" s="398">
        <f>RANK(L179,$L$4:$L$491)</f>
        <v>178</v>
      </c>
      <c r="N179" s="110" t="s">
        <v>761</v>
      </c>
      <c r="O179" s="71">
        <v>21</v>
      </c>
      <c r="P179" s="385">
        <f>IF(N179=예상등급!$G$1,LOOKUP(O179,예상등급!$G$5:$G$13,예상등급!$H$5:$H$13),IF(N179=예상등급!$J$1,LOOKUP(O179,예상등급!$J$5:$J$13,예상등급!$K$5:$K$13),IF(N179=예상등급!$M$1,LOOKUP(O179,예상등급!$M$5:$M$13,예상등급!$N$5:$N$13),IF(N179=예상등급!$P$1,LOOKUP(O179,예상등급!$P$5:$P$13,예상등급!$Q$5:$Q$13),IF(N179=예상등급!$S$1,LOOKUP(O179,예상등급!$S$5:$S$13,예상등급!$T$5:$T$13),IF(N179=예상등급!$V$1,LOOKUP(O179,예상등급!$V$5:$V$13,예상등급!$W$5:$W$13),IF(N179=예상등급!$Y$1,LOOKUP(O179,예상등급!$Y$5:$Y$13,예상등급!$Z$5:$Z$13),IF(N179=예상등급!$AB$1,LOOKUP(O179,예상등급!$AB$5:$AB$13,예상등급!$AC$5:$AC$13),IF(N179=예상등급!$AE$1,LOOKUP(O179,예상등급!$AE$5:$AE$13,예상등급!$AF$5:$AF$13),IF(N179=예상등급!$AH$1,LOOKUP(O179,예상등급!$AH$5:$AH$13,예상등급!$AI$5:$AI$13),IF(N179=예상등급!$AK$1,LOOKUP(O179,예상등급!$AK$5:$AK$13,예상등급!$AL$5:$AL$13),IF(N179=예상등급!$AN$1,LOOKUP(O179,예상등급!$AN$5:$AN$13,예상등급!$AO$5:$AO$13),IF(N179=예상등급!$AQ$1,LOOKUP(O179,예상등급!$AQ$5:$AQ$13,예상등급!$AR$5:$AR$13),IF(N179=예상등급!$AH$15,LOOKUP(O179,예상등급!$AH$19:$AH$27,예상등급!$AI$19:$AI$27),IF(N179=예상등급!$AK$15,LOOKUP(O179,예상등급!$AK$19:$AK$27,예상등급!$AL$19:$AL$27),IF(N179=예상등급!$AN$15,LOOKUP(O179,예상등급!$AN$19:$AN$27,예상등급!$AO$19:$AO$27),IF(N179=예상등급!$AQ$15,LOOKUP(O179,예상등급!$AQ$19:$AQ$27,예상등급!$AR$19:$AR$27),"")))))))))))))))))</f>
        <v>5</v>
      </c>
      <c r="Q179" s="110" t="s">
        <v>762</v>
      </c>
      <c r="R179" s="71">
        <v>15</v>
      </c>
      <c r="S179" s="385">
        <f>IF(Q179=예상등급!$G$1,LOOKUP(R179,예상등급!$G$5:$G$13,예상등급!$H$5:$H$13),IF(Q179=예상등급!$J$1,LOOKUP(R179,예상등급!$J$5:$J$13,예상등급!$K$5:$K$13),IF(Q179=예상등급!$M$1,LOOKUP(R179,예상등급!$M$5:$M$13,예상등급!$N$5:$N$13),IF(Q179=예상등급!$P$1,LOOKUP(R179,예상등급!$P$5:$P$13,예상등급!$Q$5:$Q$13),IF(Q179=예상등급!$S$1,LOOKUP(R179,예상등급!$S$5:$S$13,예상등급!$T$5:$T$13),IF(Q179=예상등급!$V$1,LOOKUP(R179,예상등급!$V$5:$V$13,예상등급!$W$5:$W$13),IF(Q179=예상등급!$Y$1,LOOKUP(R179,예상등급!$Y$5:$Y$13,예상등급!$Z$5:$Z$13),IF(Q179=예상등급!$AB$1,LOOKUP(R179,예상등급!$AB$5:$AB$13,예상등급!$AC$5:$AC$13),IF(Q179=예상등급!$AE$1,LOOKUP(R179,예상등급!$AE$5:$AE$13,예상등급!$AF$5:$AF$13),IF(Q179=예상등급!$AH$1,LOOKUP(R179,예상등급!$AH$5:$AH$13,예상등급!$AI$5:$AI$13),IF(Q179=예상등급!$AK$1,LOOKUP(R179,예상등급!$AK$5:$AK$13,예상등급!$AL$5:$AL$13),IF(Q179=예상등급!$AN$1,LOOKUP(R179,예상등급!$AN$5:$AN$13,예상등급!$AO$5:$AO$13),IF(Q179=예상등급!$AQ$1,LOOKUP(R179,예상등급!$AQ$5:$AQ$13,예상등급!$AR$5:$AR$13),IF(Q179=예상등급!$AH$15,LOOKUP(R179,예상등급!$AH$19:$AH$27,예상등급!$AI$19:$AI$27),IF(Q179=예상등급!$AK$15,LOOKUP(R179,예상등급!$AK$19:$AK$27,예상등급!$AL$19:$AL$27),IF(Q179=예상등급!$AN$15,LOOKUP(R179,예상등급!$AN$19:$AN$27,예상등급!$AO$19:$AO$27),IF(Q179=예상등급!$AQ$15,LOOKUP(R179,예상등급!$AQ$19:$AQ$27,예상등급!$AR$19:$AR$27),"")))))))))))))))))</f>
        <v>6</v>
      </c>
      <c r="T179" s="110">
        <v>19</v>
      </c>
      <c r="U179" s="382">
        <f>IF(T179="","",LOOKUP(T179,예상등급!$D$19:$D$27,예상등급!$E$19:$E$27))</f>
        <v>6</v>
      </c>
      <c r="V179" s="402">
        <f>SUM(L179,T179,R179,O179)</f>
        <v>167</v>
      </c>
      <c r="W179" s="278">
        <f>RANK(V179,$V$4:$V$491)</f>
        <v>176</v>
      </c>
    </row>
    <row r="180" spans="1:26" ht="24.95" customHeight="1" x14ac:dyDescent="0.15">
      <c r="A180" s="110">
        <v>5</v>
      </c>
      <c r="B180" s="71">
        <v>14</v>
      </c>
      <c r="C180" s="100" t="s">
        <v>885</v>
      </c>
      <c r="D180" s="110" t="s">
        <v>779</v>
      </c>
      <c r="E180" s="71">
        <v>54</v>
      </c>
      <c r="F180" s="382">
        <f>IF(D180=예상등급!$A$1,LOOKUP(E180,예상등급!$A$5:$A$13,예상등급!$B$5:$B$13),IF(D180=예상등급!$A$15,LOOKUP(E180,예상등급!$A$19:$A$27,예상등급!$B$19:$B$27),""))</f>
        <v>4</v>
      </c>
      <c r="G180" s="110" t="s">
        <v>780</v>
      </c>
      <c r="H180" s="71">
        <v>11</v>
      </c>
      <c r="I180" s="382">
        <f>IF(G180=예상등급!$G$15,LOOKUP(H180,예상등급!$G$19:$G$27,예상등급!$H$19:$H$27),IF(G180=예상등급!$J$15,LOOKUP(H180,예상등급!$J$19:$J$27,예상등급!$K$19:$K$27),IF(G180=예상등급!$M$15,LOOKUP(H180,예상등급!$M$19:$M$27,예상등급!$N$19:$N$27),"")))</f>
        <v>9</v>
      </c>
      <c r="J180" s="110">
        <v>44</v>
      </c>
      <c r="K180" s="382">
        <f>IF(J180="","",(LOOKUP(J180,예상등급!$D$5:$D$13,예상등급!$E$5:$E$13)))</f>
        <v>6</v>
      </c>
      <c r="L180" s="301">
        <f>SUM(E180,H180,J180)</f>
        <v>109</v>
      </c>
      <c r="M180" s="398">
        <f>RANK(L180,$L$4:$L$491)</f>
        <v>181</v>
      </c>
      <c r="N180" s="110" t="s">
        <v>763</v>
      </c>
      <c r="O180" s="71">
        <v>23</v>
      </c>
      <c r="P180" s="385">
        <f>IF(N180=예상등급!$G$1,LOOKUP(O180,예상등급!$G$5:$G$13,예상등급!$H$5:$H$13),IF(N180=예상등급!$J$1,LOOKUP(O180,예상등급!$J$5:$J$13,예상등급!$K$5:$K$13),IF(N180=예상등급!$M$1,LOOKUP(O180,예상등급!$M$5:$M$13,예상등급!$N$5:$N$13),IF(N180=예상등급!$P$1,LOOKUP(O180,예상등급!$P$5:$P$13,예상등급!$Q$5:$Q$13),IF(N180=예상등급!$S$1,LOOKUP(O180,예상등급!$S$5:$S$13,예상등급!$T$5:$T$13),IF(N180=예상등급!$V$1,LOOKUP(O180,예상등급!$V$5:$V$13,예상등급!$W$5:$W$13),IF(N180=예상등급!$Y$1,LOOKUP(O180,예상등급!$Y$5:$Y$13,예상등급!$Z$5:$Z$13),IF(N180=예상등급!$AB$1,LOOKUP(O180,예상등급!$AB$5:$AB$13,예상등급!$AC$5:$AC$13),IF(N180=예상등급!$AE$1,LOOKUP(O180,예상등급!$AE$5:$AE$13,예상등급!$AF$5:$AF$13),IF(N180=예상등급!$AH$1,LOOKUP(O180,예상등급!$AH$5:$AH$13,예상등급!$AI$5:$AI$13),IF(N180=예상등급!$AK$1,LOOKUP(O180,예상등급!$AK$5:$AK$13,예상등급!$AL$5:$AL$13),IF(N180=예상등급!$AN$1,LOOKUP(O180,예상등급!$AN$5:$AN$13,예상등급!$AO$5:$AO$13),IF(N180=예상등급!$AQ$1,LOOKUP(O180,예상등급!$AQ$5:$AQ$13,예상등급!$AR$5:$AR$13),IF(N180=예상등급!$AH$15,LOOKUP(O180,예상등급!$AH$19:$AH$27,예상등급!$AI$19:$AI$27),IF(N180=예상등급!$AK$15,LOOKUP(O180,예상등급!$AK$19:$AK$27,예상등급!$AL$19:$AL$27),IF(N180=예상등급!$AN$15,LOOKUP(O180,예상등급!$AN$19:$AN$27,예상등급!$AO$19:$AO$27),IF(N180=예상등급!$AQ$15,LOOKUP(O180,예상등급!$AQ$19:$AQ$27,예상등급!$AR$19:$AR$27),"")))))))))))))))))</f>
        <v>4</v>
      </c>
      <c r="Q180" s="110" t="s">
        <v>764</v>
      </c>
      <c r="R180" s="71">
        <v>14</v>
      </c>
      <c r="S180" s="385">
        <f>IF(Q180=예상등급!$G$1,LOOKUP(R180,예상등급!$G$5:$G$13,예상등급!$H$5:$H$13),IF(Q180=예상등급!$J$1,LOOKUP(R180,예상등급!$J$5:$J$13,예상등급!$K$5:$K$13),IF(Q180=예상등급!$M$1,LOOKUP(R180,예상등급!$M$5:$M$13,예상등급!$N$5:$N$13),IF(Q180=예상등급!$P$1,LOOKUP(R180,예상등급!$P$5:$P$13,예상등급!$Q$5:$Q$13),IF(Q180=예상등급!$S$1,LOOKUP(R180,예상등급!$S$5:$S$13,예상등급!$T$5:$T$13),IF(Q180=예상등급!$V$1,LOOKUP(R180,예상등급!$V$5:$V$13,예상등급!$W$5:$W$13),IF(Q180=예상등급!$Y$1,LOOKUP(R180,예상등급!$Y$5:$Y$13,예상등급!$Z$5:$Z$13),IF(Q180=예상등급!$AB$1,LOOKUP(R180,예상등급!$AB$5:$AB$13,예상등급!$AC$5:$AC$13),IF(Q180=예상등급!$AE$1,LOOKUP(R180,예상등급!$AE$5:$AE$13,예상등급!$AF$5:$AF$13),IF(Q180=예상등급!$AH$1,LOOKUP(R180,예상등급!$AH$5:$AH$13,예상등급!$AI$5:$AI$13),IF(Q180=예상등급!$AK$1,LOOKUP(R180,예상등급!$AK$5:$AK$13,예상등급!$AL$5:$AL$13),IF(Q180=예상등급!$AN$1,LOOKUP(R180,예상등급!$AN$5:$AN$13,예상등급!$AO$5:$AO$13),IF(Q180=예상등급!$AQ$1,LOOKUP(R180,예상등급!$AQ$5:$AQ$13,예상등급!$AR$5:$AR$13),IF(Q180=예상등급!$AH$15,LOOKUP(R180,예상등급!$AH$19:$AH$27,예상등급!$AI$19:$AI$27),IF(Q180=예상등급!$AK$15,LOOKUP(R180,예상등급!$AK$19:$AK$27,예상등급!$AL$19:$AL$27),IF(Q180=예상등급!$AN$15,LOOKUP(R180,예상등급!$AN$19:$AN$27,예상등급!$AO$19:$AO$27),IF(Q180=예상등급!$AQ$15,LOOKUP(R180,예상등급!$AQ$19:$AQ$27,예상등급!$AR$19:$AR$27),"")))))))))))))))))</f>
        <v>6</v>
      </c>
      <c r="T180" s="110">
        <v>20</v>
      </c>
      <c r="U180" s="382">
        <f>IF(T180="","",LOOKUP(T180,예상등급!$D$19:$D$27,예상등급!$E$19:$E$27))</f>
        <v>5</v>
      </c>
      <c r="V180" s="402">
        <f>SUM(L180,T180,R180,O180)</f>
        <v>166</v>
      </c>
      <c r="W180" s="278">
        <f>RANK(V180,$V$4:$V$491)</f>
        <v>177</v>
      </c>
    </row>
    <row r="181" spans="1:26" ht="24.95" customHeight="1" x14ac:dyDescent="0.15">
      <c r="A181" s="110">
        <v>10</v>
      </c>
      <c r="B181" s="71">
        <v>1</v>
      </c>
      <c r="C181" s="100" t="s">
        <v>985</v>
      </c>
      <c r="D181" s="110" t="s">
        <v>779</v>
      </c>
      <c r="E181" s="71">
        <v>54</v>
      </c>
      <c r="F181" s="382">
        <f>IF(D181=예상등급!$A$1,LOOKUP(E181,예상등급!$A$5:$A$13,예상등급!$B$5:$B$13),IF(D181=예상등급!$A$15,LOOKUP(E181,예상등급!$A$19:$A$27,예상등급!$B$19:$B$27),""))</f>
        <v>4</v>
      </c>
      <c r="G181" s="110" t="s">
        <v>780</v>
      </c>
      <c r="H181" s="71">
        <v>12</v>
      </c>
      <c r="I181" s="382">
        <f>IF(G181=예상등급!$G$15,LOOKUP(H181,예상등급!$G$19:$G$27,예상등급!$H$19:$H$27),IF(G181=예상등급!$J$15,LOOKUP(H181,예상등급!$J$19:$J$27,예상등급!$K$19:$K$27),IF(G181=예상등급!$M$15,LOOKUP(H181,예상등급!$M$19:$M$27,예상등급!$N$19:$N$27),"")))</f>
        <v>9</v>
      </c>
      <c r="J181" s="110">
        <v>37</v>
      </c>
      <c r="K181" s="382">
        <f>IF(J181="","",(LOOKUP(J181,예상등급!$D$5:$D$13,예상등급!$E$5:$E$13)))</f>
        <v>7</v>
      </c>
      <c r="L181" s="301">
        <f>SUM(E181,H181,J181)</f>
        <v>103</v>
      </c>
      <c r="M181" s="398">
        <f>RANK(L181,$L$4:$L$491)</f>
        <v>188</v>
      </c>
      <c r="N181" s="110" t="s">
        <v>761</v>
      </c>
      <c r="O181" s="71">
        <v>21</v>
      </c>
      <c r="P181" s="385">
        <f>IF(N181=예상등급!$G$1,LOOKUP(O181,예상등급!$G$5:$G$13,예상등급!$H$5:$H$13),IF(N181=예상등급!$J$1,LOOKUP(O181,예상등급!$J$5:$J$13,예상등급!$K$5:$K$13),IF(N181=예상등급!$M$1,LOOKUP(O181,예상등급!$M$5:$M$13,예상등급!$N$5:$N$13),IF(N181=예상등급!$P$1,LOOKUP(O181,예상등급!$P$5:$P$13,예상등급!$Q$5:$Q$13),IF(N181=예상등급!$S$1,LOOKUP(O181,예상등급!$S$5:$S$13,예상등급!$T$5:$T$13),IF(N181=예상등급!$V$1,LOOKUP(O181,예상등급!$V$5:$V$13,예상등급!$W$5:$W$13),IF(N181=예상등급!$Y$1,LOOKUP(O181,예상등급!$Y$5:$Y$13,예상등급!$Z$5:$Z$13),IF(N181=예상등급!$AB$1,LOOKUP(O181,예상등급!$AB$5:$AB$13,예상등급!$AC$5:$AC$13),IF(N181=예상등급!$AE$1,LOOKUP(O181,예상등급!$AE$5:$AE$13,예상등급!$AF$5:$AF$13),IF(N181=예상등급!$AH$1,LOOKUP(O181,예상등급!$AH$5:$AH$13,예상등급!$AI$5:$AI$13),IF(N181=예상등급!$AK$1,LOOKUP(O181,예상등급!$AK$5:$AK$13,예상등급!$AL$5:$AL$13),IF(N181=예상등급!$AN$1,LOOKUP(O181,예상등급!$AN$5:$AN$13,예상등급!$AO$5:$AO$13),IF(N181=예상등급!$AQ$1,LOOKUP(O181,예상등급!$AQ$5:$AQ$13,예상등급!$AR$5:$AR$13),IF(N181=예상등급!$AH$15,LOOKUP(O181,예상등급!$AH$19:$AH$27,예상등급!$AI$19:$AI$27),IF(N181=예상등급!$AK$15,LOOKUP(O181,예상등급!$AK$19:$AK$27,예상등급!$AL$19:$AL$27),IF(N181=예상등급!$AN$15,LOOKUP(O181,예상등급!$AN$19:$AN$27,예상등급!$AO$19:$AO$27),IF(N181=예상등급!$AQ$15,LOOKUP(O181,예상등급!$AQ$19:$AQ$27,예상등급!$AR$19:$AR$27),"")))))))))))))))))</f>
        <v>5</v>
      </c>
      <c r="Q181" s="110" t="s">
        <v>762</v>
      </c>
      <c r="R181" s="71">
        <v>24</v>
      </c>
      <c r="S181" s="385">
        <f>IF(Q181=예상등급!$G$1,LOOKUP(R181,예상등급!$G$5:$G$13,예상등급!$H$5:$H$13),IF(Q181=예상등급!$J$1,LOOKUP(R181,예상등급!$J$5:$J$13,예상등급!$K$5:$K$13),IF(Q181=예상등급!$M$1,LOOKUP(R181,예상등급!$M$5:$M$13,예상등급!$N$5:$N$13),IF(Q181=예상등급!$P$1,LOOKUP(R181,예상등급!$P$5:$P$13,예상등급!$Q$5:$Q$13),IF(Q181=예상등급!$S$1,LOOKUP(R181,예상등급!$S$5:$S$13,예상등급!$T$5:$T$13),IF(Q181=예상등급!$V$1,LOOKUP(R181,예상등급!$V$5:$V$13,예상등급!$W$5:$W$13),IF(Q181=예상등급!$Y$1,LOOKUP(R181,예상등급!$Y$5:$Y$13,예상등급!$Z$5:$Z$13),IF(Q181=예상등급!$AB$1,LOOKUP(R181,예상등급!$AB$5:$AB$13,예상등급!$AC$5:$AC$13),IF(Q181=예상등급!$AE$1,LOOKUP(R181,예상등급!$AE$5:$AE$13,예상등급!$AF$5:$AF$13),IF(Q181=예상등급!$AH$1,LOOKUP(R181,예상등급!$AH$5:$AH$13,예상등급!$AI$5:$AI$13),IF(Q181=예상등급!$AK$1,LOOKUP(R181,예상등급!$AK$5:$AK$13,예상등급!$AL$5:$AL$13),IF(Q181=예상등급!$AN$1,LOOKUP(R181,예상등급!$AN$5:$AN$13,예상등급!$AO$5:$AO$13),IF(Q181=예상등급!$AQ$1,LOOKUP(R181,예상등급!$AQ$5:$AQ$13,예상등급!$AR$5:$AR$13),IF(Q181=예상등급!$AH$15,LOOKUP(R181,예상등급!$AH$19:$AH$27,예상등급!$AI$19:$AI$27),IF(Q181=예상등급!$AK$15,LOOKUP(R181,예상등급!$AK$19:$AK$27,예상등급!$AL$19:$AL$27),IF(Q181=예상등급!$AN$15,LOOKUP(R181,예상등급!$AN$19:$AN$27,예상등급!$AO$19:$AO$27),IF(Q181=예상등급!$AQ$15,LOOKUP(R181,예상등급!$AQ$19:$AQ$27,예상등급!$AR$19:$AR$27),"")))))))))))))))))</f>
        <v>5</v>
      </c>
      <c r="T181" s="110">
        <v>18</v>
      </c>
      <c r="U181" s="382">
        <f>IF(T181="","",LOOKUP(T181,예상등급!$D$19:$D$27,예상등급!$E$19:$E$27))</f>
        <v>6</v>
      </c>
      <c r="V181" s="402">
        <f>SUM(L181,T181,R181,O181)</f>
        <v>166</v>
      </c>
      <c r="W181" s="278">
        <f>RANK(V181,$V$4:$V$491)</f>
        <v>177</v>
      </c>
    </row>
    <row r="182" spans="1:26" ht="24.95" customHeight="1" x14ac:dyDescent="0.15">
      <c r="A182" s="110">
        <v>2</v>
      </c>
      <c r="B182" s="71">
        <v>24</v>
      </c>
      <c r="C182" s="100" t="s">
        <v>841</v>
      </c>
      <c r="D182" s="110" t="s">
        <v>779</v>
      </c>
      <c r="E182" s="71">
        <v>40</v>
      </c>
      <c r="F182" s="382">
        <f>IF(D182=예상등급!$A$1,LOOKUP(E182,예상등급!$A$5:$A$13,예상등급!$B$5:$B$13),IF(D182=예상등급!$A$15,LOOKUP(E182,예상등급!$A$19:$A$27,예상등급!$B$19:$B$27),""))</f>
        <v>6</v>
      </c>
      <c r="G182" s="110" t="s">
        <v>780</v>
      </c>
      <c r="H182" s="71">
        <v>22</v>
      </c>
      <c r="I182" s="382">
        <f>IF(G182=예상등급!$G$15,LOOKUP(H182,예상등급!$G$19:$G$27,예상등급!$H$19:$H$27),IF(G182=예상등급!$J$15,LOOKUP(H182,예상등급!$J$19:$J$27,예상등급!$K$19:$K$27),IF(G182=예상등급!$M$15,LOOKUP(H182,예상등급!$M$19:$M$27,예상등급!$N$19:$N$27),"")))</f>
        <v>7</v>
      </c>
      <c r="J182" s="110">
        <v>66</v>
      </c>
      <c r="K182" s="382">
        <f>IF(J182="","",(LOOKUP(J182,예상등급!$D$5:$D$13,예상등급!$E$5:$E$13)))</f>
        <v>4</v>
      </c>
      <c r="L182" s="301">
        <f>SUM(E182,H182,J182)</f>
        <v>128</v>
      </c>
      <c r="M182" s="398">
        <f>RANK(L182,$L$4:$L$491)</f>
        <v>165</v>
      </c>
      <c r="N182" s="110" t="s">
        <v>765</v>
      </c>
      <c r="O182" s="71">
        <v>6</v>
      </c>
      <c r="P182" s="385">
        <f>IF(N182=예상등급!$G$1,LOOKUP(O182,예상등급!$G$5:$G$13,예상등급!$H$5:$H$13),IF(N182=예상등급!$J$1,LOOKUP(O182,예상등급!$J$5:$J$13,예상등급!$K$5:$K$13),IF(N182=예상등급!$M$1,LOOKUP(O182,예상등급!$M$5:$M$13,예상등급!$N$5:$N$13),IF(N182=예상등급!$P$1,LOOKUP(O182,예상등급!$P$5:$P$13,예상등급!$Q$5:$Q$13),IF(N182=예상등급!$S$1,LOOKUP(O182,예상등급!$S$5:$S$13,예상등급!$T$5:$T$13),IF(N182=예상등급!$V$1,LOOKUP(O182,예상등급!$V$5:$V$13,예상등급!$W$5:$W$13),IF(N182=예상등급!$Y$1,LOOKUP(O182,예상등급!$Y$5:$Y$13,예상등급!$Z$5:$Z$13),IF(N182=예상등급!$AB$1,LOOKUP(O182,예상등급!$AB$5:$AB$13,예상등급!$AC$5:$AC$13),IF(N182=예상등급!$AE$1,LOOKUP(O182,예상등급!$AE$5:$AE$13,예상등급!$AF$5:$AF$13),IF(N182=예상등급!$AH$1,LOOKUP(O182,예상등급!$AH$5:$AH$13,예상등급!$AI$5:$AI$13),IF(N182=예상등급!$AK$1,LOOKUP(O182,예상등급!$AK$5:$AK$13,예상등급!$AL$5:$AL$13),IF(N182=예상등급!$AN$1,LOOKUP(O182,예상등급!$AN$5:$AN$13,예상등급!$AO$5:$AO$13),IF(N182=예상등급!$AQ$1,LOOKUP(O182,예상등급!$AQ$5:$AQ$13,예상등급!$AR$5:$AR$13),IF(N182=예상등급!$AH$15,LOOKUP(O182,예상등급!$AH$19:$AH$27,예상등급!$AI$19:$AI$27),IF(N182=예상등급!$AK$15,LOOKUP(O182,예상등급!$AK$19:$AK$27,예상등급!$AL$19:$AL$27),IF(N182=예상등급!$AN$15,LOOKUP(O182,예상등급!$AN$19:$AN$27,예상등급!$AO$19:$AO$27),IF(N182=예상등급!$AQ$15,LOOKUP(O182,예상등급!$AQ$19:$AQ$27,예상등급!$AR$19:$AR$27),"")))))))))))))))))</f>
        <v>9</v>
      </c>
      <c r="Q182" s="110" t="s">
        <v>762</v>
      </c>
      <c r="R182" s="71">
        <v>13</v>
      </c>
      <c r="S182" s="385">
        <f>IF(Q182=예상등급!$G$1,LOOKUP(R182,예상등급!$G$5:$G$13,예상등급!$H$5:$H$13),IF(Q182=예상등급!$J$1,LOOKUP(R182,예상등급!$J$5:$J$13,예상등급!$K$5:$K$13),IF(Q182=예상등급!$M$1,LOOKUP(R182,예상등급!$M$5:$M$13,예상등급!$N$5:$N$13),IF(Q182=예상등급!$P$1,LOOKUP(R182,예상등급!$P$5:$P$13,예상등급!$Q$5:$Q$13),IF(Q182=예상등급!$S$1,LOOKUP(R182,예상등급!$S$5:$S$13,예상등급!$T$5:$T$13),IF(Q182=예상등급!$V$1,LOOKUP(R182,예상등급!$V$5:$V$13,예상등급!$W$5:$W$13),IF(Q182=예상등급!$Y$1,LOOKUP(R182,예상등급!$Y$5:$Y$13,예상등급!$Z$5:$Z$13),IF(Q182=예상등급!$AB$1,LOOKUP(R182,예상등급!$AB$5:$AB$13,예상등급!$AC$5:$AC$13),IF(Q182=예상등급!$AE$1,LOOKUP(R182,예상등급!$AE$5:$AE$13,예상등급!$AF$5:$AF$13),IF(Q182=예상등급!$AH$1,LOOKUP(R182,예상등급!$AH$5:$AH$13,예상등급!$AI$5:$AI$13),IF(Q182=예상등급!$AK$1,LOOKUP(R182,예상등급!$AK$5:$AK$13,예상등급!$AL$5:$AL$13),IF(Q182=예상등급!$AN$1,LOOKUP(R182,예상등급!$AN$5:$AN$13,예상등급!$AO$5:$AO$13),IF(Q182=예상등급!$AQ$1,LOOKUP(R182,예상등급!$AQ$5:$AQ$13,예상등급!$AR$5:$AR$13),IF(Q182=예상등급!$AH$15,LOOKUP(R182,예상등급!$AH$19:$AH$27,예상등급!$AI$19:$AI$27),IF(Q182=예상등급!$AK$15,LOOKUP(R182,예상등급!$AK$19:$AK$27,예상등급!$AL$19:$AL$27),IF(Q182=예상등급!$AN$15,LOOKUP(R182,예상등급!$AN$19:$AN$27,예상등급!$AO$19:$AO$27),IF(Q182=예상등급!$AQ$15,LOOKUP(R182,예상등급!$AQ$19:$AQ$27,예상등급!$AR$19:$AR$27),"")))))))))))))))))</f>
        <v>6</v>
      </c>
      <c r="T182" s="110">
        <v>18</v>
      </c>
      <c r="U182" s="382">
        <f>IF(T182="","",LOOKUP(T182,예상등급!$D$19:$D$27,예상등급!$E$19:$E$27))</f>
        <v>6</v>
      </c>
      <c r="V182" s="402">
        <f>SUM(L182,T182,R182,O182)</f>
        <v>165</v>
      </c>
      <c r="W182" s="278">
        <f>RANK(V182,$V$4:$V$491)</f>
        <v>179</v>
      </c>
    </row>
    <row r="183" spans="1:26" ht="24.95" customHeight="1" x14ac:dyDescent="0.15">
      <c r="A183" s="110">
        <v>1</v>
      </c>
      <c r="B183" s="71">
        <v>7</v>
      </c>
      <c r="C183" s="100" t="s">
        <v>804</v>
      </c>
      <c r="D183" s="110" t="s">
        <v>779</v>
      </c>
      <c r="E183" s="71">
        <v>31</v>
      </c>
      <c r="F183" s="382">
        <f>IF(D183=예상등급!$A$1,LOOKUP(E183,예상등급!$A$5:$A$13,예상등급!$B$5:$B$13),IF(D183=예상등급!$A$15,LOOKUP(E183,예상등급!$A$19:$A$27,예상등급!$B$19:$B$27),""))</f>
        <v>6</v>
      </c>
      <c r="G183" s="110" t="s">
        <v>781</v>
      </c>
      <c r="H183" s="71">
        <v>55</v>
      </c>
      <c r="I183" s="382">
        <f>IF(G183=예상등급!$G$15,LOOKUP(H183,예상등급!$G$19:$G$27,예상등급!$H$19:$H$27),IF(G183=예상등급!$J$15,LOOKUP(H183,예상등급!$J$19:$J$27,예상등급!$K$19:$K$27),IF(G183=예상등급!$M$15,LOOKUP(H183,예상등급!$M$19:$M$27,예상등급!$N$19:$N$27),"")))</f>
        <v>4</v>
      </c>
      <c r="J183" s="110">
        <v>34</v>
      </c>
      <c r="K183" s="382">
        <f>IF(J183="","",(LOOKUP(J183,예상등급!$D$5:$D$13,예상등급!$E$5:$E$13)))</f>
        <v>7</v>
      </c>
      <c r="L183" s="301">
        <f>SUM(E183,H183,J183)</f>
        <v>120</v>
      </c>
      <c r="M183" s="398">
        <f>RANK(L183,$L$4:$L$491)</f>
        <v>170</v>
      </c>
      <c r="N183" s="110" t="s">
        <v>761</v>
      </c>
      <c r="O183" s="71">
        <v>12</v>
      </c>
      <c r="P183" s="385">
        <f>IF(N183=예상등급!$G$1,LOOKUP(O183,예상등급!$G$5:$G$13,예상등급!$H$5:$H$13),IF(N183=예상등급!$J$1,LOOKUP(O183,예상등급!$J$5:$J$13,예상등급!$K$5:$K$13),IF(N183=예상등급!$M$1,LOOKUP(O183,예상등급!$M$5:$M$13,예상등급!$N$5:$N$13),IF(N183=예상등급!$P$1,LOOKUP(O183,예상등급!$P$5:$P$13,예상등급!$Q$5:$Q$13),IF(N183=예상등급!$S$1,LOOKUP(O183,예상등급!$S$5:$S$13,예상등급!$T$5:$T$13),IF(N183=예상등급!$V$1,LOOKUP(O183,예상등급!$V$5:$V$13,예상등급!$W$5:$W$13),IF(N183=예상등급!$Y$1,LOOKUP(O183,예상등급!$Y$5:$Y$13,예상등급!$Z$5:$Z$13),IF(N183=예상등급!$AB$1,LOOKUP(O183,예상등급!$AB$5:$AB$13,예상등급!$AC$5:$AC$13),IF(N183=예상등급!$AE$1,LOOKUP(O183,예상등급!$AE$5:$AE$13,예상등급!$AF$5:$AF$13),IF(N183=예상등급!$AH$1,LOOKUP(O183,예상등급!$AH$5:$AH$13,예상등급!$AI$5:$AI$13),IF(N183=예상등급!$AK$1,LOOKUP(O183,예상등급!$AK$5:$AK$13,예상등급!$AL$5:$AL$13),IF(N183=예상등급!$AN$1,LOOKUP(O183,예상등급!$AN$5:$AN$13,예상등급!$AO$5:$AO$13),IF(N183=예상등급!$AQ$1,LOOKUP(O183,예상등급!$AQ$5:$AQ$13,예상등급!$AR$5:$AR$13),IF(N183=예상등급!$AH$15,LOOKUP(O183,예상등급!$AH$19:$AH$27,예상등급!$AI$19:$AI$27),IF(N183=예상등급!$AK$15,LOOKUP(O183,예상등급!$AK$19:$AK$27,예상등급!$AL$19:$AL$27),IF(N183=예상등급!$AN$15,LOOKUP(O183,예상등급!$AN$19:$AN$27,예상등급!$AO$19:$AO$27),IF(N183=예상등급!$AQ$15,LOOKUP(O183,예상등급!$AQ$19:$AQ$27,예상등급!$AR$19:$AR$27),"")))))))))))))))))</f>
        <v>7</v>
      </c>
      <c r="Q183" s="110" t="s">
        <v>772</v>
      </c>
      <c r="R183" s="71">
        <v>14</v>
      </c>
      <c r="S183" s="385">
        <f>IF(Q183=예상등급!$G$1,LOOKUP(R183,예상등급!$G$5:$G$13,예상등급!$H$5:$H$13),IF(Q183=예상등급!$J$1,LOOKUP(R183,예상등급!$J$5:$J$13,예상등급!$K$5:$K$13),IF(Q183=예상등급!$M$1,LOOKUP(R183,예상등급!$M$5:$M$13,예상등급!$N$5:$N$13),IF(Q183=예상등급!$P$1,LOOKUP(R183,예상등급!$P$5:$P$13,예상등급!$Q$5:$Q$13),IF(Q183=예상등급!$S$1,LOOKUP(R183,예상등급!$S$5:$S$13,예상등급!$T$5:$T$13),IF(Q183=예상등급!$V$1,LOOKUP(R183,예상등급!$V$5:$V$13,예상등급!$W$5:$W$13),IF(Q183=예상등급!$Y$1,LOOKUP(R183,예상등급!$Y$5:$Y$13,예상등급!$Z$5:$Z$13),IF(Q183=예상등급!$AB$1,LOOKUP(R183,예상등급!$AB$5:$AB$13,예상등급!$AC$5:$AC$13),IF(Q183=예상등급!$AE$1,LOOKUP(R183,예상등급!$AE$5:$AE$13,예상등급!$AF$5:$AF$13),IF(Q183=예상등급!$AH$1,LOOKUP(R183,예상등급!$AH$5:$AH$13,예상등급!$AI$5:$AI$13),IF(Q183=예상등급!$AK$1,LOOKUP(R183,예상등급!$AK$5:$AK$13,예상등급!$AL$5:$AL$13),IF(Q183=예상등급!$AN$1,LOOKUP(R183,예상등급!$AN$5:$AN$13,예상등급!$AO$5:$AO$13),IF(Q183=예상등급!$AQ$1,LOOKUP(R183,예상등급!$AQ$5:$AQ$13,예상등급!$AR$5:$AR$13),IF(Q183=예상등급!$AH$15,LOOKUP(R183,예상등급!$AH$19:$AH$27,예상등급!$AI$19:$AI$27),IF(Q183=예상등급!$AK$15,LOOKUP(R183,예상등급!$AK$19:$AK$27,예상등급!$AL$19:$AL$27),IF(Q183=예상등급!$AN$15,LOOKUP(R183,예상등급!$AN$19:$AN$27,예상등급!$AO$19:$AO$27),IF(Q183=예상등급!$AQ$15,LOOKUP(R183,예상등급!$AQ$19:$AQ$27,예상등급!$AR$19:$AR$27),"")))))))))))))))))</f>
        <v>5</v>
      </c>
      <c r="T183" s="110">
        <v>18</v>
      </c>
      <c r="U183" s="382">
        <f>IF(T183="","",LOOKUP(T183,예상등급!$D$19:$D$27,예상등급!$E$19:$E$27))</f>
        <v>6</v>
      </c>
      <c r="V183" s="402">
        <f>SUM(L183,T183,R183,O183)</f>
        <v>164</v>
      </c>
      <c r="W183" s="278">
        <f>RANK(V183,$V$4:$V$491)</f>
        <v>180</v>
      </c>
    </row>
    <row r="184" spans="1:26" ht="24.95" customHeight="1" x14ac:dyDescent="0.15">
      <c r="A184" s="110">
        <v>8</v>
      </c>
      <c r="B184" s="71">
        <v>18</v>
      </c>
      <c r="C184" s="100" t="s">
        <v>952</v>
      </c>
      <c r="D184" s="110" t="s">
        <v>779</v>
      </c>
      <c r="E184" s="71">
        <v>39</v>
      </c>
      <c r="F184" s="382">
        <f>IF(D184=예상등급!$A$1,LOOKUP(E184,예상등급!$A$5:$A$13,예상등급!$B$5:$B$13),IF(D184=예상등급!$A$15,LOOKUP(E184,예상등급!$A$19:$A$27,예상등급!$B$19:$B$27),""))</f>
        <v>6</v>
      </c>
      <c r="G184" s="110" t="s">
        <v>780</v>
      </c>
      <c r="H184" s="71">
        <v>7</v>
      </c>
      <c r="I184" s="382">
        <f>IF(G184=예상등급!$G$15,LOOKUP(H184,예상등급!$G$19:$G$27,예상등급!$H$19:$H$27),IF(G184=예상등급!$J$15,LOOKUP(H184,예상등급!$J$19:$J$27,예상등급!$K$19:$K$27),IF(G184=예상등급!$M$15,LOOKUP(H184,예상등급!$M$19:$M$27,예상등급!$N$19:$N$27),"")))</f>
        <v>9</v>
      </c>
      <c r="J184" s="110">
        <v>41</v>
      </c>
      <c r="K184" s="382">
        <f>IF(J184="","",(LOOKUP(J184,예상등급!$D$5:$D$13,예상등급!$E$5:$E$13)))</f>
        <v>6</v>
      </c>
      <c r="L184" s="301">
        <f>SUM(E184,H184,J184)</f>
        <v>87</v>
      </c>
      <c r="M184" s="398">
        <f>RANK(L184,$L$4:$L$491)</f>
        <v>215</v>
      </c>
      <c r="N184" s="110" t="s">
        <v>762</v>
      </c>
      <c r="O184" s="71">
        <v>31</v>
      </c>
      <c r="P184" s="385">
        <f>IF(N184=예상등급!$G$1,LOOKUP(O184,예상등급!$G$5:$G$13,예상등급!$H$5:$H$13),IF(N184=예상등급!$J$1,LOOKUP(O184,예상등급!$J$5:$J$13,예상등급!$K$5:$K$13),IF(N184=예상등급!$M$1,LOOKUP(O184,예상등급!$M$5:$M$13,예상등급!$N$5:$N$13),IF(N184=예상등급!$P$1,LOOKUP(O184,예상등급!$P$5:$P$13,예상등급!$Q$5:$Q$13),IF(N184=예상등급!$S$1,LOOKUP(O184,예상등급!$S$5:$S$13,예상등급!$T$5:$T$13),IF(N184=예상등급!$V$1,LOOKUP(O184,예상등급!$V$5:$V$13,예상등급!$W$5:$W$13),IF(N184=예상등급!$Y$1,LOOKUP(O184,예상등급!$Y$5:$Y$13,예상등급!$Z$5:$Z$13),IF(N184=예상등급!$AB$1,LOOKUP(O184,예상등급!$AB$5:$AB$13,예상등급!$AC$5:$AC$13),IF(N184=예상등급!$AE$1,LOOKUP(O184,예상등급!$AE$5:$AE$13,예상등급!$AF$5:$AF$13),IF(N184=예상등급!$AH$1,LOOKUP(O184,예상등급!$AH$5:$AH$13,예상등급!$AI$5:$AI$13),IF(N184=예상등급!$AK$1,LOOKUP(O184,예상등급!$AK$5:$AK$13,예상등급!$AL$5:$AL$13),IF(N184=예상등급!$AN$1,LOOKUP(O184,예상등급!$AN$5:$AN$13,예상등급!$AO$5:$AO$13),IF(N184=예상등급!$AQ$1,LOOKUP(O184,예상등급!$AQ$5:$AQ$13,예상등급!$AR$5:$AR$13),IF(N184=예상등급!$AH$15,LOOKUP(O184,예상등급!$AH$19:$AH$27,예상등급!$AI$19:$AI$27),IF(N184=예상등급!$AK$15,LOOKUP(O184,예상등급!$AK$19:$AK$27,예상등급!$AL$19:$AL$27),IF(N184=예상등급!$AN$15,LOOKUP(O184,예상등급!$AN$19:$AN$27,예상등급!$AO$19:$AO$27),IF(N184=예상등급!$AQ$15,LOOKUP(O184,예상등급!$AQ$19:$AQ$27,예상등급!$AR$19:$AR$27),"")))))))))))))))))</f>
        <v>4</v>
      </c>
      <c r="Q184" s="110" t="s">
        <v>761</v>
      </c>
      <c r="R184" s="71">
        <v>21</v>
      </c>
      <c r="S184" s="385">
        <f>IF(Q184=예상등급!$G$1,LOOKUP(R184,예상등급!$G$5:$G$13,예상등급!$H$5:$H$13),IF(Q184=예상등급!$J$1,LOOKUP(R184,예상등급!$J$5:$J$13,예상등급!$K$5:$K$13),IF(Q184=예상등급!$M$1,LOOKUP(R184,예상등급!$M$5:$M$13,예상등급!$N$5:$N$13),IF(Q184=예상등급!$P$1,LOOKUP(R184,예상등급!$P$5:$P$13,예상등급!$Q$5:$Q$13),IF(Q184=예상등급!$S$1,LOOKUP(R184,예상등급!$S$5:$S$13,예상등급!$T$5:$T$13),IF(Q184=예상등급!$V$1,LOOKUP(R184,예상등급!$V$5:$V$13,예상등급!$W$5:$W$13),IF(Q184=예상등급!$Y$1,LOOKUP(R184,예상등급!$Y$5:$Y$13,예상등급!$Z$5:$Z$13),IF(Q184=예상등급!$AB$1,LOOKUP(R184,예상등급!$AB$5:$AB$13,예상등급!$AC$5:$AC$13),IF(Q184=예상등급!$AE$1,LOOKUP(R184,예상등급!$AE$5:$AE$13,예상등급!$AF$5:$AF$13),IF(Q184=예상등급!$AH$1,LOOKUP(R184,예상등급!$AH$5:$AH$13,예상등급!$AI$5:$AI$13),IF(Q184=예상등급!$AK$1,LOOKUP(R184,예상등급!$AK$5:$AK$13,예상등급!$AL$5:$AL$13),IF(Q184=예상등급!$AN$1,LOOKUP(R184,예상등급!$AN$5:$AN$13,예상등급!$AO$5:$AO$13),IF(Q184=예상등급!$AQ$1,LOOKUP(R184,예상등급!$AQ$5:$AQ$13,예상등급!$AR$5:$AR$13),IF(Q184=예상등급!$AH$15,LOOKUP(R184,예상등급!$AH$19:$AH$27,예상등급!$AI$19:$AI$27),IF(Q184=예상등급!$AK$15,LOOKUP(R184,예상등급!$AK$19:$AK$27,예상등급!$AL$19:$AL$27),IF(Q184=예상등급!$AN$15,LOOKUP(R184,예상등급!$AN$19:$AN$27,예상등급!$AO$19:$AO$27),IF(Q184=예상등급!$AQ$15,LOOKUP(R184,예상등급!$AQ$19:$AQ$27,예상등급!$AR$19:$AR$27),"")))))))))))))))))</f>
        <v>5</v>
      </c>
      <c r="T184" s="110">
        <v>25</v>
      </c>
      <c r="U184" s="382">
        <f>IF(T184="","",LOOKUP(T184,예상등급!$D$19:$D$27,예상등급!$E$19:$E$27))</f>
        <v>4</v>
      </c>
      <c r="V184" s="402">
        <f>SUM(L184,T184,R184,O184)</f>
        <v>164</v>
      </c>
      <c r="W184" s="278">
        <f>RANK(V184,$V$4:$V$491)</f>
        <v>180</v>
      </c>
    </row>
    <row r="185" spans="1:26" ht="24.95" customHeight="1" x14ac:dyDescent="0.15">
      <c r="A185" s="110">
        <v>2</v>
      </c>
      <c r="B185" s="71">
        <v>10</v>
      </c>
      <c r="C185" s="100" t="s">
        <v>828</v>
      </c>
      <c r="D185" s="110" t="s">
        <v>779</v>
      </c>
      <c r="E185" s="71">
        <v>43</v>
      </c>
      <c r="F185" s="382">
        <f>IF(D185=예상등급!$A$1,LOOKUP(E185,예상등급!$A$5:$A$13,예상등급!$B$5:$B$13),IF(D185=예상등급!$A$15,LOOKUP(E185,예상등급!$A$19:$A$27,예상등급!$B$19:$B$27),""))</f>
        <v>5</v>
      </c>
      <c r="G185" s="110" t="s">
        <v>780</v>
      </c>
      <c r="H185" s="71">
        <v>19</v>
      </c>
      <c r="I185" s="382">
        <f>IF(G185=예상등급!$G$15,LOOKUP(H185,예상등급!$G$19:$G$27,예상등급!$H$19:$H$27),IF(G185=예상등급!$J$15,LOOKUP(H185,예상등급!$J$19:$J$27,예상등급!$K$19:$K$27),IF(G185=예상등급!$M$15,LOOKUP(H185,예상등급!$M$19:$M$27,예상등급!$N$19:$N$27),"")))</f>
        <v>7</v>
      </c>
      <c r="J185" s="110">
        <v>51</v>
      </c>
      <c r="K185" s="382">
        <f>IF(J185="","",(LOOKUP(J185,예상등급!$D$5:$D$13,예상등급!$E$5:$E$13)))</f>
        <v>5</v>
      </c>
      <c r="L185" s="301">
        <f>SUM(E185,H185,J185)</f>
        <v>113</v>
      </c>
      <c r="M185" s="398">
        <f>RANK(L185,$L$4:$L$491)</f>
        <v>177</v>
      </c>
      <c r="N185" s="110" t="s">
        <v>761</v>
      </c>
      <c r="O185" s="71">
        <v>25</v>
      </c>
      <c r="P185" s="385">
        <f>IF(N185=예상등급!$G$1,LOOKUP(O185,예상등급!$G$5:$G$13,예상등급!$H$5:$H$13),IF(N185=예상등급!$J$1,LOOKUP(O185,예상등급!$J$5:$J$13,예상등급!$K$5:$K$13),IF(N185=예상등급!$M$1,LOOKUP(O185,예상등급!$M$5:$M$13,예상등급!$N$5:$N$13),IF(N185=예상등급!$P$1,LOOKUP(O185,예상등급!$P$5:$P$13,예상등급!$Q$5:$Q$13),IF(N185=예상등급!$S$1,LOOKUP(O185,예상등급!$S$5:$S$13,예상등급!$T$5:$T$13),IF(N185=예상등급!$V$1,LOOKUP(O185,예상등급!$V$5:$V$13,예상등급!$W$5:$W$13),IF(N185=예상등급!$Y$1,LOOKUP(O185,예상등급!$Y$5:$Y$13,예상등급!$Z$5:$Z$13),IF(N185=예상등급!$AB$1,LOOKUP(O185,예상등급!$AB$5:$AB$13,예상등급!$AC$5:$AC$13),IF(N185=예상등급!$AE$1,LOOKUP(O185,예상등급!$AE$5:$AE$13,예상등급!$AF$5:$AF$13),IF(N185=예상등급!$AH$1,LOOKUP(O185,예상등급!$AH$5:$AH$13,예상등급!$AI$5:$AI$13),IF(N185=예상등급!$AK$1,LOOKUP(O185,예상등급!$AK$5:$AK$13,예상등급!$AL$5:$AL$13),IF(N185=예상등급!$AN$1,LOOKUP(O185,예상등급!$AN$5:$AN$13,예상등급!$AO$5:$AO$13),IF(N185=예상등급!$AQ$1,LOOKUP(O185,예상등급!$AQ$5:$AQ$13,예상등급!$AR$5:$AR$13),IF(N185=예상등급!$AH$15,LOOKUP(O185,예상등급!$AH$19:$AH$27,예상등급!$AI$19:$AI$27),IF(N185=예상등급!$AK$15,LOOKUP(O185,예상등급!$AK$19:$AK$27,예상등급!$AL$19:$AL$27),IF(N185=예상등급!$AN$15,LOOKUP(O185,예상등급!$AN$19:$AN$27,예상등급!$AO$19:$AO$27),IF(N185=예상등급!$AQ$15,LOOKUP(O185,예상등급!$AQ$19:$AQ$27,예상등급!$AR$19:$AR$27),"")))))))))))))))))</f>
        <v>4</v>
      </c>
      <c r="Q185" s="110" t="s">
        <v>763</v>
      </c>
      <c r="R185" s="71">
        <v>14</v>
      </c>
      <c r="S185" s="385">
        <f>IF(Q185=예상등급!$G$1,LOOKUP(R185,예상등급!$G$5:$G$13,예상등급!$H$5:$H$13),IF(Q185=예상등급!$J$1,LOOKUP(R185,예상등급!$J$5:$J$13,예상등급!$K$5:$K$13),IF(Q185=예상등급!$M$1,LOOKUP(R185,예상등급!$M$5:$M$13,예상등급!$N$5:$N$13),IF(Q185=예상등급!$P$1,LOOKUP(R185,예상등급!$P$5:$P$13,예상등급!$Q$5:$Q$13),IF(Q185=예상등급!$S$1,LOOKUP(R185,예상등급!$S$5:$S$13,예상등급!$T$5:$T$13),IF(Q185=예상등급!$V$1,LOOKUP(R185,예상등급!$V$5:$V$13,예상등급!$W$5:$W$13),IF(Q185=예상등급!$Y$1,LOOKUP(R185,예상등급!$Y$5:$Y$13,예상등급!$Z$5:$Z$13),IF(Q185=예상등급!$AB$1,LOOKUP(R185,예상등급!$AB$5:$AB$13,예상등급!$AC$5:$AC$13),IF(Q185=예상등급!$AE$1,LOOKUP(R185,예상등급!$AE$5:$AE$13,예상등급!$AF$5:$AF$13),IF(Q185=예상등급!$AH$1,LOOKUP(R185,예상등급!$AH$5:$AH$13,예상등급!$AI$5:$AI$13),IF(Q185=예상등급!$AK$1,LOOKUP(R185,예상등급!$AK$5:$AK$13,예상등급!$AL$5:$AL$13),IF(Q185=예상등급!$AN$1,LOOKUP(R185,예상등급!$AN$5:$AN$13,예상등급!$AO$5:$AO$13),IF(Q185=예상등급!$AQ$1,LOOKUP(R185,예상등급!$AQ$5:$AQ$13,예상등급!$AR$5:$AR$13),IF(Q185=예상등급!$AH$15,LOOKUP(R185,예상등급!$AH$19:$AH$27,예상등급!$AI$19:$AI$27),IF(Q185=예상등급!$AK$15,LOOKUP(R185,예상등급!$AK$19:$AK$27,예상등급!$AL$19:$AL$27),IF(Q185=예상등급!$AN$15,LOOKUP(R185,예상등급!$AN$19:$AN$27,예상등급!$AO$19:$AO$27),IF(Q185=예상등급!$AQ$15,LOOKUP(R185,예상등급!$AQ$19:$AQ$27,예상등급!$AR$19:$AR$27),"")))))))))))))))))</f>
        <v>6</v>
      </c>
      <c r="T185" s="110">
        <v>10</v>
      </c>
      <c r="U185" s="382">
        <f>IF(T185="","",LOOKUP(T185,예상등급!$D$19:$D$27,예상등급!$E$19:$E$27))</f>
        <v>7</v>
      </c>
      <c r="V185" s="402">
        <f>SUM(L185,T185,R185,O185)</f>
        <v>162</v>
      </c>
      <c r="W185" s="278">
        <f>RANK(V185,$V$4:$V$491)</f>
        <v>182</v>
      </c>
    </row>
    <row r="186" spans="1:26" s="295" customFormat="1" ht="24.95" customHeight="1" x14ac:dyDescent="0.15">
      <c r="A186" s="110">
        <v>5</v>
      </c>
      <c r="B186" s="71">
        <v>2</v>
      </c>
      <c r="C186" s="100" t="s">
        <v>876</v>
      </c>
      <c r="D186" s="110" t="s">
        <v>779</v>
      </c>
      <c r="E186" s="71">
        <v>27</v>
      </c>
      <c r="F186" s="382">
        <f>IF(D186=예상등급!$A$1,LOOKUP(E186,예상등급!$A$5:$A$13,예상등급!$B$5:$B$13),IF(D186=예상등급!$A$15,LOOKUP(E186,예상등급!$A$19:$A$27,예상등급!$B$19:$B$27),""))</f>
        <v>7</v>
      </c>
      <c r="G186" s="110" t="s">
        <v>780</v>
      </c>
      <c r="H186" s="71">
        <v>21</v>
      </c>
      <c r="I186" s="382">
        <f>IF(G186=예상등급!$G$15,LOOKUP(H186,예상등급!$G$19:$G$27,예상등급!$H$19:$H$27),IF(G186=예상등급!$J$15,LOOKUP(H186,예상등급!$J$19:$J$27,예상등급!$K$19:$K$27),IF(G186=예상등급!$M$15,LOOKUP(H186,예상등급!$M$19:$M$27,예상등급!$N$19:$N$27),"")))</f>
        <v>7</v>
      </c>
      <c r="J186" s="110">
        <v>49</v>
      </c>
      <c r="K186" s="382">
        <f>IF(J186="","",(LOOKUP(J186,예상등급!$D$5:$D$13,예상등급!$E$5:$E$13)))</f>
        <v>6</v>
      </c>
      <c r="L186" s="301">
        <f>SUM(E186,H186,J186)</f>
        <v>97</v>
      </c>
      <c r="M186" s="398">
        <f>RANK(L186,$L$4:$L$491)</f>
        <v>196</v>
      </c>
      <c r="N186" s="110" t="s">
        <v>767</v>
      </c>
      <c r="O186" s="71">
        <v>34</v>
      </c>
      <c r="P186" s="385">
        <f>IF(N186=예상등급!$G$1,LOOKUP(O186,예상등급!$G$5:$G$13,예상등급!$H$5:$H$13),IF(N186=예상등급!$J$1,LOOKUP(O186,예상등급!$J$5:$J$13,예상등급!$K$5:$K$13),IF(N186=예상등급!$M$1,LOOKUP(O186,예상등급!$M$5:$M$13,예상등급!$N$5:$N$13),IF(N186=예상등급!$P$1,LOOKUP(O186,예상등급!$P$5:$P$13,예상등급!$Q$5:$Q$13),IF(N186=예상등급!$S$1,LOOKUP(O186,예상등급!$S$5:$S$13,예상등급!$T$5:$T$13),IF(N186=예상등급!$V$1,LOOKUP(O186,예상등급!$V$5:$V$13,예상등급!$W$5:$W$13),IF(N186=예상등급!$Y$1,LOOKUP(O186,예상등급!$Y$5:$Y$13,예상등급!$Z$5:$Z$13),IF(N186=예상등급!$AB$1,LOOKUP(O186,예상등급!$AB$5:$AB$13,예상등급!$AC$5:$AC$13),IF(N186=예상등급!$AE$1,LOOKUP(O186,예상등급!$AE$5:$AE$13,예상등급!$AF$5:$AF$13),IF(N186=예상등급!$AH$1,LOOKUP(O186,예상등급!$AH$5:$AH$13,예상등급!$AI$5:$AI$13),IF(N186=예상등급!$AK$1,LOOKUP(O186,예상등급!$AK$5:$AK$13,예상등급!$AL$5:$AL$13),IF(N186=예상등급!$AN$1,LOOKUP(O186,예상등급!$AN$5:$AN$13,예상등급!$AO$5:$AO$13),IF(N186=예상등급!$AQ$1,LOOKUP(O186,예상등급!$AQ$5:$AQ$13,예상등급!$AR$5:$AR$13),IF(N186=예상등급!$AH$15,LOOKUP(O186,예상등급!$AH$19:$AH$27,예상등급!$AI$19:$AI$27),IF(N186=예상등급!$AK$15,LOOKUP(O186,예상등급!$AK$19:$AK$27,예상등급!$AL$19:$AL$27),IF(N186=예상등급!$AN$15,LOOKUP(O186,예상등급!$AN$19:$AN$27,예상등급!$AO$19:$AO$27),IF(N186=예상등급!$AQ$15,LOOKUP(O186,예상등급!$AQ$19:$AQ$27,예상등급!$AR$19:$AR$27),"")))))))))))))))))</f>
        <v>3</v>
      </c>
      <c r="Q186" s="110" t="s">
        <v>762</v>
      </c>
      <c r="R186" s="71">
        <v>19</v>
      </c>
      <c r="S186" s="385">
        <f>IF(Q186=예상등급!$G$1,LOOKUP(R186,예상등급!$G$5:$G$13,예상등급!$H$5:$H$13),IF(Q186=예상등급!$J$1,LOOKUP(R186,예상등급!$J$5:$J$13,예상등급!$K$5:$K$13),IF(Q186=예상등급!$M$1,LOOKUP(R186,예상등급!$M$5:$M$13,예상등급!$N$5:$N$13),IF(Q186=예상등급!$P$1,LOOKUP(R186,예상등급!$P$5:$P$13,예상등급!$Q$5:$Q$13),IF(Q186=예상등급!$S$1,LOOKUP(R186,예상등급!$S$5:$S$13,예상등급!$T$5:$T$13),IF(Q186=예상등급!$V$1,LOOKUP(R186,예상등급!$V$5:$V$13,예상등급!$W$5:$W$13),IF(Q186=예상등급!$Y$1,LOOKUP(R186,예상등급!$Y$5:$Y$13,예상등급!$Z$5:$Z$13),IF(Q186=예상등급!$AB$1,LOOKUP(R186,예상등급!$AB$5:$AB$13,예상등급!$AC$5:$AC$13),IF(Q186=예상등급!$AE$1,LOOKUP(R186,예상등급!$AE$5:$AE$13,예상등급!$AF$5:$AF$13),IF(Q186=예상등급!$AH$1,LOOKUP(R186,예상등급!$AH$5:$AH$13,예상등급!$AI$5:$AI$13),IF(Q186=예상등급!$AK$1,LOOKUP(R186,예상등급!$AK$5:$AK$13,예상등급!$AL$5:$AL$13),IF(Q186=예상등급!$AN$1,LOOKUP(R186,예상등급!$AN$5:$AN$13,예상등급!$AO$5:$AO$13),IF(Q186=예상등급!$AQ$1,LOOKUP(R186,예상등급!$AQ$5:$AQ$13,예상등급!$AR$5:$AR$13),IF(Q186=예상등급!$AH$15,LOOKUP(R186,예상등급!$AH$19:$AH$27,예상등급!$AI$19:$AI$27),IF(Q186=예상등급!$AK$15,LOOKUP(R186,예상등급!$AK$19:$AK$27,예상등급!$AL$19:$AL$27),IF(Q186=예상등급!$AN$15,LOOKUP(R186,예상등급!$AN$19:$AN$27,예상등급!$AO$19:$AO$27),IF(Q186=예상등급!$AQ$15,LOOKUP(R186,예상등급!$AQ$19:$AQ$27,예상등급!$AR$19:$AR$27),"")))))))))))))))))</f>
        <v>5</v>
      </c>
      <c r="T186" s="110">
        <v>12</v>
      </c>
      <c r="U186" s="382">
        <f>IF(T186="","",LOOKUP(T186,예상등급!$D$19:$D$27,예상등급!$E$19:$E$27))</f>
        <v>7</v>
      </c>
      <c r="V186" s="402">
        <f>SUM(L186,T186,R186,O186)</f>
        <v>162</v>
      </c>
      <c r="W186" s="278">
        <f>RANK(V186,$V$4:$V$491)</f>
        <v>182</v>
      </c>
    </row>
    <row r="187" spans="1:26" ht="24.95" customHeight="1" x14ac:dyDescent="0.15">
      <c r="A187" s="110">
        <v>9</v>
      </c>
      <c r="B187" s="71">
        <v>23</v>
      </c>
      <c r="C187" s="100" t="s">
        <v>792</v>
      </c>
      <c r="D187" s="110" t="s">
        <v>779</v>
      </c>
      <c r="E187" s="71">
        <v>33</v>
      </c>
      <c r="F187" s="382">
        <f>IF(D187=예상등급!$A$1,LOOKUP(E187,예상등급!$A$5:$A$13,예상등급!$B$5:$B$13),IF(D187=예상등급!$A$15,LOOKUP(E187,예상등급!$A$19:$A$27,예상등급!$B$19:$B$27),""))</f>
        <v>6</v>
      </c>
      <c r="G187" s="110" t="s">
        <v>780</v>
      </c>
      <c r="H187" s="71">
        <v>9</v>
      </c>
      <c r="I187" s="382">
        <f>IF(G187=예상등급!$G$15,LOOKUP(H187,예상등급!$G$19:$G$27,예상등급!$H$19:$H$27),IF(G187=예상등급!$J$15,LOOKUP(H187,예상등급!$J$19:$J$27,예상등급!$K$19:$K$27),IF(G187=예상등급!$M$15,LOOKUP(H187,예상등급!$M$19:$M$27,예상등급!$N$19:$N$27),"")))</f>
        <v>9</v>
      </c>
      <c r="J187" s="110">
        <v>54</v>
      </c>
      <c r="K187" s="382">
        <f>IF(J187="","",(LOOKUP(J187,예상등급!$D$5:$D$13,예상등급!$E$5:$E$13)))</f>
        <v>5</v>
      </c>
      <c r="L187" s="301">
        <f>SUM(E187,H187,J187)</f>
        <v>96</v>
      </c>
      <c r="M187" s="398">
        <f>RANK(L187,$L$4:$L$491)</f>
        <v>197</v>
      </c>
      <c r="N187" s="110" t="s">
        <v>761</v>
      </c>
      <c r="O187" s="71">
        <v>24</v>
      </c>
      <c r="P187" s="385">
        <f>IF(N187=예상등급!$G$1,LOOKUP(O187,예상등급!$G$5:$G$13,예상등급!$H$5:$H$13),IF(N187=예상등급!$J$1,LOOKUP(O187,예상등급!$J$5:$J$13,예상등급!$K$5:$K$13),IF(N187=예상등급!$M$1,LOOKUP(O187,예상등급!$M$5:$M$13,예상등급!$N$5:$N$13),IF(N187=예상등급!$P$1,LOOKUP(O187,예상등급!$P$5:$P$13,예상등급!$Q$5:$Q$13),IF(N187=예상등급!$S$1,LOOKUP(O187,예상등급!$S$5:$S$13,예상등급!$T$5:$T$13),IF(N187=예상등급!$V$1,LOOKUP(O187,예상등급!$V$5:$V$13,예상등급!$W$5:$W$13),IF(N187=예상등급!$Y$1,LOOKUP(O187,예상등급!$Y$5:$Y$13,예상등급!$Z$5:$Z$13),IF(N187=예상등급!$AB$1,LOOKUP(O187,예상등급!$AB$5:$AB$13,예상등급!$AC$5:$AC$13),IF(N187=예상등급!$AE$1,LOOKUP(O187,예상등급!$AE$5:$AE$13,예상등급!$AF$5:$AF$13),IF(N187=예상등급!$AH$1,LOOKUP(O187,예상등급!$AH$5:$AH$13,예상등급!$AI$5:$AI$13),IF(N187=예상등급!$AK$1,LOOKUP(O187,예상등급!$AK$5:$AK$13,예상등급!$AL$5:$AL$13),IF(N187=예상등급!$AN$1,LOOKUP(O187,예상등급!$AN$5:$AN$13,예상등급!$AO$5:$AO$13),IF(N187=예상등급!$AQ$1,LOOKUP(O187,예상등급!$AQ$5:$AQ$13,예상등급!$AR$5:$AR$13),IF(N187=예상등급!$AH$15,LOOKUP(O187,예상등급!$AH$19:$AH$27,예상등급!$AI$19:$AI$27),IF(N187=예상등급!$AK$15,LOOKUP(O187,예상등급!$AK$19:$AK$27,예상등급!$AL$19:$AL$27),IF(N187=예상등급!$AN$15,LOOKUP(O187,예상등급!$AN$19:$AN$27,예상등급!$AO$19:$AO$27),IF(N187=예상등급!$AQ$15,LOOKUP(O187,예상등급!$AQ$19:$AQ$27,예상등급!$AR$19:$AR$27),"")))))))))))))))))</f>
        <v>5</v>
      </c>
      <c r="Q187" s="110" t="s">
        <v>767</v>
      </c>
      <c r="R187" s="71">
        <v>27</v>
      </c>
      <c r="S187" s="385">
        <f>IF(Q187=예상등급!$G$1,LOOKUP(R187,예상등급!$G$5:$G$13,예상등급!$H$5:$H$13),IF(Q187=예상등급!$J$1,LOOKUP(R187,예상등급!$J$5:$J$13,예상등급!$K$5:$K$13),IF(Q187=예상등급!$M$1,LOOKUP(R187,예상등급!$M$5:$M$13,예상등급!$N$5:$N$13),IF(Q187=예상등급!$P$1,LOOKUP(R187,예상등급!$P$5:$P$13,예상등급!$Q$5:$Q$13),IF(Q187=예상등급!$S$1,LOOKUP(R187,예상등급!$S$5:$S$13,예상등급!$T$5:$T$13),IF(Q187=예상등급!$V$1,LOOKUP(R187,예상등급!$V$5:$V$13,예상등급!$W$5:$W$13),IF(Q187=예상등급!$Y$1,LOOKUP(R187,예상등급!$Y$5:$Y$13,예상등급!$Z$5:$Z$13),IF(Q187=예상등급!$AB$1,LOOKUP(R187,예상등급!$AB$5:$AB$13,예상등급!$AC$5:$AC$13),IF(Q187=예상등급!$AE$1,LOOKUP(R187,예상등급!$AE$5:$AE$13,예상등급!$AF$5:$AF$13),IF(Q187=예상등급!$AH$1,LOOKUP(R187,예상등급!$AH$5:$AH$13,예상등급!$AI$5:$AI$13),IF(Q187=예상등급!$AK$1,LOOKUP(R187,예상등급!$AK$5:$AK$13,예상등급!$AL$5:$AL$13),IF(Q187=예상등급!$AN$1,LOOKUP(R187,예상등급!$AN$5:$AN$13,예상등급!$AO$5:$AO$13),IF(Q187=예상등급!$AQ$1,LOOKUP(R187,예상등급!$AQ$5:$AQ$13,예상등급!$AR$5:$AR$13),IF(Q187=예상등급!$AH$15,LOOKUP(R187,예상등급!$AH$19:$AH$27,예상등급!$AI$19:$AI$27),IF(Q187=예상등급!$AK$15,LOOKUP(R187,예상등급!$AK$19:$AK$27,예상등급!$AL$19:$AL$27),IF(Q187=예상등급!$AN$15,LOOKUP(R187,예상등급!$AN$19:$AN$27,예상등급!$AO$19:$AO$27),IF(Q187=예상등급!$AQ$15,LOOKUP(R187,예상등급!$AQ$19:$AQ$27,예상등급!$AR$19:$AR$27),"")))))))))))))))))</f>
        <v>4</v>
      </c>
      <c r="T187" s="110">
        <v>15</v>
      </c>
      <c r="U187" s="382">
        <f>IF(T187="","",LOOKUP(T187,예상등급!$D$19:$D$27,예상등급!$E$19:$E$27))</f>
        <v>6</v>
      </c>
      <c r="V187" s="402">
        <f>SUM(L187,T187,R187,O187)</f>
        <v>162</v>
      </c>
      <c r="W187" s="278">
        <f>RANK(V187,$V$4:$V$491)</f>
        <v>182</v>
      </c>
      <c r="Y187" s="149"/>
      <c r="Z187" s="149"/>
    </row>
    <row r="188" spans="1:26" ht="24.95" customHeight="1" x14ac:dyDescent="0.15">
      <c r="A188" s="110">
        <v>1</v>
      </c>
      <c r="B188" s="71">
        <v>10</v>
      </c>
      <c r="C188" s="100" t="s">
        <v>806</v>
      </c>
      <c r="D188" s="110" t="s">
        <v>779</v>
      </c>
      <c r="E188" s="71">
        <v>37</v>
      </c>
      <c r="F188" s="382">
        <f>IF(D188=예상등급!$A$1,LOOKUP(E188,예상등급!$A$5:$A$13,예상등급!$B$5:$B$13),IF(D188=예상등급!$A$15,LOOKUP(E188,예상등급!$A$19:$A$27,예상등급!$B$19:$B$27),""))</f>
        <v>6</v>
      </c>
      <c r="G188" s="110" t="s">
        <v>780</v>
      </c>
      <c r="H188" s="71">
        <v>30</v>
      </c>
      <c r="I188" s="382">
        <f>IF(G188=예상등급!$G$15,LOOKUP(H188,예상등급!$G$19:$G$27,예상등급!$H$19:$H$27),IF(G188=예상등급!$J$15,LOOKUP(H188,예상등급!$J$19:$J$27,예상등급!$K$19:$K$27),IF(G188=예상등급!$M$15,LOOKUP(H188,예상등급!$M$19:$M$27,예상등급!$N$19:$N$27),"")))</f>
        <v>6</v>
      </c>
      <c r="J188" s="110">
        <v>39</v>
      </c>
      <c r="K188" s="382">
        <f>IF(J188="","",(LOOKUP(J188,예상등급!$D$5:$D$13,예상등급!$E$5:$E$13)))</f>
        <v>7</v>
      </c>
      <c r="L188" s="301">
        <f>SUM(E188,H188,J188)</f>
        <v>106</v>
      </c>
      <c r="M188" s="398">
        <f>RANK(L188,$L$4:$L$491)</f>
        <v>185</v>
      </c>
      <c r="N188" s="110" t="s">
        <v>761</v>
      </c>
      <c r="O188" s="71">
        <v>22</v>
      </c>
      <c r="P188" s="385">
        <f>IF(N188=예상등급!$G$1,LOOKUP(O188,예상등급!$G$5:$G$13,예상등급!$H$5:$H$13),IF(N188=예상등급!$J$1,LOOKUP(O188,예상등급!$J$5:$J$13,예상등급!$K$5:$K$13),IF(N188=예상등급!$M$1,LOOKUP(O188,예상등급!$M$5:$M$13,예상등급!$N$5:$N$13),IF(N188=예상등급!$P$1,LOOKUP(O188,예상등급!$P$5:$P$13,예상등급!$Q$5:$Q$13),IF(N188=예상등급!$S$1,LOOKUP(O188,예상등급!$S$5:$S$13,예상등급!$T$5:$T$13),IF(N188=예상등급!$V$1,LOOKUP(O188,예상등급!$V$5:$V$13,예상등급!$W$5:$W$13),IF(N188=예상등급!$Y$1,LOOKUP(O188,예상등급!$Y$5:$Y$13,예상등급!$Z$5:$Z$13),IF(N188=예상등급!$AB$1,LOOKUP(O188,예상등급!$AB$5:$AB$13,예상등급!$AC$5:$AC$13),IF(N188=예상등급!$AE$1,LOOKUP(O188,예상등급!$AE$5:$AE$13,예상등급!$AF$5:$AF$13),IF(N188=예상등급!$AH$1,LOOKUP(O188,예상등급!$AH$5:$AH$13,예상등급!$AI$5:$AI$13),IF(N188=예상등급!$AK$1,LOOKUP(O188,예상등급!$AK$5:$AK$13,예상등급!$AL$5:$AL$13),IF(N188=예상등급!$AN$1,LOOKUP(O188,예상등급!$AN$5:$AN$13,예상등급!$AO$5:$AO$13),IF(N188=예상등급!$AQ$1,LOOKUP(O188,예상등급!$AQ$5:$AQ$13,예상등급!$AR$5:$AR$13),IF(N188=예상등급!$AH$15,LOOKUP(O188,예상등급!$AH$19:$AH$27,예상등급!$AI$19:$AI$27),IF(N188=예상등급!$AK$15,LOOKUP(O188,예상등급!$AK$19:$AK$27,예상등급!$AL$19:$AL$27),IF(N188=예상등급!$AN$15,LOOKUP(O188,예상등급!$AN$19:$AN$27,예상등급!$AO$19:$AO$27),IF(N188=예상등급!$AQ$15,LOOKUP(O188,예상등급!$AQ$19:$AQ$27,예상등급!$AR$19:$AR$27),"")))))))))))))))))</f>
        <v>5</v>
      </c>
      <c r="Q188" s="110" t="s">
        <v>762</v>
      </c>
      <c r="R188" s="71">
        <v>15</v>
      </c>
      <c r="S188" s="385">
        <f>IF(Q188=예상등급!$G$1,LOOKUP(R188,예상등급!$G$5:$G$13,예상등급!$H$5:$H$13),IF(Q188=예상등급!$J$1,LOOKUP(R188,예상등급!$J$5:$J$13,예상등급!$K$5:$K$13),IF(Q188=예상등급!$M$1,LOOKUP(R188,예상등급!$M$5:$M$13,예상등급!$N$5:$N$13),IF(Q188=예상등급!$P$1,LOOKUP(R188,예상등급!$P$5:$P$13,예상등급!$Q$5:$Q$13),IF(Q188=예상등급!$S$1,LOOKUP(R188,예상등급!$S$5:$S$13,예상등급!$T$5:$T$13),IF(Q188=예상등급!$V$1,LOOKUP(R188,예상등급!$V$5:$V$13,예상등급!$W$5:$W$13),IF(Q188=예상등급!$Y$1,LOOKUP(R188,예상등급!$Y$5:$Y$13,예상등급!$Z$5:$Z$13),IF(Q188=예상등급!$AB$1,LOOKUP(R188,예상등급!$AB$5:$AB$13,예상등급!$AC$5:$AC$13),IF(Q188=예상등급!$AE$1,LOOKUP(R188,예상등급!$AE$5:$AE$13,예상등급!$AF$5:$AF$13),IF(Q188=예상등급!$AH$1,LOOKUP(R188,예상등급!$AH$5:$AH$13,예상등급!$AI$5:$AI$13),IF(Q188=예상등급!$AK$1,LOOKUP(R188,예상등급!$AK$5:$AK$13,예상등급!$AL$5:$AL$13),IF(Q188=예상등급!$AN$1,LOOKUP(R188,예상등급!$AN$5:$AN$13,예상등급!$AO$5:$AO$13),IF(Q188=예상등급!$AQ$1,LOOKUP(R188,예상등급!$AQ$5:$AQ$13,예상등급!$AR$5:$AR$13),IF(Q188=예상등급!$AH$15,LOOKUP(R188,예상등급!$AH$19:$AH$27,예상등급!$AI$19:$AI$27),IF(Q188=예상등급!$AK$15,LOOKUP(R188,예상등급!$AK$19:$AK$27,예상등급!$AL$19:$AL$27),IF(Q188=예상등급!$AN$15,LOOKUP(R188,예상등급!$AN$19:$AN$27,예상등급!$AO$19:$AO$27),IF(Q188=예상등급!$AQ$15,LOOKUP(R188,예상등급!$AQ$19:$AQ$27,예상등급!$AR$19:$AR$27),"")))))))))))))))))</f>
        <v>6</v>
      </c>
      <c r="T188" s="110">
        <v>16</v>
      </c>
      <c r="U188" s="382">
        <f>IF(T188="","",LOOKUP(T188,예상등급!$D$19:$D$27,예상등급!$E$19:$E$27))</f>
        <v>6</v>
      </c>
      <c r="V188" s="402">
        <f>SUM(L188,T188,R188,O188)</f>
        <v>159</v>
      </c>
      <c r="W188" s="278">
        <f>RANK(V188,$V$4:$V$491)</f>
        <v>185</v>
      </c>
    </row>
    <row r="189" spans="1:26" ht="24.95" customHeight="1" x14ac:dyDescent="0.15">
      <c r="A189" s="110">
        <v>3</v>
      </c>
      <c r="B189" s="71">
        <v>12</v>
      </c>
      <c r="C189" s="100" t="s">
        <v>846</v>
      </c>
      <c r="D189" s="110" t="s">
        <v>779</v>
      </c>
      <c r="E189" s="71">
        <v>33</v>
      </c>
      <c r="F189" s="382">
        <f>IF(D189=예상등급!$A$1,LOOKUP(E189,예상등급!$A$5:$A$13,예상등급!$B$5:$B$13),IF(D189=예상등급!$A$15,LOOKUP(E189,예상등급!$A$19:$A$27,예상등급!$B$19:$B$27),""))</f>
        <v>6</v>
      </c>
      <c r="G189" s="110" t="s">
        <v>781</v>
      </c>
      <c r="H189" s="71">
        <v>14</v>
      </c>
      <c r="I189" s="382">
        <f>IF(G189=예상등급!$G$15,LOOKUP(H189,예상등급!$G$19:$G$27,예상등급!$H$19:$H$27),IF(G189=예상등급!$J$15,LOOKUP(H189,예상등급!$J$19:$J$27,예상등급!$K$19:$K$27),IF(G189=예상등급!$M$15,LOOKUP(H189,예상등급!$M$19:$M$27,예상등급!$N$19:$N$27),"")))</f>
        <v>7</v>
      </c>
      <c r="J189" s="110">
        <v>53</v>
      </c>
      <c r="K189" s="382">
        <f>IF(J189="","",(LOOKUP(J189,예상등급!$D$5:$D$13,예상등급!$E$5:$E$13)))</f>
        <v>5</v>
      </c>
      <c r="L189" s="301">
        <f>SUM(E189,H189,J189)</f>
        <v>100</v>
      </c>
      <c r="M189" s="398">
        <f>RANK(L189,$L$4:$L$491)</f>
        <v>192</v>
      </c>
      <c r="N189" s="110" t="s">
        <v>762</v>
      </c>
      <c r="O189" s="71">
        <v>28</v>
      </c>
      <c r="P189" s="385">
        <f>IF(N189=예상등급!$G$1,LOOKUP(O189,예상등급!$G$5:$G$13,예상등급!$H$5:$H$13),IF(N189=예상등급!$J$1,LOOKUP(O189,예상등급!$J$5:$J$13,예상등급!$K$5:$K$13),IF(N189=예상등급!$M$1,LOOKUP(O189,예상등급!$M$5:$M$13,예상등급!$N$5:$N$13),IF(N189=예상등급!$P$1,LOOKUP(O189,예상등급!$P$5:$P$13,예상등급!$Q$5:$Q$13),IF(N189=예상등급!$S$1,LOOKUP(O189,예상등급!$S$5:$S$13,예상등급!$T$5:$T$13),IF(N189=예상등급!$V$1,LOOKUP(O189,예상등급!$V$5:$V$13,예상등급!$W$5:$W$13),IF(N189=예상등급!$Y$1,LOOKUP(O189,예상등급!$Y$5:$Y$13,예상등급!$Z$5:$Z$13),IF(N189=예상등급!$AB$1,LOOKUP(O189,예상등급!$AB$5:$AB$13,예상등급!$AC$5:$AC$13),IF(N189=예상등급!$AE$1,LOOKUP(O189,예상등급!$AE$5:$AE$13,예상등급!$AF$5:$AF$13),IF(N189=예상등급!$AH$1,LOOKUP(O189,예상등급!$AH$5:$AH$13,예상등급!$AI$5:$AI$13),IF(N189=예상등급!$AK$1,LOOKUP(O189,예상등급!$AK$5:$AK$13,예상등급!$AL$5:$AL$13),IF(N189=예상등급!$AN$1,LOOKUP(O189,예상등급!$AN$5:$AN$13,예상등급!$AO$5:$AO$13),IF(N189=예상등급!$AQ$1,LOOKUP(O189,예상등급!$AQ$5:$AQ$13,예상등급!$AR$5:$AR$13),IF(N189=예상등급!$AH$15,LOOKUP(O189,예상등급!$AH$19:$AH$27,예상등급!$AI$19:$AI$27),IF(N189=예상등급!$AK$15,LOOKUP(O189,예상등급!$AK$19:$AK$27,예상등급!$AL$19:$AL$27),IF(N189=예상등급!$AN$15,LOOKUP(O189,예상등급!$AN$19:$AN$27,예상등급!$AO$19:$AO$27),IF(N189=예상등급!$AQ$15,LOOKUP(O189,예상등급!$AQ$19:$AQ$27,예상등급!$AR$19:$AR$27),"")))))))))))))))))</f>
        <v>4</v>
      </c>
      <c r="Q189" s="110" t="s">
        <v>771</v>
      </c>
      <c r="R189" s="71">
        <v>18</v>
      </c>
      <c r="S189" s="385">
        <f>IF(Q189=예상등급!$G$1,LOOKUP(R189,예상등급!$G$5:$G$13,예상등급!$H$5:$H$13),IF(Q189=예상등급!$J$1,LOOKUP(R189,예상등급!$J$5:$J$13,예상등급!$K$5:$K$13),IF(Q189=예상등급!$M$1,LOOKUP(R189,예상등급!$M$5:$M$13,예상등급!$N$5:$N$13),IF(Q189=예상등급!$P$1,LOOKUP(R189,예상등급!$P$5:$P$13,예상등급!$Q$5:$Q$13),IF(Q189=예상등급!$S$1,LOOKUP(R189,예상등급!$S$5:$S$13,예상등급!$T$5:$T$13),IF(Q189=예상등급!$V$1,LOOKUP(R189,예상등급!$V$5:$V$13,예상등급!$W$5:$W$13),IF(Q189=예상등급!$Y$1,LOOKUP(R189,예상등급!$Y$5:$Y$13,예상등급!$Z$5:$Z$13),IF(Q189=예상등급!$AB$1,LOOKUP(R189,예상등급!$AB$5:$AB$13,예상등급!$AC$5:$AC$13),IF(Q189=예상등급!$AE$1,LOOKUP(R189,예상등급!$AE$5:$AE$13,예상등급!$AF$5:$AF$13),IF(Q189=예상등급!$AH$1,LOOKUP(R189,예상등급!$AH$5:$AH$13,예상등급!$AI$5:$AI$13),IF(Q189=예상등급!$AK$1,LOOKUP(R189,예상등급!$AK$5:$AK$13,예상등급!$AL$5:$AL$13),IF(Q189=예상등급!$AN$1,LOOKUP(R189,예상등급!$AN$5:$AN$13,예상등급!$AO$5:$AO$13),IF(Q189=예상등급!$AQ$1,LOOKUP(R189,예상등급!$AQ$5:$AQ$13,예상등급!$AR$5:$AR$13),IF(Q189=예상등급!$AH$15,LOOKUP(R189,예상등급!$AH$19:$AH$27,예상등급!$AI$19:$AI$27),IF(Q189=예상등급!$AK$15,LOOKUP(R189,예상등급!$AK$19:$AK$27,예상등급!$AL$19:$AL$27),IF(Q189=예상등급!$AN$15,LOOKUP(R189,예상등급!$AN$19:$AN$27,예상등급!$AO$19:$AO$27),IF(Q189=예상등급!$AQ$15,LOOKUP(R189,예상등급!$AQ$19:$AQ$27,예상등급!$AR$19:$AR$27),"")))))))))))))))))</f>
        <v>5</v>
      </c>
      <c r="T189" s="110">
        <v>12</v>
      </c>
      <c r="U189" s="382">
        <f>IF(T189="","",LOOKUP(T189,예상등급!$D$19:$D$27,예상등급!$E$19:$E$27))</f>
        <v>7</v>
      </c>
      <c r="V189" s="402">
        <f>SUM(L189,T189,R189,O189)</f>
        <v>158</v>
      </c>
      <c r="W189" s="278">
        <f>RANK(V189,$V$4:$V$491)</f>
        <v>186</v>
      </c>
    </row>
    <row r="190" spans="1:26" ht="24.95" customHeight="1" x14ac:dyDescent="0.15">
      <c r="A190" s="110">
        <v>8</v>
      </c>
      <c r="B190" s="71">
        <v>9</v>
      </c>
      <c r="C190" s="100" t="s">
        <v>945</v>
      </c>
      <c r="D190" s="110" t="s">
        <v>779</v>
      </c>
      <c r="E190" s="71">
        <v>48</v>
      </c>
      <c r="F190" s="382">
        <f>IF(D190=예상등급!$A$1,LOOKUP(E190,예상등급!$A$5:$A$13,예상등급!$B$5:$B$13),IF(D190=예상등급!$A$15,LOOKUP(E190,예상등급!$A$19:$A$27,예상등급!$B$19:$B$27),""))</f>
        <v>5</v>
      </c>
      <c r="G190" s="110" t="s">
        <v>780</v>
      </c>
      <c r="H190" s="71">
        <v>0</v>
      </c>
      <c r="I190" s="382">
        <f>IF(G190=예상등급!$G$15,LOOKUP(H190,예상등급!$G$19:$G$27,예상등급!$H$19:$H$27),IF(G190=예상등급!$J$15,LOOKUP(H190,예상등급!$J$19:$J$27,예상등급!$K$19:$K$27),IF(G190=예상등급!$M$15,LOOKUP(H190,예상등급!$M$19:$M$27,예상등급!$N$19:$N$27),"")))</f>
        <v>9</v>
      </c>
      <c r="J190" s="110">
        <v>57</v>
      </c>
      <c r="K190" s="382">
        <f>IF(J190="","",(LOOKUP(J190,예상등급!$D$5:$D$13,예상등급!$E$5:$E$13)))</f>
        <v>5</v>
      </c>
      <c r="L190" s="301">
        <f>SUM(E190,H190,J190)</f>
        <v>105</v>
      </c>
      <c r="M190" s="398">
        <f>RANK(L190,$L$4:$L$491)</f>
        <v>186</v>
      </c>
      <c r="N190" s="110" t="s">
        <v>761</v>
      </c>
      <c r="O190" s="71">
        <v>19</v>
      </c>
      <c r="P190" s="385">
        <f>IF(N190=예상등급!$G$1,LOOKUP(O190,예상등급!$G$5:$G$13,예상등급!$H$5:$H$13),IF(N190=예상등급!$J$1,LOOKUP(O190,예상등급!$J$5:$J$13,예상등급!$K$5:$K$13),IF(N190=예상등급!$M$1,LOOKUP(O190,예상등급!$M$5:$M$13,예상등급!$N$5:$N$13),IF(N190=예상등급!$P$1,LOOKUP(O190,예상등급!$P$5:$P$13,예상등급!$Q$5:$Q$13),IF(N190=예상등급!$S$1,LOOKUP(O190,예상등급!$S$5:$S$13,예상등급!$T$5:$T$13),IF(N190=예상등급!$V$1,LOOKUP(O190,예상등급!$V$5:$V$13,예상등급!$W$5:$W$13),IF(N190=예상등급!$Y$1,LOOKUP(O190,예상등급!$Y$5:$Y$13,예상등급!$Z$5:$Z$13),IF(N190=예상등급!$AB$1,LOOKUP(O190,예상등급!$AB$5:$AB$13,예상등급!$AC$5:$AC$13),IF(N190=예상등급!$AE$1,LOOKUP(O190,예상등급!$AE$5:$AE$13,예상등급!$AF$5:$AF$13),IF(N190=예상등급!$AH$1,LOOKUP(O190,예상등급!$AH$5:$AH$13,예상등급!$AI$5:$AI$13),IF(N190=예상등급!$AK$1,LOOKUP(O190,예상등급!$AK$5:$AK$13,예상등급!$AL$5:$AL$13),IF(N190=예상등급!$AN$1,LOOKUP(O190,예상등급!$AN$5:$AN$13,예상등급!$AO$5:$AO$13),IF(N190=예상등급!$AQ$1,LOOKUP(O190,예상등급!$AQ$5:$AQ$13,예상등급!$AR$5:$AR$13),IF(N190=예상등급!$AH$15,LOOKUP(O190,예상등급!$AH$19:$AH$27,예상등급!$AI$19:$AI$27),IF(N190=예상등급!$AK$15,LOOKUP(O190,예상등급!$AK$19:$AK$27,예상등급!$AL$19:$AL$27),IF(N190=예상등급!$AN$15,LOOKUP(O190,예상등급!$AN$19:$AN$27,예상등급!$AO$19:$AO$27),IF(N190=예상등급!$AQ$15,LOOKUP(O190,예상등급!$AQ$19:$AQ$27,예상등급!$AR$19:$AR$27),"")))))))))))))))))</f>
        <v>5</v>
      </c>
      <c r="Q190" s="110" t="s">
        <v>762</v>
      </c>
      <c r="R190" s="71">
        <v>23</v>
      </c>
      <c r="S190" s="385">
        <f>IF(Q190=예상등급!$G$1,LOOKUP(R190,예상등급!$G$5:$G$13,예상등급!$H$5:$H$13),IF(Q190=예상등급!$J$1,LOOKUP(R190,예상등급!$J$5:$J$13,예상등급!$K$5:$K$13),IF(Q190=예상등급!$M$1,LOOKUP(R190,예상등급!$M$5:$M$13,예상등급!$N$5:$N$13),IF(Q190=예상등급!$P$1,LOOKUP(R190,예상등급!$P$5:$P$13,예상등급!$Q$5:$Q$13),IF(Q190=예상등급!$S$1,LOOKUP(R190,예상등급!$S$5:$S$13,예상등급!$T$5:$T$13),IF(Q190=예상등급!$V$1,LOOKUP(R190,예상등급!$V$5:$V$13,예상등급!$W$5:$W$13),IF(Q190=예상등급!$Y$1,LOOKUP(R190,예상등급!$Y$5:$Y$13,예상등급!$Z$5:$Z$13),IF(Q190=예상등급!$AB$1,LOOKUP(R190,예상등급!$AB$5:$AB$13,예상등급!$AC$5:$AC$13),IF(Q190=예상등급!$AE$1,LOOKUP(R190,예상등급!$AE$5:$AE$13,예상등급!$AF$5:$AF$13),IF(Q190=예상등급!$AH$1,LOOKUP(R190,예상등급!$AH$5:$AH$13,예상등급!$AI$5:$AI$13),IF(Q190=예상등급!$AK$1,LOOKUP(R190,예상등급!$AK$5:$AK$13,예상등급!$AL$5:$AL$13),IF(Q190=예상등급!$AN$1,LOOKUP(R190,예상등급!$AN$5:$AN$13,예상등급!$AO$5:$AO$13),IF(Q190=예상등급!$AQ$1,LOOKUP(R190,예상등급!$AQ$5:$AQ$13,예상등급!$AR$5:$AR$13),IF(Q190=예상등급!$AH$15,LOOKUP(R190,예상등급!$AH$19:$AH$27,예상등급!$AI$19:$AI$27),IF(Q190=예상등급!$AK$15,LOOKUP(R190,예상등급!$AK$19:$AK$27,예상등급!$AL$19:$AL$27),IF(Q190=예상등급!$AN$15,LOOKUP(R190,예상등급!$AN$19:$AN$27,예상등급!$AO$19:$AO$27),IF(Q190=예상등급!$AQ$15,LOOKUP(R190,예상등급!$AQ$19:$AQ$27,예상등급!$AR$19:$AR$27),"")))))))))))))))))</f>
        <v>5</v>
      </c>
      <c r="T190" s="110">
        <v>11</v>
      </c>
      <c r="U190" s="382">
        <f>IF(T190="","",LOOKUP(T190,예상등급!$D$19:$D$27,예상등급!$E$19:$E$27))</f>
        <v>7</v>
      </c>
      <c r="V190" s="402">
        <f>SUM(L190,T190,R190,O190)</f>
        <v>158</v>
      </c>
      <c r="W190" s="278">
        <f>RANK(V190,$V$4:$V$491)</f>
        <v>186</v>
      </c>
    </row>
    <row r="191" spans="1:26" ht="24.95" customHeight="1" x14ac:dyDescent="0.15">
      <c r="A191" s="110">
        <v>6</v>
      </c>
      <c r="B191" s="71">
        <v>17</v>
      </c>
      <c r="C191" s="100" t="s">
        <v>908</v>
      </c>
      <c r="D191" s="110" t="s">
        <v>779</v>
      </c>
      <c r="E191" s="71">
        <v>28</v>
      </c>
      <c r="F191" s="382">
        <f>IF(D191=예상등급!$A$1,LOOKUP(E191,예상등급!$A$5:$A$13,예상등급!$B$5:$B$13),IF(D191=예상등급!$A$15,LOOKUP(E191,예상등급!$A$19:$A$27,예상등급!$B$19:$B$27),""))</f>
        <v>7</v>
      </c>
      <c r="G191" s="110" t="s">
        <v>780</v>
      </c>
      <c r="H191" s="71">
        <v>14</v>
      </c>
      <c r="I191" s="382">
        <f>IF(G191=예상등급!$G$15,LOOKUP(H191,예상등급!$G$19:$G$27,예상등급!$H$19:$H$27),IF(G191=예상등급!$J$15,LOOKUP(H191,예상등급!$J$19:$J$27,예상등급!$K$19:$K$27),IF(G191=예상등급!$M$15,LOOKUP(H191,예상등급!$M$19:$M$27,예상등급!$N$19:$N$27),"")))</f>
        <v>9</v>
      </c>
      <c r="J191" s="110">
        <v>59</v>
      </c>
      <c r="K191" s="382">
        <f>IF(J191="","",(LOOKUP(J191,예상등급!$D$5:$D$13,예상등급!$E$5:$E$13)))</f>
        <v>5</v>
      </c>
      <c r="L191" s="301">
        <f>SUM(E191,H191,J191)</f>
        <v>101</v>
      </c>
      <c r="M191" s="398">
        <f>RANK(L191,$L$4:$L$491)</f>
        <v>191</v>
      </c>
      <c r="N191" s="110" t="s">
        <v>761</v>
      </c>
      <c r="O191" s="71">
        <v>15</v>
      </c>
      <c r="P191" s="385">
        <f>IF(N191=예상등급!$G$1,LOOKUP(O191,예상등급!$G$5:$G$13,예상등급!$H$5:$H$13),IF(N191=예상등급!$J$1,LOOKUP(O191,예상등급!$J$5:$J$13,예상등급!$K$5:$K$13),IF(N191=예상등급!$M$1,LOOKUP(O191,예상등급!$M$5:$M$13,예상등급!$N$5:$N$13),IF(N191=예상등급!$P$1,LOOKUP(O191,예상등급!$P$5:$P$13,예상등급!$Q$5:$Q$13),IF(N191=예상등급!$S$1,LOOKUP(O191,예상등급!$S$5:$S$13,예상등급!$T$5:$T$13),IF(N191=예상등급!$V$1,LOOKUP(O191,예상등급!$V$5:$V$13,예상등급!$W$5:$W$13),IF(N191=예상등급!$Y$1,LOOKUP(O191,예상등급!$Y$5:$Y$13,예상등급!$Z$5:$Z$13),IF(N191=예상등급!$AB$1,LOOKUP(O191,예상등급!$AB$5:$AB$13,예상등급!$AC$5:$AC$13),IF(N191=예상등급!$AE$1,LOOKUP(O191,예상등급!$AE$5:$AE$13,예상등급!$AF$5:$AF$13),IF(N191=예상등급!$AH$1,LOOKUP(O191,예상등급!$AH$5:$AH$13,예상등급!$AI$5:$AI$13),IF(N191=예상등급!$AK$1,LOOKUP(O191,예상등급!$AK$5:$AK$13,예상등급!$AL$5:$AL$13),IF(N191=예상등급!$AN$1,LOOKUP(O191,예상등급!$AN$5:$AN$13,예상등급!$AO$5:$AO$13),IF(N191=예상등급!$AQ$1,LOOKUP(O191,예상등급!$AQ$5:$AQ$13,예상등급!$AR$5:$AR$13),IF(N191=예상등급!$AH$15,LOOKUP(O191,예상등급!$AH$19:$AH$27,예상등급!$AI$19:$AI$27),IF(N191=예상등급!$AK$15,LOOKUP(O191,예상등급!$AK$19:$AK$27,예상등급!$AL$19:$AL$27),IF(N191=예상등급!$AN$15,LOOKUP(O191,예상등급!$AN$19:$AN$27,예상등급!$AO$19:$AO$27),IF(N191=예상등급!$AQ$15,LOOKUP(O191,예상등급!$AQ$19:$AQ$27,예상등급!$AR$19:$AR$27),"")))))))))))))))))</f>
        <v>6</v>
      </c>
      <c r="Q191" s="110" t="s">
        <v>762</v>
      </c>
      <c r="R191" s="71">
        <v>22</v>
      </c>
      <c r="S191" s="385">
        <f>IF(Q191=예상등급!$G$1,LOOKUP(R191,예상등급!$G$5:$G$13,예상등급!$H$5:$H$13),IF(Q191=예상등급!$J$1,LOOKUP(R191,예상등급!$J$5:$J$13,예상등급!$K$5:$K$13),IF(Q191=예상등급!$M$1,LOOKUP(R191,예상등급!$M$5:$M$13,예상등급!$N$5:$N$13),IF(Q191=예상등급!$P$1,LOOKUP(R191,예상등급!$P$5:$P$13,예상등급!$Q$5:$Q$13),IF(Q191=예상등급!$S$1,LOOKUP(R191,예상등급!$S$5:$S$13,예상등급!$T$5:$T$13),IF(Q191=예상등급!$V$1,LOOKUP(R191,예상등급!$V$5:$V$13,예상등급!$W$5:$W$13),IF(Q191=예상등급!$Y$1,LOOKUP(R191,예상등급!$Y$5:$Y$13,예상등급!$Z$5:$Z$13),IF(Q191=예상등급!$AB$1,LOOKUP(R191,예상등급!$AB$5:$AB$13,예상등급!$AC$5:$AC$13),IF(Q191=예상등급!$AE$1,LOOKUP(R191,예상등급!$AE$5:$AE$13,예상등급!$AF$5:$AF$13),IF(Q191=예상등급!$AH$1,LOOKUP(R191,예상등급!$AH$5:$AH$13,예상등급!$AI$5:$AI$13),IF(Q191=예상등급!$AK$1,LOOKUP(R191,예상등급!$AK$5:$AK$13,예상등급!$AL$5:$AL$13),IF(Q191=예상등급!$AN$1,LOOKUP(R191,예상등급!$AN$5:$AN$13,예상등급!$AO$5:$AO$13),IF(Q191=예상등급!$AQ$1,LOOKUP(R191,예상등급!$AQ$5:$AQ$13,예상등급!$AR$5:$AR$13),IF(Q191=예상등급!$AH$15,LOOKUP(R191,예상등급!$AH$19:$AH$27,예상등급!$AI$19:$AI$27),IF(Q191=예상등급!$AK$15,LOOKUP(R191,예상등급!$AK$19:$AK$27,예상등급!$AL$19:$AL$27),IF(Q191=예상등급!$AN$15,LOOKUP(R191,예상등급!$AN$19:$AN$27,예상등급!$AO$19:$AO$27),IF(Q191=예상등급!$AQ$15,LOOKUP(R191,예상등급!$AQ$19:$AQ$27,예상등급!$AR$19:$AR$27),"")))))))))))))))))</f>
        <v>5</v>
      </c>
      <c r="T191" s="110">
        <v>18</v>
      </c>
      <c r="U191" s="382">
        <f>IF(T191="","",LOOKUP(T191,예상등급!$D$19:$D$27,예상등급!$E$19:$E$27))</f>
        <v>6</v>
      </c>
      <c r="V191" s="402">
        <f>SUM(L191,T191,R191,O191)</f>
        <v>156</v>
      </c>
      <c r="W191" s="278">
        <f>RANK(V191,$V$4:$V$491)</f>
        <v>188</v>
      </c>
    </row>
    <row r="192" spans="1:26" ht="24.95" customHeight="1" x14ac:dyDescent="0.15">
      <c r="A192" s="110">
        <v>7</v>
      </c>
      <c r="B192" s="71">
        <v>4</v>
      </c>
      <c r="C192" s="100" t="s">
        <v>919</v>
      </c>
      <c r="D192" s="110" t="s">
        <v>779</v>
      </c>
      <c r="E192" s="71">
        <v>44</v>
      </c>
      <c r="F192" s="382">
        <f>IF(D192=예상등급!$A$1,LOOKUP(E192,예상등급!$A$5:$A$13,예상등급!$B$5:$B$13),IF(D192=예상등급!$A$15,LOOKUP(E192,예상등급!$A$19:$A$27,예상등급!$B$19:$B$27),""))</f>
        <v>5</v>
      </c>
      <c r="G192" s="110" t="s">
        <v>781</v>
      </c>
      <c r="H192" s="71">
        <v>16</v>
      </c>
      <c r="I192" s="382">
        <f>IF(G192=예상등급!$G$15,LOOKUP(H192,예상등급!$G$19:$G$27,예상등급!$H$19:$H$27),IF(G192=예상등급!$J$15,LOOKUP(H192,예상등급!$J$19:$J$27,예상등급!$K$19:$K$27),IF(G192=예상등급!$M$15,LOOKUP(H192,예상등급!$M$19:$M$27,예상등급!$N$19:$N$27),"")))</f>
        <v>7</v>
      </c>
      <c r="J192" s="110">
        <v>51</v>
      </c>
      <c r="K192" s="382">
        <f>IF(J192="","",(LOOKUP(J192,예상등급!$D$5:$D$13,예상등급!$E$5:$E$13)))</f>
        <v>5</v>
      </c>
      <c r="L192" s="301">
        <f>SUM(E192,H192,J192)</f>
        <v>111</v>
      </c>
      <c r="M192" s="398">
        <f>RANK(L192,$L$4:$L$491)</f>
        <v>179</v>
      </c>
      <c r="N192" s="110" t="s">
        <v>761</v>
      </c>
      <c r="O192" s="71">
        <v>23</v>
      </c>
      <c r="P192" s="385">
        <f>IF(N192=예상등급!$G$1,LOOKUP(O192,예상등급!$G$5:$G$13,예상등급!$H$5:$H$13),IF(N192=예상등급!$J$1,LOOKUP(O192,예상등급!$J$5:$J$13,예상등급!$K$5:$K$13),IF(N192=예상등급!$M$1,LOOKUP(O192,예상등급!$M$5:$M$13,예상등급!$N$5:$N$13),IF(N192=예상등급!$P$1,LOOKUP(O192,예상등급!$P$5:$P$13,예상등급!$Q$5:$Q$13),IF(N192=예상등급!$S$1,LOOKUP(O192,예상등급!$S$5:$S$13,예상등급!$T$5:$T$13),IF(N192=예상등급!$V$1,LOOKUP(O192,예상등급!$V$5:$V$13,예상등급!$W$5:$W$13),IF(N192=예상등급!$Y$1,LOOKUP(O192,예상등급!$Y$5:$Y$13,예상등급!$Z$5:$Z$13),IF(N192=예상등급!$AB$1,LOOKUP(O192,예상등급!$AB$5:$AB$13,예상등급!$AC$5:$AC$13),IF(N192=예상등급!$AE$1,LOOKUP(O192,예상등급!$AE$5:$AE$13,예상등급!$AF$5:$AF$13),IF(N192=예상등급!$AH$1,LOOKUP(O192,예상등급!$AH$5:$AH$13,예상등급!$AI$5:$AI$13),IF(N192=예상등급!$AK$1,LOOKUP(O192,예상등급!$AK$5:$AK$13,예상등급!$AL$5:$AL$13),IF(N192=예상등급!$AN$1,LOOKUP(O192,예상등급!$AN$5:$AN$13,예상등급!$AO$5:$AO$13),IF(N192=예상등급!$AQ$1,LOOKUP(O192,예상등급!$AQ$5:$AQ$13,예상등급!$AR$5:$AR$13),IF(N192=예상등급!$AH$15,LOOKUP(O192,예상등급!$AH$19:$AH$27,예상등급!$AI$19:$AI$27),IF(N192=예상등급!$AK$15,LOOKUP(O192,예상등급!$AK$19:$AK$27,예상등급!$AL$19:$AL$27),IF(N192=예상등급!$AN$15,LOOKUP(O192,예상등급!$AN$19:$AN$27,예상등급!$AO$19:$AO$27),IF(N192=예상등급!$AQ$15,LOOKUP(O192,예상등급!$AQ$19:$AQ$27,예상등급!$AR$19:$AR$27),"")))))))))))))))))</f>
        <v>5</v>
      </c>
      <c r="Q192" s="110" t="s">
        <v>772</v>
      </c>
      <c r="R192" s="71">
        <v>14</v>
      </c>
      <c r="S192" s="385">
        <f>IF(Q192=예상등급!$G$1,LOOKUP(R192,예상등급!$G$5:$G$13,예상등급!$H$5:$H$13),IF(Q192=예상등급!$J$1,LOOKUP(R192,예상등급!$J$5:$J$13,예상등급!$K$5:$K$13),IF(Q192=예상등급!$M$1,LOOKUP(R192,예상등급!$M$5:$M$13,예상등급!$N$5:$N$13),IF(Q192=예상등급!$P$1,LOOKUP(R192,예상등급!$P$5:$P$13,예상등급!$Q$5:$Q$13),IF(Q192=예상등급!$S$1,LOOKUP(R192,예상등급!$S$5:$S$13,예상등급!$T$5:$T$13),IF(Q192=예상등급!$V$1,LOOKUP(R192,예상등급!$V$5:$V$13,예상등급!$W$5:$W$13),IF(Q192=예상등급!$Y$1,LOOKUP(R192,예상등급!$Y$5:$Y$13,예상등급!$Z$5:$Z$13),IF(Q192=예상등급!$AB$1,LOOKUP(R192,예상등급!$AB$5:$AB$13,예상등급!$AC$5:$AC$13),IF(Q192=예상등급!$AE$1,LOOKUP(R192,예상등급!$AE$5:$AE$13,예상등급!$AF$5:$AF$13),IF(Q192=예상등급!$AH$1,LOOKUP(R192,예상등급!$AH$5:$AH$13,예상등급!$AI$5:$AI$13),IF(Q192=예상등급!$AK$1,LOOKUP(R192,예상등급!$AK$5:$AK$13,예상등급!$AL$5:$AL$13),IF(Q192=예상등급!$AN$1,LOOKUP(R192,예상등급!$AN$5:$AN$13,예상등급!$AO$5:$AO$13),IF(Q192=예상등급!$AQ$1,LOOKUP(R192,예상등급!$AQ$5:$AQ$13,예상등급!$AR$5:$AR$13),IF(Q192=예상등급!$AH$15,LOOKUP(R192,예상등급!$AH$19:$AH$27,예상등급!$AI$19:$AI$27),IF(Q192=예상등급!$AK$15,LOOKUP(R192,예상등급!$AK$19:$AK$27,예상등급!$AL$19:$AL$27),IF(Q192=예상등급!$AN$15,LOOKUP(R192,예상등급!$AN$19:$AN$27,예상등급!$AO$19:$AO$27),IF(Q192=예상등급!$AQ$15,LOOKUP(R192,예상등급!$AQ$19:$AQ$27,예상등급!$AR$19:$AR$27),"")))))))))))))))))</f>
        <v>5</v>
      </c>
      <c r="T192" s="110">
        <v>8</v>
      </c>
      <c r="U192" s="382">
        <f>IF(T192="","",LOOKUP(T192,예상등급!$D$19:$D$27,예상등급!$E$19:$E$27))</f>
        <v>8</v>
      </c>
      <c r="V192" s="402">
        <f>SUM(L192,T192,R192,O192)</f>
        <v>156</v>
      </c>
      <c r="W192" s="278">
        <f>RANK(V192,$V$4:$V$491)</f>
        <v>188</v>
      </c>
    </row>
    <row r="193" spans="1:26" ht="24.95" customHeight="1" x14ac:dyDescent="0.15">
      <c r="A193" s="110">
        <v>10</v>
      </c>
      <c r="B193" s="71">
        <v>25</v>
      </c>
      <c r="C193" s="100" t="s">
        <v>1008</v>
      </c>
      <c r="D193" s="110" t="s">
        <v>779</v>
      </c>
      <c r="E193" s="71">
        <v>48</v>
      </c>
      <c r="F193" s="382">
        <f>IF(D193=예상등급!$A$1,LOOKUP(E193,예상등급!$A$5:$A$13,예상등급!$B$5:$B$13),IF(D193=예상등급!$A$15,LOOKUP(E193,예상등급!$A$19:$A$27,예상등급!$B$19:$B$27),""))</f>
        <v>5</v>
      </c>
      <c r="G193" s="110" t="s">
        <v>780</v>
      </c>
      <c r="H193" s="71">
        <v>7</v>
      </c>
      <c r="I193" s="382">
        <f>IF(G193=예상등급!$G$15,LOOKUP(H193,예상등급!$G$19:$G$27,예상등급!$H$19:$H$27),IF(G193=예상등급!$J$15,LOOKUP(H193,예상등급!$J$19:$J$27,예상등급!$K$19:$K$27),IF(G193=예상등급!$M$15,LOOKUP(H193,예상등급!$M$19:$M$27,예상등급!$N$19:$N$27),"")))</f>
        <v>9</v>
      </c>
      <c r="J193" s="110">
        <v>43</v>
      </c>
      <c r="K193" s="382">
        <f>IF(J193="","",(LOOKUP(J193,예상등급!$D$5:$D$13,예상등급!$E$5:$E$13)))</f>
        <v>6</v>
      </c>
      <c r="L193" s="301">
        <f>SUM(E193,H193,J193)</f>
        <v>98</v>
      </c>
      <c r="M193" s="398">
        <f>RANK(L193,$L$4:$L$491)</f>
        <v>193</v>
      </c>
      <c r="N193" s="110" t="s">
        <v>761</v>
      </c>
      <c r="O193" s="71">
        <v>17</v>
      </c>
      <c r="P193" s="385">
        <f>IF(N193=예상등급!$G$1,LOOKUP(O193,예상등급!$G$5:$G$13,예상등급!$H$5:$H$13),IF(N193=예상등급!$J$1,LOOKUP(O193,예상등급!$J$5:$J$13,예상등급!$K$5:$K$13),IF(N193=예상등급!$M$1,LOOKUP(O193,예상등급!$M$5:$M$13,예상등급!$N$5:$N$13),IF(N193=예상등급!$P$1,LOOKUP(O193,예상등급!$P$5:$P$13,예상등급!$Q$5:$Q$13),IF(N193=예상등급!$S$1,LOOKUP(O193,예상등급!$S$5:$S$13,예상등급!$T$5:$T$13),IF(N193=예상등급!$V$1,LOOKUP(O193,예상등급!$V$5:$V$13,예상등급!$W$5:$W$13),IF(N193=예상등급!$Y$1,LOOKUP(O193,예상등급!$Y$5:$Y$13,예상등급!$Z$5:$Z$13),IF(N193=예상등급!$AB$1,LOOKUP(O193,예상등급!$AB$5:$AB$13,예상등급!$AC$5:$AC$13),IF(N193=예상등급!$AE$1,LOOKUP(O193,예상등급!$AE$5:$AE$13,예상등급!$AF$5:$AF$13),IF(N193=예상등급!$AH$1,LOOKUP(O193,예상등급!$AH$5:$AH$13,예상등급!$AI$5:$AI$13),IF(N193=예상등급!$AK$1,LOOKUP(O193,예상등급!$AK$5:$AK$13,예상등급!$AL$5:$AL$13),IF(N193=예상등급!$AN$1,LOOKUP(O193,예상등급!$AN$5:$AN$13,예상등급!$AO$5:$AO$13),IF(N193=예상등급!$AQ$1,LOOKUP(O193,예상등급!$AQ$5:$AQ$13,예상등급!$AR$5:$AR$13),IF(N193=예상등급!$AH$15,LOOKUP(O193,예상등급!$AH$19:$AH$27,예상등급!$AI$19:$AI$27),IF(N193=예상등급!$AK$15,LOOKUP(O193,예상등급!$AK$19:$AK$27,예상등급!$AL$19:$AL$27),IF(N193=예상등급!$AN$15,LOOKUP(O193,예상등급!$AN$19:$AN$27,예상등급!$AO$19:$AO$27),IF(N193=예상등급!$AQ$15,LOOKUP(O193,예상등급!$AQ$19:$AQ$27,예상등급!$AR$19:$AR$27),"")))))))))))))))))</f>
        <v>6</v>
      </c>
      <c r="Q193" s="110" t="s">
        <v>762</v>
      </c>
      <c r="R193" s="71">
        <v>23</v>
      </c>
      <c r="S193" s="385">
        <f>IF(Q193=예상등급!$G$1,LOOKUP(R193,예상등급!$G$5:$G$13,예상등급!$H$5:$H$13),IF(Q193=예상등급!$J$1,LOOKUP(R193,예상등급!$J$5:$J$13,예상등급!$K$5:$K$13),IF(Q193=예상등급!$M$1,LOOKUP(R193,예상등급!$M$5:$M$13,예상등급!$N$5:$N$13),IF(Q193=예상등급!$P$1,LOOKUP(R193,예상등급!$P$5:$P$13,예상등급!$Q$5:$Q$13),IF(Q193=예상등급!$S$1,LOOKUP(R193,예상등급!$S$5:$S$13,예상등급!$T$5:$T$13),IF(Q193=예상등급!$V$1,LOOKUP(R193,예상등급!$V$5:$V$13,예상등급!$W$5:$W$13),IF(Q193=예상등급!$Y$1,LOOKUP(R193,예상등급!$Y$5:$Y$13,예상등급!$Z$5:$Z$13),IF(Q193=예상등급!$AB$1,LOOKUP(R193,예상등급!$AB$5:$AB$13,예상등급!$AC$5:$AC$13),IF(Q193=예상등급!$AE$1,LOOKUP(R193,예상등급!$AE$5:$AE$13,예상등급!$AF$5:$AF$13),IF(Q193=예상등급!$AH$1,LOOKUP(R193,예상등급!$AH$5:$AH$13,예상등급!$AI$5:$AI$13),IF(Q193=예상등급!$AK$1,LOOKUP(R193,예상등급!$AK$5:$AK$13,예상등급!$AL$5:$AL$13),IF(Q193=예상등급!$AN$1,LOOKUP(R193,예상등급!$AN$5:$AN$13,예상등급!$AO$5:$AO$13),IF(Q193=예상등급!$AQ$1,LOOKUP(R193,예상등급!$AQ$5:$AQ$13,예상등급!$AR$5:$AR$13),IF(Q193=예상등급!$AH$15,LOOKUP(R193,예상등급!$AH$19:$AH$27,예상등급!$AI$19:$AI$27),IF(Q193=예상등급!$AK$15,LOOKUP(R193,예상등급!$AK$19:$AK$27,예상등급!$AL$19:$AL$27),IF(Q193=예상등급!$AN$15,LOOKUP(R193,예상등급!$AN$19:$AN$27,예상등급!$AO$19:$AO$27),IF(Q193=예상등급!$AQ$15,LOOKUP(R193,예상등급!$AQ$19:$AQ$27,예상등급!$AR$19:$AR$27),"")))))))))))))))))</f>
        <v>5</v>
      </c>
      <c r="T193" s="110">
        <v>17</v>
      </c>
      <c r="U193" s="382">
        <f>IF(T193="","",LOOKUP(T193,예상등급!$D$19:$D$27,예상등급!$E$19:$E$27))</f>
        <v>6</v>
      </c>
      <c r="V193" s="402">
        <f>SUM(L193,T193,R193,O193)</f>
        <v>155</v>
      </c>
      <c r="W193" s="278">
        <f>RANK(V193,$V$4:$V$491)</f>
        <v>190</v>
      </c>
    </row>
    <row r="194" spans="1:26" ht="24.95" customHeight="1" x14ac:dyDescent="0.15">
      <c r="A194" s="110">
        <v>9</v>
      </c>
      <c r="B194" s="71">
        <v>21</v>
      </c>
      <c r="C194" s="100" t="s">
        <v>979</v>
      </c>
      <c r="D194" s="110" t="s">
        <v>779</v>
      </c>
      <c r="E194" s="71">
        <v>35</v>
      </c>
      <c r="F194" s="382">
        <f>IF(D194=예상등급!$A$1,LOOKUP(E194,예상등급!$A$5:$A$13,예상등급!$B$5:$B$13),IF(D194=예상등급!$A$15,LOOKUP(E194,예상등급!$A$19:$A$27,예상등급!$B$19:$B$27),""))</f>
        <v>6</v>
      </c>
      <c r="G194" s="110" t="s">
        <v>780</v>
      </c>
      <c r="H194" s="71">
        <v>26</v>
      </c>
      <c r="I194" s="382">
        <f>IF(G194=예상등급!$G$15,LOOKUP(H194,예상등급!$G$19:$G$27,예상등급!$H$19:$H$27),IF(G194=예상등급!$J$15,LOOKUP(H194,예상등급!$J$19:$J$27,예상등급!$K$19:$K$27),IF(G194=예상등급!$M$15,LOOKUP(H194,예상등급!$M$19:$M$27,예상등급!$N$19:$N$27),"")))</f>
        <v>6</v>
      </c>
      <c r="J194" s="110">
        <v>47</v>
      </c>
      <c r="K194" s="382">
        <f>IF(J194="","",(LOOKUP(J194,예상등급!$D$5:$D$13,예상등급!$E$5:$E$13)))</f>
        <v>6</v>
      </c>
      <c r="L194" s="301">
        <f>SUM(E194,H194,J194)</f>
        <v>108</v>
      </c>
      <c r="M194" s="398">
        <f>RANK(L194,$L$4:$L$491)</f>
        <v>183</v>
      </c>
      <c r="N194" s="110" t="s">
        <v>761</v>
      </c>
      <c r="O194" s="71">
        <v>16</v>
      </c>
      <c r="P194" s="385">
        <f>IF(N194=예상등급!$G$1,LOOKUP(O194,예상등급!$G$5:$G$13,예상등급!$H$5:$H$13),IF(N194=예상등급!$J$1,LOOKUP(O194,예상등급!$J$5:$J$13,예상등급!$K$5:$K$13),IF(N194=예상등급!$M$1,LOOKUP(O194,예상등급!$M$5:$M$13,예상등급!$N$5:$N$13),IF(N194=예상등급!$P$1,LOOKUP(O194,예상등급!$P$5:$P$13,예상등급!$Q$5:$Q$13),IF(N194=예상등급!$S$1,LOOKUP(O194,예상등급!$S$5:$S$13,예상등급!$T$5:$T$13),IF(N194=예상등급!$V$1,LOOKUP(O194,예상등급!$V$5:$V$13,예상등급!$W$5:$W$13),IF(N194=예상등급!$Y$1,LOOKUP(O194,예상등급!$Y$5:$Y$13,예상등급!$Z$5:$Z$13),IF(N194=예상등급!$AB$1,LOOKUP(O194,예상등급!$AB$5:$AB$13,예상등급!$AC$5:$AC$13),IF(N194=예상등급!$AE$1,LOOKUP(O194,예상등급!$AE$5:$AE$13,예상등급!$AF$5:$AF$13),IF(N194=예상등급!$AH$1,LOOKUP(O194,예상등급!$AH$5:$AH$13,예상등급!$AI$5:$AI$13),IF(N194=예상등급!$AK$1,LOOKUP(O194,예상등급!$AK$5:$AK$13,예상등급!$AL$5:$AL$13),IF(N194=예상등급!$AN$1,LOOKUP(O194,예상등급!$AN$5:$AN$13,예상등급!$AO$5:$AO$13),IF(N194=예상등급!$AQ$1,LOOKUP(O194,예상등급!$AQ$5:$AQ$13,예상등급!$AR$5:$AR$13),IF(N194=예상등급!$AH$15,LOOKUP(O194,예상등급!$AH$19:$AH$27,예상등급!$AI$19:$AI$27),IF(N194=예상등급!$AK$15,LOOKUP(O194,예상등급!$AK$19:$AK$27,예상등급!$AL$19:$AL$27),IF(N194=예상등급!$AN$15,LOOKUP(O194,예상등급!$AN$19:$AN$27,예상등급!$AO$19:$AO$27),IF(N194=예상등급!$AQ$15,LOOKUP(O194,예상등급!$AQ$19:$AQ$27,예상등급!$AR$19:$AR$27),"")))))))))))))))))</f>
        <v>6</v>
      </c>
      <c r="Q194" s="110" t="s">
        <v>762</v>
      </c>
      <c r="R194" s="71">
        <v>17</v>
      </c>
      <c r="S194" s="385">
        <f>IF(Q194=예상등급!$G$1,LOOKUP(R194,예상등급!$G$5:$G$13,예상등급!$H$5:$H$13),IF(Q194=예상등급!$J$1,LOOKUP(R194,예상등급!$J$5:$J$13,예상등급!$K$5:$K$13),IF(Q194=예상등급!$M$1,LOOKUP(R194,예상등급!$M$5:$M$13,예상등급!$N$5:$N$13),IF(Q194=예상등급!$P$1,LOOKUP(R194,예상등급!$P$5:$P$13,예상등급!$Q$5:$Q$13),IF(Q194=예상등급!$S$1,LOOKUP(R194,예상등급!$S$5:$S$13,예상등급!$T$5:$T$13),IF(Q194=예상등급!$V$1,LOOKUP(R194,예상등급!$V$5:$V$13,예상등급!$W$5:$W$13),IF(Q194=예상등급!$Y$1,LOOKUP(R194,예상등급!$Y$5:$Y$13,예상등급!$Z$5:$Z$13),IF(Q194=예상등급!$AB$1,LOOKUP(R194,예상등급!$AB$5:$AB$13,예상등급!$AC$5:$AC$13),IF(Q194=예상등급!$AE$1,LOOKUP(R194,예상등급!$AE$5:$AE$13,예상등급!$AF$5:$AF$13),IF(Q194=예상등급!$AH$1,LOOKUP(R194,예상등급!$AH$5:$AH$13,예상등급!$AI$5:$AI$13),IF(Q194=예상등급!$AK$1,LOOKUP(R194,예상등급!$AK$5:$AK$13,예상등급!$AL$5:$AL$13),IF(Q194=예상등급!$AN$1,LOOKUP(R194,예상등급!$AN$5:$AN$13,예상등급!$AO$5:$AO$13),IF(Q194=예상등급!$AQ$1,LOOKUP(R194,예상등급!$AQ$5:$AQ$13,예상등급!$AR$5:$AR$13),IF(Q194=예상등급!$AH$15,LOOKUP(R194,예상등급!$AH$19:$AH$27,예상등급!$AI$19:$AI$27),IF(Q194=예상등급!$AK$15,LOOKUP(R194,예상등급!$AK$19:$AK$27,예상등급!$AL$19:$AL$27),IF(Q194=예상등급!$AN$15,LOOKUP(R194,예상등급!$AN$19:$AN$27,예상등급!$AO$19:$AO$27),IF(Q194=예상등급!$AQ$15,LOOKUP(R194,예상등급!$AQ$19:$AQ$27,예상등급!$AR$19:$AR$27),"")))))))))))))))))</f>
        <v>6</v>
      </c>
      <c r="T194" s="110">
        <v>12</v>
      </c>
      <c r="U194" s="382">
        <f>IF(T194="","",LOOKUP(T194,예상등급!$D$19:$D$27,예상등급!$E$19:$E$27))</f>
        <v>7</v>
      </c>
      <c r="V194" s="402">
        <f>SUM(L194,T194,R194,O194)</f>
        <v>153</v>
      </c>
      <c r="W194" s="278">
        <f>RANK(V194,$V$4:$V$491)</f>
        <v>191</v>
      </c>
    </row>
    <row r="195" spans="1:26" ht="24.95" customHeight="1" x14ac:dyDescent="0.15">
      <c r="A195" s="110">
        <v>6</v>
      </c>
      <c r="B195" s="71">
        <v>6</v>
      </c>
      <c r="C195" s="100" t="s">
        <v>898</v>
      </c>
      <c r="D195" s="110" t="s">
        <v>779</v>
      </c>
      <c r="E195" s="71">
        <v>36</v>
      </c>
      <c r="F195" s="382">
        <f>IF(D195=예상등급!$A$1,LOOKUP(E195,예상등급!$A$5:$A$13,예상등급!$B$5:$B$13),IF(D195=예상등급!$A$15,LOOKUP(E195,예상등급!$A$19:$A$27,예상등급!$B$19:$B$27),""))</f>
        <v>6</v>
      </c>
      <c r="G195" s="110" t="s">
        <v>780</v>
      </c>
      <c r="H195" s="71">
        <v>22</v>
      </c>
      <c r="I195" s="382">
        <f>IF(G195=예상등급!$G$15,LOOKUP(H195,예상등급!$G$19:$G$27,예상등급!$H$19:$H$27),IF(G195=예상등급!$J$15,LOOKUP(H195,예상등급!$J$19:$J$27,예상등급!$K$19:$K$27),IF(G195=예상등급!$M$15,LOOKUP(H195,예상등급!$M$19:$M$27,예상등급!$N$19:$N$27),"")))</f>
        <v>7</v>
      </c>
      <c r="J195" s="110">
        <v>45</v>
      </c>
      <c r="K195" s="382">
        <f>IF(J195="","",(LOOKUP(J195,예상등급!$D$5:$D$13,예상등급!$E$5:$E$13)))</f>
        <v>6</v>
      </c>
      <c r="L195" s="301">
        <f>SUM(E195,H195,J195)</f>
        <v>103</v>
      </c>
      <c r="M195" s="398">
        <f>RANK(L195,$L$4:$L$491)</f>
        <v>188</v>
      </c>
      <c r="N195" s="110" t="s">
        <v>771</v>
      </c>
      <c r="O195" s="71">
        <v>17</v>
      </c>
      <c r="P195" s="385">
        <f>IF(N195=예상등급!$G$1,LOOKUP(O195,예상등급!$G$5:$G$13,예상등급!$H$5:$H$13),IF(N195=예상등급!$J$1,LOOKUP(O195,예상등급!$J$5:$J$13,예상등급!$K$5:$K$13),IF(N195=예상등급!$M$1,LOOKUP(O195,예상등급!$M$5:$M$13,예상등급!$N$5:$N$13),IF(N195=예상등급!$P$1,LOOKUP(O195,예상등급!$P$5:$P$13,예상등급!$Q$5:$Q$13),IF(N195=예상등급!$S$1,LOOKUP(O195,예상등급!$S$5:$S$13,예상등급!$T$5:$T$13),IF(N195=예상등급!$V$1,LOOKUP(O195,예상등급!$V$5:$V$13,예상등급!$W$5:$W$13),IF(N195=예상등급!$Y$1,LOOKUP(O195,예상등급!$Y$5:$Y$13,예상등급!$Z$5:$Z$13),IF(N195=예상등급!$AB$1,LOOKUP(O195,예상등급!$AB$5:$AB$13,예상등급!$AC$5:$AC$13),IF(N195=예상등급!$AE$1,LOOKUP(O195,예상등급!$AE$5:$AE$13,예상등급!$AF$5:$AF$13),IF(N195=예상등급!$AH$1,LOOKUP(O195,예상등급!$AH$5:$AH$13,예상등급!$AI$5:$AI$13),IF(N195=예상등급!$AK$1,LOOKUP(O195,예상등급!$AK$5:$AK$13,예상등급!$AL$5:$AL$13),IF(N195=예상등급!$AN$1,LOOKUP(O195,예상등급!$AN$5:$AN$13,예상등급!$AO$5:$AO$13),IF(N195=예상등급!$AQ$1,LOOKUP(O195,예상등급!$AQ$5:$AQ$13,예상등급!$AR$5:$AR$13),IF(N195=예상등급!$AH$15,LOOKUP(O195,예상등급!$AH$19:$AH$27,예상등급!$AI$19:$AI$27),IF(N195=예상등급!$AK$15,LOOKUP(O195,예상등급!$AK$19:$AK$27,예상등급!$AL$19:$AL$27),IF(N195=예상등급!$AN$15,LOOKUP(O195,예상등급!$AN$19:$AN$27,예상등급!$AO$19:$AO$27),IF(N195=예상등급!$AQ$15,LOOKUP(O195,예상등급!$AQ$19:$AQ$27,예상등급!$AR$19:$AR$27),"")))))))))))))))))</f>
        <v>5</v>
      </c>
      <c r="Q195" s="110" t="s">
        <v>761</v>
      </c>
      <c r="R195" s="71">
        <v>25</v>
      </c>
      <c r="S195" s="385">
        <f>IF(Q195=예상등급!$G$1,LOOKUP(R195,예상등급!$G$5:$G$13,예상등급!$H$5:$H$13),IF(Q195=예상등급!$J$1,LOOKUP(R195,예상등급!$J$5:$J$13,예상등급!$K$5:$K$13),IF(Q195=예상등급!$M$1,LOOKUP(R195,예상등급!$M$5:$M$13,예상등급!$N$5:$N$13),IF(Q195=예상등급!$P$1,LOOKUP(R195,예상등급!$P$5:$P$13,예상등급!$Q$5:$Q$13),IF(Q195=예상등급!$S$1,LOOKUP(R195,예상등급!$S$5:$S$13,예상등급!$T$5:$T$13),IF(Q195=예상등급!$V$1,LOOKUP(R195,예상등급!$V$5:$V$13,예상등급!$W$5:$W$13),IF(Q195=예상등급!$Y$1,LOOKUP(R195,예상등급!$Y$5:$Y$13,예상등급!$Z$5:$Z$13),IF(Q195=예상등급!$AB$1,LOOKUP(R195,예상등급!$AB$5:$AB$13,예상등급!$AC$5:$AC$13),IF(Q195=예상등급!$AE$1,LOOKUP(R195,예상등급!$AE$5:$AE$13,예상등급!$AF$5:$AF$13),IF(Q195=예상등급!$AH$1,LOOKUP(R195,예상등급!$AH$5:$AH$13,예상등급!$AI$5:$AI$13),IF(Q195=예상등급!$AK$1,LOOKUP(R195,예상등급!$AK$5:$AK$13,예상등급!$AL$5:$AL$13),IF(Q195=예상등급!$AN$1,LOOKUP(R195,예상등급!$AN$5:$AN$13,예상등급!$AO$5:$AO$13),IF(Q195=예상등급!$AQ$1,LOOKUP(R195,예상등급!$AQ$5:$AQ$13,예상등급!$AR$5:$AR$13),IF(Q195=예상등급!$AH$15,LOOKUP(R195,예상등급!$AH$19:$AH$27,예상등급!$AI$19:$AI$27),IF(Q195=예상등급!$AK$15,LOOKUP(R195,예상등급!$AK$19:$AK$27,예상등급!$AL$19:$AL$27),IF(Q195=예상등급!$AN$15,LOOKUP(R195,예상등급!$AN$19:$AN$27,예상등급!$AO$19:$AO$27),IF(Q195=예상등급!$AQ$15,LOOKUP(R195,예상등급!$AQ$19:$AQ$27,예상등급!$AR$19:$AR$27),"")))))))))))))))))</f>
        <v>4</v>
      </c>
      <c r="T195" s="110">
        <v>7</v>
      </c>
      <c r="U195" s="382">
        <f>IF(T195="","",LOOKUP(T195,예상등급!$D$19:$D$27,예상등급!$E$19:$E$27))</f>
        <v>8</v>
      </c>
      <c r="V195" s="402">
        <f>SUM(L195,T195,R195,O195)</f>
        <v>152</v>
      </c>
      <c r="W195" s="278">
        <f>RANK(V195,$V$4:$V$491)</f>
        <v>192</v>
      </c>
    </row>
    <row r="196" spans="1:26" ht="24.95" customHeight="1" x14ac:dyDescent="0.15">
      <c r="A196" s="110">
        <v>10</v>
      </c>
      <c r="B196" s="71">
        <v>12</v>
      </c>
      <c r="C196" s="100" t="s">
        <v>995</v>
      </c>
      <c r="D196" s="110" t="s">
        <v>779</v>
      </c>
      <c r="E196" s="71">
        <v>26</v>
      </c>
      <c r="F196" s="382">
        <f>IF(D196=예상등급!$A$1,LOOKUP(E196,예상등급!$A$5:$A$13,예상등급!$B$5:$B$13),IF(D196=예상등급!$A$15,LOOKUP(E196,예상등급!$A$19:$A$27,예상등급!$B$19:$B$27),""))</f>
        <v>7</v>
      </c>
      <c r="G196" s="110" t="s">
        <v>780</v>
      </c>
      <c r="H196" s="71">
        <v>13</v>
      </c>
      <c r="I196" s="382">
        <f>IF(G196=예상등급!$G$15,LOOKUP(H196,예상등급!$G$19:$G$27,예상등급!$H$19:$H$27),IF(G196=예상등급!$J$15,LOOKUP(H196,예상등급!$J$19:$J$27,예상등급!$K$19:$K$27),IF(G196=예상등급!$M$15,LOOKUP(H196,예상등급!$M$19:$M$27,예상등급!$N$19:$N$27),"")))</f>
        <v>9</v>
      </c>
      <c r="J196" s="110">
        <v>64</v>
      </c>
      <c r="K196" s="382">
        <f>IF(J196="","",(LOOKUP(J196,예상등급!$D$5:$D$13,예상등급!$E$5:$E$13)))</f>
        <v>4</v>
      </c>
      <c r="L196" s="301">
        <f>SUM(E196,H196,J196)</f>
        <v>103</v>
      </c>
      <c r="M196" s="398">
        <f>RANK(L196,$L$4:$L$491)</f>
        <v>188</v>
      </c>
      <c r="N196" s="110" t="s">
        <v>760</v>
      </c>
      <c r="O196" s="71">
        <v>23</v>
      </c>
      <c r="P196" s="385">
        <f>IF(N196=예상등급!$G$1,LOOKUP(O196,예상등급!$G$5:$G$13,예상등급!$H$5:$H$13),IF(N196=예상등급!$J$1,LOOKUP(O196,예상등급!$J$5:$J$13,예상등급!$K$5:$K$13),IF(N196=예상등급!$M$1,LOOKUP(O196,예상등급!$M$5:$M$13,예상등급!$N$5:$N$13),IF(N196=예상등급!$P$1,LOOKUP(O196,예상등급!$P$5:$P$13,예상등급!$Q$5:$Q$13),IF(N196=예상등급!$S$1,LOOKUP(O196,예상등급!$S$5:$S$13,예상등급!$T$5:$T$13),IF(N196=예상등급!$V$1,LOOKUP(O196,예상등급!$V$5:$V$13,예상등급!$W$5:$W$13),IF(N196=예상등급!$Y$1,LOOKUP(O196,예상등급!$Y$5:$Y$13,예상등급!$Z$5:$Z$13),IF(N196=예상등급!$AB$1,LOOKUP(O196,예상등급!$AB$5:$AB$13,예상등급!$AC$5:$AC$13),IF(N196=예상등급!$AE$1,LOOKUP(O196,예상등급!$AE$5:$AE$13,예상등급!$AF$5:$AF$13),IF(N196=예상등급!$AH$1,LOOKUP(O196,예상등급!$AH$5:$AH$13,예상등급!$AI$5:$AI$13),IF(N196=예상등급!$AK$1,LOOKUP(O196,예상등급!$AK$5:$AK$13,예상등급!$AL$5:$AL$13),IF(N196=예상등급!$AN$1,LOOKUP(O196,예상등급!$AN$5:$AN$13,예상등급!$AO$5:$AO$13),IF(N196=예상등급!$AQ$1,LOOKUP(O196,예상등급!$AQ$5:$AQ$13,예상등급!$AR$5:$AR$13),IF(N196=예상등급!$AH$15,LOOKUP(O196,예상등급!$AH$19:$AH$27,예상등급!$AI$19:$AI$27),IF(N196=예상등급!$AK$15,LOOKUP(O196,예상등급!$AK$19:$AK$27,예상등급!$AL$19:$AL$27),IF(N196=예상등급!$AN$15,LOOKUP(O196,예상등급!$AN$19:$AN$27,예상등급!$AO$19:$AO$27),IF(N196=예상등급!$AQ$15,LOOKUP(O196,예상등급!$AQ$19:$AQ$27,예상등급!$AR$19:$AR$27),"")))))))))))))))))</f>
        <v>3</v>
      </c>
      <c r="Q196" s="110" t="s">
        <v>762</v>
      </c>
      <c r="R196" s="71">
        <v>14</v>
      </c>
      <c r="S196" s="385">
        <f>IF(Q196=예상등급!$G$1,LOOKUP(R196,예상등급!$G$5:$G$13,예상등급!$H$5:$H$13),IF(Q196=예상등급!$J$1,LOOKUP(R196,예상등급!$J$5:$J$13,예상등급!$K$5:$K$13),IF(Q196=예상등급!$M$1,LOOKUP(R196,예상등급!$M$5:$M$13,예상등급!$N$5:$N$13),IF(Q196=예상등급!$P$1,LOOKUP(R196,예상등급!$P$5:$P$13,예상등급!$Q$5:$Q$13),IF(Q196=예상등급!$S$1,LOOKUP(R196,예상등급!$S$5:$S$13,예상등급!$T$5:$T$13),IF(Q196=예상등급!$V$1,LOOKUP(R196,예상등급!$V$5:$V$13,예상등급!$W$5:$W$13),IF(Q196=예상등급!$Y$1,LOOKUP(R196,예상등급!$Y$5:$Y$13,예상등급!$Z$5:$Z$13),IF(Q196=예상등급!$AB$1,LOOKUP(R196,예상등급!$AB$5:$AB$13,예상등급!$AC$5:$AC$13),IF(Q196=예상등급!$AE$1,LOOKUP(R196,예상등급!$AE$5:$AE$13,예상등급!$AF$5:$AF$13),IF(Q196=예상등급!$AH$1,LOOKUP(R196,예상등급!$AH$5:$AH$13,예상등급!$AI$5:$AI$13),IF(Q196=예상등급!$AK$1,LOOKUP(R196,예상등급!$AK$5:$AK$13,예상등급!$AL$5:$AL$13),IF(Q196=예상등급!$AN$1,LOOKUP(R196,예상등급!$AN$5:$AN$13,예상등급!$AO$5:$AO$13),IF(Q196=예상등급!$AQ$1,LOOKUP(R196,예상등급!$AQ$5:$AQ$13,예상등급!$AR$5:$AR$13),IF(Q196=예상등급!$AH$15,LOOKUP(R196,예상등급!$AH$19:$AH$27,예상등급!$AI$19:$AI$27),IF(Q196=예상등급!$AK$15,LOOKUP(R196,예상등급!$AK$19:$AK$27,예상등급!$AL$19:$AL$27),IF(Q196=예상등급!$AN$15,LOOKUP(R196,예상등급!$AN$19:$AN$27,예상등급!$AO$19:$AO$27),IF(Q196=예상등급!$AQ$15,LOOKUP(R196,예상등급!$AQ$19:$AQ$27,예상등급!$AR$19:$AR$27),"")))))))))))))))))</f>
        <v>6</v>
      </c>
      <c r="T196" s="110">
        <v>12</v>
      </c>
      <c r="U196" s="382">
        <f>IF(T196="","",LOOKUP(T196,예상등급!$D$19:$D$27,예상등급!$E$19:$E$27))</f>
        <v>7</v>
      </c>
      <c r="V196" s="402">
        <f>SUM(L196,T196,R196,O196)</f>
        <v>152</v>
      </c>
      <c r="W196" s="278">
        <f>RANK(V196,$V$4:$V$491)</f>
        <v>192</v>
      </c>
    </row>
    <row r="197" spans="1:26" ht="24.95" customHeight="1" x14ac:dyDescent="0.15">
      <c r="A197" s="110">
        <v>9</v>
      </c>
      <c r="B197" s="71">
        <v>10</v>
      </c>
      <c r="C197" s="100" t="s">
        <v>968</v>
      </c>
      <c r="D197" s="110" t="s">
        <v>779</v>
      </c>
      <c r="E197" s="71">
        <v>37</v>
      </c>
      <c r="F197" s="382">
        <f>IF(D197=예상등급!$A$1,LOOKUP(E197,예상등급!$A$5:$A$13,예상등급!$B$5:$B$13),IF(D197=예상등급!$A$15,LOOKUP(E197,예상등급!$A$19:$A$27,예상등급!$B$19:$B$27),""))</f>
        <v>6</v>
      </c>
      <c r="G197" s="110" t="s">
        <v>780</v>
      </c>
      <c r="H197" s="71">
        <v>15</v>
      </c>
      <c r="I197" s="382">
        <f>IF(G197=예상등급!$G$15,LOOKUP(H197,예상등급!$G$19:$G$27,예상등급!$H$19:$H$27),IF(G197=예상등급!$J$15,LOOKUP(H197,예상등급!$J$19:$J$27,예상등급!$K$19:$K$27),IF(G197=예상등급!$M$15,LOOKUP(H197,예상등급!$M$19:$M$27,예상등급!$N$19:$N$27),"")))</f>
        <v>8</v>
      </c>
      <c r="J197" s="110">
        <v>42</v>
      </c>
      <c r="K197" s="382">
        <f>IF(J197="","",(LOOKUP(J197,예상등급!$D$5:$D$13,예상등급!$E$5:$E$13)))</f>
        <v>6</v>
      </c>
      <c r="L197" s="301">
        <f>SUM(E197,H197,J197)</f>
        <v>94</v>
      </c>
      <c r="M197" s="398">
        <f>RANK(L197,$L$4:$L$491)</f>
        <v>202</v>
      </c>
      <c r="N197" s="110" t="s">
        <v>761</v>
      </c>
      <c r="O197" s="71">
        <v>15</v>
      </c>
      <c r="P197" s="385">
        <f>IF(N197=예상등급!$G$1,LOOKUP(O197,예상등급!$G$5:$G$13,예상등급!$H$5:$H$13),IF(N197=예상등급!$J$1,LOOKUP(O197,예상등급!$J$5:$J$13,예상등급!$K$5:$K$13),IF(N197=예상등급!$M$1,LOOKUP(O197,예상등급!$M$5:$M$13,예상등급!$N$5:$N$13),IF(N197=예상등급!$P$1,LOOKUP(O197,예상등급!$P$5:$P$13,예상등급!$Q$5:$Q$13),IF(N197=예상등급!$S$1,LOOKUP(O197,예상등급!$S$5:$S$13,예상등급!$T$5:$T$13),IF(N197=예상등급!$V$1,LOOKUP(O197,예상등급!$V$5:$V$13,예상등급!$W$5:$W$13),IF(N197=예상등급!$Y$1,LOOKUP(O197,예상등급!$Y$5:$Y$13,예상등급!$Z$5:$Z$13),IF(N197=예상등급!$AB$1,LOOKUP(O197,예상등급!$AB$5:$AB$13,예상등급!$AC$5:$AC$13),IF(N197=예상등급!$AE$1,LOOKUP(O197,예상등급!$AE$5:$AE$13,예상등급!$AF$5:$AF$13),IF(N197=예상등급!$AH$1,LOOKUP(O197,예상등급!$AH$5:$AH$13,예상등급!$AI$5:$AI$13),IF(N197=예상등급!$AK$1,LOOKUP(O197,예상등급!$AK$5:$AK$13,예상등급!$AL$5:$AL$13),IF(N197=예상등급!$AN$1,LOOKUP(O197,예상등급!$AN$5:$AN$13,예상등급!$AO$5:$AO$13),IF(N197=예상등급!$AQ$1,LOOKUP(O197,예상등급!$AQ$5:$AQ$13,예상등급!$AR$5:$AR$13),IF(N197=예상등급!$AH$15,LOOKUP(O197,예상등급!$AH$19:$AH$27,예상등급!$AI$19:$AI$27),IF(N197=예상등급!$AK$15,LOOKUP(O197,예상등급!$AK$19:$AK$27,예상등급!$AL$19:$AL$27),IF(N197=예상등급!$AN$15,LOOKUP(O197,예상등급!$AN$19:$AN$27,예상등급!$AO$19:$AO$27),IF(N197=예상등급!$AQ$15,LOOKUP(O197,예상등급!$AQ$19:$AQ$27,예상등급!$AR$19:$AR$27),"")))))))))))))))))</f>
        <v>6</v>
      </c>
      <c r="Q197" s="110" t="s">
        <v>772</v>
      </c>
      <c r="R197" s="71">
        <v>14</v>
      </c>
      <c r="S197" s="385">
        <f>IF(Q197=예상등급!$G$1,LOOKUP(R197,예상등급!$G$5:$G$13,예상등급!$H$5:$H$13),IF(Q197=예상등급!$J$1,LOOKUP(R197,예상등급!$J$5:$J$13,예상등급!$K$5:$K$13),IF(Q197=예상등급!$M$1,LOOKUP(R197,예상등급!$M$5:$M$13,예상등급!$N$5:$N$13),IF(Q197=예상등급!$P$1,LOOKUP(R197,예상등급!$P$5:$P$13,예상등급!$Q$5:$Q$13),IF(Q197=예상등급!$S$1,LOOKUP(R197,예상등급!$S$5:$S$13,예상등급!$T$5:$T$13),IF(Q197=예상등급!$V$1,LOOKUP(R197,예상등급!$V$5:$V$13,예상등급!$W$5:$W$13),IF(Q197=예상등급!$Y$1,LOOKUP(R197,예상등급!$Y$5:$Y$13,예상등급!$Z$5:$Z$13),IF(Q197=예상등급!$AB$1,LOOKUP(R197,예상등급!$AB$5:$AB$13,예상등급!$AC$5:$AC$13),IF(Q197=예상등급!$AE$1,LOOKUP(R197,예상등급!$AE$5:$AE$13,예상등급!$AF$5:$AF$13),IF(Q197=예상등급!$AH$1,LOOKUP(R197,예상등급!$AH$5:$AH$13,예상등급!$AI$5:$AI$13),IF(Q197=예상등급!$AK$1,LOOKUP(R197,예상등급!$AK$5:$AK$13,예상등급!$AL$5:$AL$13),IF(Q197=예상등급!$AN$1,LOOKUP(R197,예상등급!$AN$5:$AN$13,예상등급!$AO$5:$AO$13),IF(Q197=예상등급!$AQ$1,LOOKUP(R197,예상등급!$AQ$5:$AQ$13,예상등급!$AR$5:$AR$13),IF(Q197=예상등급!$AH$15,LOOKUP(R197,예상등급!$AH$19:$AH$27,예상등급!$AI$19:$AI$27),IF(Q197=예상등급!$AK$15,LOOKUP(R197,예상등급!$AK$19:$AK$27,예상등급!$AL$19:$AL$27),IF(Q197=예상등급!$AN$15,LOOKUP(R197,예상등급!$AN$19:$AN$27,예상등급!$AO$19:$AO$27),IF(Q197=예상등급!$AQ$15,LOOKUP(R197,예상등급!$AQ$19:$AQ$27,예상등급!$AR$19:$AR$27),"")))))))))))))))))</f>
        <v>5</v>
      </c>
      <c r="T197" s="110">
        <v>28</v>
      </c>
      <c r="U197" s="382">
        <f>IF(T197="","",LOOKUP(T197,예상등급!$D$19:$D$27,예상등급!$E$19:$E$27))</f>
        <v>4</v>
      </c>
      <c r="V197" s="402">
        <f>SUM(L197,T197,R197,O197)</f>
        <v>151</v>
      </c>
      <c r="W197" s="278">
        <f>RANK(V197,$V$4:$V$491)</f>
        <v>194</v>
      </c>
    </row>
    <row r="198" spans="1:26" ht="24.95" customHeight="1" x14ac:dyDescent="0.15">
      <c r="A198" s="110">
        <v>1</v>
      </c>
      <c r="B198" s="71">
        <v>18</v>
      </c>
      <c r="C198" s="100" t="s">
        <v>814</v>
      </c>
      <c r="D198" s="110" t="s">
        <v>779</v>
      </c>
      <c r="E198" s="71">
        <v>38</v>
      </c>
      <c r="F198" s="382">
        <f>IF(D198=예상등급!$A$1,LOOKUP(E198,예상등급!$A$5:$A$13,예상등급!$B$5:$B$13),IF(D198=예상등급!$A$15,LOOKUP(E198,예상등급!$A$19:$A$27,예상등급!$B$19:$B$27),""))</f>
        <v>6</v>
      </c>
      <c r="G198" s="110" t="s">
        <v>780</v>
      </c>
      <c r="H198" s="71">
        <v>14</v>
      </c>
      <c r="I198" s="382">
        <f>IF(G198=예상등급!$G$15,LOOKUP(H198,예상등급!$G$19:$G$27,예상등급!$H$19:$H$27),IF(G198=예상등급!$J$15,LOOKUP(H198,예상등급!$J$19:$J$27,예상등급!$K$19:$K$27),IF(G198=예상등급!$M$15,LOOKUP(H198,예상등급!$M$19:$M$27,예상등급!$N$19:$N$27),"")))</f>
        <v>9</v>
      </c>
      <c r="J198" s="110">
        <v>42</v>
      </c>
      <c r="K198" s="382">
        <f>IF(J198="","",(LOOKUP(J198,예상등급!$D$5:$D$13,예상등급!$E$5:$E$13)))</f>
        <v>6</v>
      </c>
      <c r="L198" s="301">
        <f>SUM(E198,H198,J198)</f>
        <v>94</v>
      </c>
      <c r="M198" s="398">
        <f>RANK(L198,$L$4:$L$491)</f>
        <v>202</v>
      </c>
      <c r="N198" s="110" t="s">
        <v>761</v>
      </c>
      <c r="O198" s="71">
        <v>15</v>
      </c>
      <c r="P198" s="385">
        <f>IF(N198=예상등급!$G$1,LOOKUP(O198,예상등급!$G$5:$G$13,예상등급!$H$5:$H$13),IF(N198=예상등급!$J$1,LOOKUP(O198,예상등급!$J$5:$J$13,예상등급!$K$5:$K$13),IF(N198=예상등급!$M$1,LOOKUP(O198,예상등급!$M$5:$M$13,예상등급!$N$5:$N$13),IF(N198=예상등급!$P$1,LOOKUP(O198,예상등급!$P$5:$P$13,예상등급!$Q$5:$Q$13),IF(N198=예상등급!$S$1,LOOKUP(O198,예상등급!$S$5:$S$13,예상등급!$T$5:$T$13),IF(N198=예상등급!$V$1,LOOKUP(O198,예상등급!$V$5:$V$13,예상등급!$W$5:$W$13),IF(N198=예상등급!$Y$1,LOOKUP(O198,예상등급!$Y$5:$Y$13,예상등급!$Z$5:$Z$13),IF(N198=예상등급!$AB$1,LOOKUP(O198,예상등급!$AB$5:$AB$13,예상등급!$AC$5:$AC$13),IF(N198=예상등급!$AE$1,LOOKUP(O198,예상등급!$AE$5:$AE$13,예상등급!$AF$5:$AF$13),IF(N198=예상등급!$AH$1,LOOKUP(O198,예상등급!$AH$5:$AH$13,예상등급!$AI$5:$AI$13),IF(N198=예상등급!$AK$1,LOOKUP(O198,예상등급!$AK$5:$AK$13,예상등급!$AL$5:$AL$13),IF(N198=예상등급!$AN$1,LOOKUP(O198,예상등급!$AN$5:$AN$13,예상등급!$AO$5:$AO$13),IF(N198=예상등급!$AQ$1,LOOKUP(O198,예상등급!$AQ$5:$AQ$13,예상등급!$AR$5:$AR$13),IF(N198=예상등급!$AH$15,LOOKUP(O198,예상등급!$AH$19:$AH$27,예상등급!$AI$19:$AI$27),IF(N198=예상등급!$AK$15,LOOKUP(O198,예상등급!$AK$19:$AK$27,예상등급!$AL$19:$AL$27),IF(N198=예상등급!$AN$15,LOOKUP(O198,예상등급!$AN$19:$AN$27,예상등급!$AO$19:$AO$27),IF(N198=예상등급!$AQ$15,LOOKUP(O198,예상등급!$AQ$19:$AQ$27,예상등급!$AR$19:$AR$27),"")))))))))))))))))</f>
        <v>6</v>
      </c>
      <c r="Q198" s="110" t="s">
        <v>762</v>
      </c>
      <c r="R198" s="71">
        <v>18</v>
      </c>
      <c r="S198" s="385">
        <f>IF(Q198=예상등급!$G$1,LOOKUP(R198,예상등급!$G$5:$G$13,예상등급!$H$5:$H$13),IF(Q198=예상등급!$J$1,LOOKUP(R198,예상등급!$J$5:$J$13,예상등급!$K$5:$K$13),IF(Q198=예상등급!$M$1,LOOKUP(R198,예상등급!$M$5:$M$13,예상등급!$N$5:$N$13),IF(Q198=예상등급!$P$1,LOOKUP(R198,예상등급!$P$5:$P$13,예상등급!$Q$5:$Q$13),IF(Q198=예상등급!$S$1,LOOKUP(R198,예상등급!$S$5:$S$13,예상등급!$T$5:$T$13),IF(Q198=예상등급!$V$1,LOOKUP(R198,예상등급!$V$5:$V$13,예상등급!$W$5:$W$13),IF(Q198=예상등급!$Y$1,LOOKUP(R198,예상등급!$Y$5:$Y$13,예상등급!$Z$5:$Z$13),IF(Q198=예상등급!$AB$1,LOOKUP(R198,예상등급!$AB$5:$AB$13,예상등급!$AC$5:$AC$13),IF(Q198=예상등급!$AE$1,LOOKUP(R198,예상등급!$AE$5:$AE$13,예상등급!$AF$5:$AF$13),IF(Q198=예상등급!$AH$1,LOOKUP(R198,예상등급!$AH$5:$AH$13,예상등급!$AI$5:$AI$13),IF(Q198=예상등급!$AK$1,LOOKUP(R198,예상등급!$AK$5:$AK$13,예상등급!$AL$5:$AL$13),IF(Q198=예상등급!$AN$1,LOOKUP(R198,예상등급!$AN$5:$AN$13,예상등급!$AO$5:$AO$13),IF(Q198=예상등급!$AQ$1,LOOKUP(R198,예상등급!$AQ$5:$AQ$13,예상등급!$AR$5:$AR$13),IF(Q198=예상등급!$AH$15,LOOKUP(R198,예상등급!$AH$19:$AH$27,예상등급!$AI$19:$AI$27),IF(Q198=예상등급!$AK$15,LOOKUP(R198,예상등급!$AK$19:$AK$27,예상등급!$AL$19:$AL$27),IF(Q198=예상등급!$AN$15,LOOKUP(R198,예상등급!$AN$19:$AN$27,예상등급!$AO$19:$AO$27),IF(Q198=예상등급!$AQ$15,LOOKUP(R198,예상등급!$AQ$19:$AQ$27,예상등급!$AR$19:$AR$27),"")))))))))))))))))</f>
        <v>6</v>
      </c>
      <c r="T198" s="110">
        <v>23</v>
      </c>
      <c r="U198" s="382">
        <f>IF(T198="","",LOOKUP(T198,예상등급!$D$19:$D$27,예상등급!$E$19:$E$27))</f>
        <v>5</v>
      </c>
      <c r="V198" s="402">
        <f>SUM(L198,T198,R198,O198)</f>
        <v>150</v>
      </c>
      <c r="W198" s="278">
        <f>RANK(V198,$V$4:$V$491)</f>
        <v>195</v>
      </c>
    </row>
    <row r="199" spans="1:26" ht="24.95" customHeight="1" x14ac:dyDescent="0.15">
      <c r="A199" s="110">
        <v>3</v>
      </c>
      <c r="B199" s="71">
        <v>10</v>
      </c>
      <c r="C199" s="100" t="s">
        <v>806</v>
      </c>
      <c r="D199" s="110" t="s">
        <v>779</v>
      </c>
      <c r="E199" s="71">
        <v>27</v>
      </c>
      <c r="F199" s="382">
        <f>IF(D199=예상등급!$A$1,LOOKUP(E199,예상등급!$A$5:$A$13,예상등급!$B$5:$B$13),IF(D199=예상등급!$A$15,LOOKUP(E199,예상등급!$A$19:$A$27,예상등급!$B$19:$B$27),""))</f>
        <v>7</v>
      </c>
      <c r="G199" s="110" t="s">
        <v>781</v>
      </c>
      <c r="H199" s="71">
        <v>38</v>
      </c>
      <c r="I199" s="382">
        <f>IF(G199=예상등급!$G$15,LOOKUP(H199,예상등급!$G$19:$G$27,예상등급!$H$19:$H$27),IF(G199=예상등급!$J$15,LOOKUP(H199,예상등급!$J$19:$J$27,예상등급!$K$19:$K$27),IF(G199=예상등급!$M$15,LOOKUP(H199,예상등급!$M$19:$M$27,예상등급!$N$19:$N$27),"")))</f>
        <v>5</v>
      </c>
      <c r="J199" s="110">
        <v>49</v>
      </c>
      <c r="K199" s="382">
        <f>IF(J199="","",(LOOKUP(J199,예상등급!$D$5:$D$13,예상등급!$E$5:$E$13)))</f>
        <v>6</v>
      </c>
      <c r="L199" s="301">
        <f>SUM(E199,H199,J199)</f>
        <v>114</v>
      </c>
      <c r="M199" s="398">
        <f>RANK(L199,$L$4:$L$491)</f>
        <v>176</v>
      </c>
      <c r="N199" s="110" t="s">
        <v>770</v>
      </c>
      <c r="O199" s="71">
        <v>13</v>
      </c>
      <c r="P199" s="385">
        <f>IF(N199=예상등급!$G$1,LOOKUP(O199,예상등급!$G$5:$G$13,예상등급!$H$5:$H$13),IF(N199=예상등급!$J$1,LOOKUP(O199,예상등급!$J$5:$J$13,예상등급!$K$5:$K$13),IF(N199=예상등급!$M$1,LOOKUP(O199,예상등급!$M$5:$M$13,예상등급!$N$5:$N$13),IF(N199=예상등급!$P$1,LOOKUP(O199,예상등급!$P$5:$P$13,예상등급!$Q$5:$Q$13),IF(N199=예상등급!$S$1,LOOKUP(O199,예상등급!$S$5:$S$13,예상등급!$T$5:$T$13),IF(N199=예상등급!$V$1,LOOKUP(O199,예상등급!$V$5:$V$13,예상등급!$W$5:$W$13),IF(N199=예상등급!$Y$1,LOOKUP(O199,예상등급!$Y$5:$Y$13,예상등급!$Z$5:$Z$13),IF(N199=예상등급!$AB$1,LOOKUP(O199,예상등급!$AB$5:$AB$13,예상등급!$AC$5:$AC$13),IF(N199=예상등급!$AE$1,LOOKUP(O199,예상등급!$AE$5:$AE$13,예상등급!$AF$5:$AF$13),IF(N199=예상등급!$AH$1,LOOKUP(O199,예상등급!$AH$5:$AH$13,예상등급!$AI$5:$AI$13),IF(N199=예상등급!$AK$1,LOOKUP(O199,예상등급!$AK$5:$AK$13,예상등급!$AL$5:$AL$13),IF(N199=예상등급!$AN$1,LOOKUP(O199,예상등급!$AN$5:$AN$13,예상등급!$AO$5:$AO$13),IF(N199=예상등급!$AQ$1,LOOKUP(O199,예상등급!$AQ$5:$AQ$13,예상등급!$AR$5:$AR$13),IF(N199=예상등급!$AH$15,LOOKUP(O199,예상등급!$AH$19:$AH$27,예상등급!$AI$19:$AI$27),IF(N199=예상등급!$AK$15,LOOKUP(O199,예상등급!$AK$19:$AK$27,예상등급!$AL$19:$AL$27),IF(N199=예상등급!$AN$15,LOOKUP(O199,예상등급!$AN$19:$AN$27,예상등급!$AO$19:$AO$27),IF(N199=예상등급!$AQ$15,LOOKUP(O199,예상등급!$AQ$19:$AQ$27,예상등급!$AR$19:$AR$27),"")))))))))))))))))</f>
        <v>7</v>
      </c>
      <c r="Q199" s="110" t="s">
        <v>765</v>
      </c>
      <c r="R199" s="71">
        <v>10</v>
      </c>
      <c r="S199" s="385">
        <f>IF(Q199=예상등급!$G$1,LOOKUP(R199,예상등급!$G$5:$G$13,예상등급!$H$5:$H$13),IF(Q199=예상등급!$J$1,LOOKUP(R199,예상등급!$J$5:$J$13,예상등급!$K$5:$K$13),IF(Q199=예상등급!$M$1,LOOKUP(R199,예상등급!$M$5:$M$13,예상등급!$N$5:$N$13),IF(Q199=예상등급!$P$1,LOOKUP(R199,예상등급!$P$5:$P$13,예상등급!$Q$5:$Q$13),IF(Q199=예상등급!$S$1,LOOKUP(R199,예상등급!$S$5:$S$13,예상등급!$T$5:$T$13),IF(Q199=예상등급!$V$1,LOOKUP(R199,예상등급!$V$5:$V$13,예상등급!$W$5:$W$13),IF(Q199=예상등급!$Y$1,LOOKUP(R199,예상등급!$Y$5:$Y$13,예상등급!$Z$5:$Z$13),IF(Q199=예상등급!$AB$1,LOOKUP(R199,예상등급!$AB$5:$AB$13,예상등급!$AC$5:$AC$13),IF(Q199=예상등급!$AE$1,LOOKUP(R199,예상등급!$AE$5:$AE$13,예상등급!$AF$5:$AF$13),IF(Q199=예상등급!$AH$1,LOOKUP(R199,예상등급!$AH$5:$AH$13,예상등급!$AI$5:$AI$13),IF(Q199=예상등급!$AK$1,LOOKUP(R199,예상등급!$AK$5:$AK$13,예상등급!$AL$5:$AL$13),IF(Q199=예상등급!$AN$1,LOOKUP(R199,예상등급!$AN$5:$AN$13,예상등급!$AO$5:$AO$13),IF(Q199=예상등급!$AQ$1,LOOKUP(R199,예상등급!$AQ$5:$AQ$13,예상등급!$AR$5:$AR$13),IF(Q199=예상등급!$AH$15,LOOKUP(R199,예상등급!$AH$19:$AH$27,예상등급!$AI$19:$AI$27),IF(Q199=예상등급!$AK$15,LOOKUP(R199,예상등급!$AK$19:$AK$27,예상등급!$AL$19:$AL$27),IF(Q199=예상등급!$AN$15,LOOKUP(R199,예상등급!$AN$19:$AN$27,예상등급!$AO$19:$AO$27),IF(Q199=예상등급!$AQ$15,LOOKUP(R199,예상등급!$AQ$19:$AQ$27,예상등급!$AR$19:$AR$27),"")))))))))))))))))</f>
        <v>7</v>
      </c>
      <c r="T199" s="110">
        <v>13</v>
      </c>
      <c r="U199" s="382">
        <f>IF(T199="","",LOOKUP(T199,예상등급!$D$19:$D$27,예상등급!$E$19:$E$27))</f>
        <v>7</v>
      </c>
      <c r="V199" s="402">
        <f>SUM(L199,T199,R199,O199)</f>
        <v>150</v>
      </c>
      <c r="W199" s="278">
        <f>RANK(V199,$V$4:$V$491)</f>
        <v>195</v>
      </c>
    </row>
    <row r="200" spans="1:26" ht="24.95" customHeight="1" x14ac:dyDescent="0.15">
      <c r="A200" s="110">
        <v>8</v>
      </c>
      <c r="B200" s="71">
        <v>7</v>
      </c>
      <c r="C200" s="100" t="s">
        <v>943</v>
      </c>
      <c r="D200" s="110" t="s">
        <v>779</v>
      </c>
      <c r="E200" s="71">
        <v>45</v>
      </c>
      <c r="F200" s="382">
        <f>IF(D200=예상등급!$A$1,LOOKUP(E200,예상등급!$A$5:$A$13,예상등급!$B$5:$B$13),IF(D200=예상등급!$A$15,LOOKUP(E200,예상등급!$A$19:$A$27,예상등급!$B$19:$B$27),""))</f>
        <v>5</v>
      </c>
      <c r="G200" s="110" t="s">
        <v>780</v>
      </c>
      <c r="H200" s="71">
        <v>12</v>
      </c>
      <c r="I200" s="382">
        <f>IF(G200=예상등급!$G$15,LOOKUP(H200,예상등급!$G$19:$G$27,예상등급!$H$19:$H$27),IF(G200=예상등급!$J$15,LOOKUP(H200,예상등급!$J$19:$J$27,예상등급!$K$19:$K$27),IF(G200=예상등급!$M$15,LOOKUP(H200,예상등급!$M$19:$M$27,예상등급!$N$19:$N$27),"")))</f>
        <v>9</v>
      </c>
      <c r="J200" s="110">
        <v>54</v>
      </c>
      <c r="K200" s="382">
        <f>IF(J200="","",(LOOKUP(J200,예상등급!$D$5:$D$13,예상등급!$E$5:$E$13)))</f>
        <v>5</v>
      </c>
      <c r="L200" s="301">
        <f>SUM(E200,H200,J200)</f>
        <v>111</v>
      </c>
      <c r="M200" s="398">
        <f>RANK(L200,$L$4:$L$491)</f>
        <v>179</v>
      </c>
      <c r="N200" s="110" t="s">
        <v>761</v>
      </c>
      <c r="O200" s="71">
        <v>17</v>
      </c>
      <c r="P200" s="385">
        <f>IF(N200=예상등급!$G$1,LOOKUP(O200,예상등급!$G$5:$G$13,예상등급!$H$5:$H$13),IF(N200=예상등급!$J$1,LOOKUP(O200,예상등급!$J$5:$J$13,예상등급!$K$5:$K$13),IF(N200=예상등급!$M$1,LOOKUP(O200,예상등급!$M$5:$M$13,예상등급!$N$5:$N$13),IF(N200=예상등급!$P$1,LOOKUP(O200,예상등급!$P$5:$P$13,예상등급!$Q$5:$Q$13),IF(N200=예상등급!$S$1,LOOKUP(O200,예상등급!$S$5:$S$13,예상등급!$T$5:$T$13),IF(N200=예상등급!$V$1,LOOKUP(O200,예상등급!$V$5:$V$13,예상등급!$W$5:$W$13),IF(N200=예상등급!$Y$1,LOOKUP(O200,예상등급!$Y$5:$Y$13,예상등급!$Z$5:$Z$13),IF(N200=예상등급!$AB$1,LOOKUP(O200,예상등급!$AB$5:$AB$13,예상등급!$AC$5:$AC$13),IF(N200=예상등급!$AE$1,LOOKUP(O200,예상등급!$AE$5:$AE$13,예상등급!$AF$5:$AF$13),IF(N200=예상등급!$AH$1,LOOKUP(O200,예상등급!$AH$5:$AH$13,예상등급!$AI$5:$AI$13),IF(N200=예상등급!$AK$1,LOOKUP(O200,예상등급!$AK$5:$AK$13,예상등급!$AL$5:$AL$13),IF(N200=예상등급!$AN$1,LOOKUP(O200,예상등급!$AN$5:$AN$13,예상등급!$AO$5:$AO$13),IF(N200=예상등급!$AQ$1,LOOKUP(O200,예상등급!$AQ$5:$AQ$13,예상등급!$AR$5:$AR$13),IF(N200=예상등급!$AH$15,LOOKUP(O200,예상등급!$AH$19:$AH$27,예상등급!$AI$19:$AI$27),IF(N200=예상등급!$AK$15,LOOKUP(O200,예상등급!$AK$19:$AK$27,예상등급!$AL$19:$AL$27),IF(N200=예상등급!$AN$15,LOOKUP(O200,예상등급!$AN$19:$AN$27,예상등급!$AO$19:$AO$27),IF(N200=예상등급!$AQ$15,LOOKUP(O200,예상등급!$AQ$19:$AQ$27,예상등급!$AR$19:$AR$27),"")))))))))))))))))</f>
        <v>6</v>
      </c>
      <c r="Q200" s="110" t="s">
        <v>762</v>
      </c>
      <c r="R200" s="71">
        <v>13</v>
      </c>
      <c r="S200" s="385">
        <f>IF(Q200=예상등급!$G$1,LOOKUP(R200,예상등급!$G$5:$G$13,예상등급!$H$5:$H$13),IF(Q200=예상등급!$J$1,LOOKUP(R200,예상등급!$J$5:$J$13,예상등급!$K$5:$K$13),IF(Q200=예상등급!$M$1,LOOKUP(R200,예상등급!$M$5:$M$13,예상등급!$N$5:$N$13),IF(Q200=예상등급!$P$1,LOOKUP(R200,예상등급!$P$5:$P$13,예상등급!$Q$5:$Q$13),IF(Q200=예상등급!$S$1,LOOKUP(R200,예상등급!$S$5:$S$13,예상등급!$T$5:$T$13),IF(Q200=예상등급!$V$1,LOOKUP(R200,예상등급!$V$5:$V$13,예상등급!$W$5:$W$13),IF(Q200=예상등급!$Y$1,LOOKUP(R200,예상등급!$Y$5:$Y$13,예상등급!$Z$5:$Z$13),IF(Q200=예상등급!$AB$1,LOOKUP(R200,예상등급!$AB$5:$AB$13,예상등급!$AC$5:$AC$13),IF(Q200=예상등급!$AE$1,LOOKUP(R200,예상등급!$AE$5:$AE$13,예상등급!$AF$5:$AF$13),IF(Q200=예상등급!$AH$1,LOOKUP(R200,예상등급!$AH$5:$AH$13,예상등급!$AI$5:$AI$13),IF(Q200=예상등급!$AK$1,LOOKUP(R200,예상등급!$AK$5:$AK$13,예상등급!$AL$5:$AL$13),IF(Q200=예상등급!$AN$1,LOOKUP(R200,예상등급!$AN$5:$AN$13,예상등급!$AO$5:$AO$13),IF(Q200=예상등급!$AQ$1,LOOKUP(R200,예상등급!$AQ$5:$AQ$13,예상등급!$AR$5:$AR$13),IF(Q200=예상등급!$AH$15,LOOKUP(R200,예상등급!$AH$19:$AH$27,예상등급!$AI$19:$AI$27),IF(Q200=예상등급!$AK$15,LOOKUP(R200,예상등급!$AK$19:$AK$27,예상등급!$AL$19:$AL$27),IF(Q200=예상등급!$AN$15,LOOKUP(R200,예상등급!$AN$19:$AN$27,예상등급!$AO$19:$AO$27),IF(Q200=예상등급!$AQ$15,LOOKUP(R200,예상등급!$AQ$19:$AQ$27,예상등급!$AR$19:$AR$27),"")))))))))))))))))</f>
        <v>6</v>
      </c>
      <c r="T200" s="110">
        <v>9</v>
      </c>
      <c r="U200" s="382">
        <f>IF(T200="","",LOOKUP(T200,예상등급!$D$19:$D$27,예상등급!$E$19:$E$27))</f>
        <v>8</v>
      </c>
      <c r="V200" s="402">
        <f>SUM(L200,T200,R200,O200)</f>
        <v>150</v>
      </c>
      <c r="W200" s="278">
        <f>RANK(V200,$V$4:$V$491)</f>
        <v>195</v>
      </c>
    </row>
    <row r="201" spans="1:26" ht="24.95" customHeight="1" x14ac:dyDescent="0.15">
      <c r="A201" s="110">
        <v>8</v>
      </c>
      <c r="B201" s="71">
        <v>10</v>
      </c>
      <c r="C201" s="100" t="s">
        <v>946</v>
      </c>
      <c r="D201" s="110" t="s">
        <v>779</v>
      </c>
      <c r="E201" s="71">
        <v>46</v>
      </c>
      <c r="F201" s="382">
        <f>IF(D201=예상등급!$A$1,LOOKUP(E201,예상등급!$A$5:$A$13,예상등급!$B$5:$B$13),IF(D201=예상등급!$A$15,LOOKUP(E201,예상등급!$A$19:$A$27,예상등급!$B$19:$B$27),""))</f>
        <v>5</v>
      </c>
      <c r="G201" s="110" t="s">
        <v>780</v>
      </c>
      <c r="H201" s="71">
        <v>9</v>
      </c>
      <c r="I201" s="382">
        <f>IF(G201=예상등급!$G$15,LOOKUP(H201,예상등급!$G$19:$G$27,예상등급!$H$19:$H$27),IF(G201=예상등급!$J$15,LOOKUP(H201,예상등급!$J$19:$J$27,예상등급!$K$19:$K$27),IF(G201=예상등급!$M$15,LOOKUP(H201,예상등급!$M$19:$M$27,예상등급!$N$19:$N$27),"")))</f>
        <v>9</v>
      </c>
      <c r="J201" s="110">
        <v>40</v>
      </c>
      <c r="K201" s="382">
        <f>IF(J201="","",(LOOKUP(J201,예상등급!$D$5:$D$13,예상등급!$E$5:$E$13)))</f>
        <v>6</v>
      </c>
      <c r="L201" s="301">
        <f>SUM(E201,H201,J201)</f>
        <v>95</v>
      </c>
      <c r="M201" s="398">
        <f>RANK(L201,$L$4:$L$491)</f>
        <v>200</v>
      </c>
      <c r="N201" s="110" t="s">
        <v>772</v>
      </c>
      <c r="O201" s="71">
        <v>13</v>
      </c>
      <c r="P201" s="385">
        <f>IF(N201=예상등급!$G$1,LOOKUP(O201,예상등급!$G$5:$G$13,예상등급!$H$5:$H$13),IF(N201=예상등급!$J$1,LOOKUP(O201,예상등급!$J$5:$J$13,예상등급!$K$5:$K$13),IF(N201=예상등급!$M$1,LOOKUP(O201,예상등급!$M$5:$M$13,예상등급!$N$5:$N$13),IF(N201=예상등급!$P$1,LOOKUP(O201,예상등급!$P$5:$P$13,예상등급!$Q$5:$Q$13),IF(N201=예상등급!$S$1,LOOKUP(O201,예상등급!$S$5:$S$13,예상등급!$T$5:$T$13),IF(N201=예상등급!$V$1,LOOKUP(O201,예상등급!$V$5:$V$13,예상등급!$W$5:$W$13),IF(N201=예상등급!$Y$1,LOOKUP(O201,예상등급!$Y$5:$Y$13,예상등급!$Z$5:$Z$13),IF(N201=예상등급!$AB$1,LOOKUP(O201,예상등급!$AB$5:$AB$13,예상등급!$AC$5:$AC$13),IF(N201=예상등급!$AE$1,LOOKUP(O201,예상등급!$AE$5:$AE$13,예상등급!$AF$5:$AF$13),IF(N201=예상등급!$AH$1,LOOKUP(O201,예상등급!$AH$5:$AH$13,예상등급!$AI$5:$AI$13),IF(N201=예상등급!$AK$1,LOOKUP(O201,예상등급!$AK$5:$AK$13,예상등급!$AL$5:$AL$13),IF(N201=예상등급!$AN$1,LOOKUP(O201,예상등급!$AN$5:$AN$13,예상등급!$AO$5:$AO$13),IF(N201=예상등급!$AQ$1,LOOKUP(O201,예상등급!$AQ$5:$AQ$13,예상등급!$AR$5:$AR$13),IF(N201=예상등급!$AH$15,LOOKUP(O201,예상등급!$AH$19:$AH$27,예상등급!$AI$19:$AI$27),IF(N201=예상등급!$AK$15,LOOKUP(O201,예상등급!$AK$19:$AK$27,예상등급!$AL$19:$AL$27),IF(N201=예상등급!$AN$15,LOOKUP(O201,예상등급!$AN$19:$AN$27,예상등급!$AO$19:$AO$27),IF(N201=예상등급!$AQ$15,LOOKUP(O201,예상등급!$AQ$19:$AQ$27,예상등급!$AR$19:$AR$27),"")))))))))))))))))</f>
        <v>6</v>
      </c>
      <c r="Q201" s="110" t="s">
        <v>761</v>
      </c>
      <c r="R201" s="71">
        <v>18</v>
      </c>
      <c r="S201" s="385">
        <f>IF(Q201=예상등급!$G$1,LOOKUP(R201,예상등급!$G$5:$G$13,예상등급!$H$5:$H$13),IF(Q201=예상등급!$J$1,LOOKUP(R201,예상등급!$J$5:$J$13,예상등급!$K$5:$K$13),IF(Q201=예상등급!$M$1,LOOKUP(R201,예상등급!$M$5:$M$13,예상등급!$N$5:$N$13),IF(Q201=예상등급!$P$1,LOOKUP(R201,예상등급!$P$5:$P$13,예상등급!$Q$5:$Q$13),IF(Q201=예상등급!$S$1,LOOKUP(R201,예상등급!$S$5:$S$13,예상등급!$T$5:$T$13),IF(Q201=예상등급!$V$1,LOOKUP(R201,예상등급!$V$5:$V$13,예상등급!$W$5:$W$13),IF(Q201=예상등급!$Y$1,LOOKUP(R201,예상등급!$Y$5:$Y$13,예상등급!$Z$5:$Z$13),IF(Q201=예상등급!$AB$1,LOOKUP(R201,예상등급!$AB$5:$AB$13,예상등급!$AC$5:$AC$13),IF(Q201=예상등급!$AE$1,LOOKUP(R201,예상등급!$AE$5:$AE$13,예상등급!$AF$5:$AF$13),IF(Q201=예상등급!$AH$1,LOOKUP(R201,예상등급!$AH$5:$AH$13,예상등급!$AI$5:$AI$13),IF(Q201=예상등급!$AK$1,LOOKUP(R201,예상등급!$AK$5:$AK$13,예상등급!$AL$5:$AL$13),IF(Q201=예상등급!$AN$1,LOOKUP(R201,예상등급!$AN$5:$AN$13,예상등급!$AO$5:$AO$13),IF(Q201=예상등급!$AQ$1,LOOKUP(R201,예상등급!$AQ$5:$AQ$13,예상등급!$AR$5:$AR$13),IF(Q201=예상등급!$AH$15,LOOKUP(R201,예상등급!$AH$19:$AH$27,예상등급!$AI$19:$AI$27),IF(Q201=예상등급!$AK$15,LOOKUP(R201,예상등급!$AK$19:$AK$27,예상등급!$AL$19:$AL$27),IF(Q201=예상등급!$AN$15,LOOKUP(R201,예상등급!$AN$19:$AN$27,예상등급!$AO$19:$AO$27),IF(Q201=예상등급!$AQ$15,LOOKUP(R201,예상등급!$AQ$19:$AQ$27,예상등급!$AR$19:$AR$27),"")))))))))))))))))</f>
        <v>6</v>
      </c>
      <c r="T201" s="110">
        <v>20</v>
      </c>
      <c r="U201" s="382">
        <f>IF(T201="","",LOOKUP(T201,예상등급!$D$19:$D$27,예상등급!$E$19:$E$27))</f>
        <v>5</v>
      </c>
      <c r="V201" s="402">
        <f>SUM(L201,T201,R201,O201)</f>
        <v>146</v>
      </c>
      <c r="W201" s="278">
        <f>RANK(V201,$V$4:$V$491)</f>
        <v>198</v>
      </c>
    </row>
    <row r="202" spans="1:26" ht="24.95" customHeight="1" x14ac:dyDescent="0.15">
      <c r="A202" s="110">
        <v>2</v>
      </c>
      <c r="B202" s="71">
        <v>18</v>
      </c>
      <c r="C202" s="100" t="s">
        <v>835</v>
      </c>
      <c r="D202" s="110" t="s">
        <v>779</v>
      </c>
      <c r="E202" s="71">
        <v>30</v>
      </c>
      <c r="F202" s="382">
        <f>IF(D202=예상등급!$A$1,LOOKUP(E202,예상등급!$A$5:$A$13,예상등급!$B$5:$B$13),IF(D202=예상등급!$A$15,LOOKUP(E202,예상등급!$A$19:$A$27,예상등급!$B$19:$B$27),""))</f>
        <v>6</v>
      </c>
      <c r="G202" s="110" t="s">
        <v>780</v>
      </c>
      <c r="H202" s="71">
        <v>29</v>
      </c>
      <c r="I202" s="382">
        <f>IF(G202=예상등급!$G$15,LOOKUP(H202,예상등급!$G$19:$G$27,예상등급!$H$19:$H$27),IF(G202=예상등급!$J$15,LOOKUP(H202,예상등급!$J$19:$J$27,예상등급!$K$19:$K$27),IF(G202=예상등급!$M$15,LOOKUP(H202,예상등급!$M$19:$M$27,예상등급!$N$19:$N$27),"")))</f>
        <v>6</v>
      </c>
      <c r="J202" s="110">
        <v>34</v>
      </c>
      <c r="K202" s="382">
        <f>IF(J202="","",(LOOKUP(J202,예상등급!$D$5:$D$13,예상등급!$E$5:$E$13)))</f>
        <v>7</v>
      </c>
      <c r="L202" s="301">
        <f>SUM(E202,H202,J202)</f>
        <v>93</v>
      </c>
      <c r="M202" s="398">
        <f>RANK(L202,$L$4:$L$491)</f>
        <v>204</v>
      </c>
      <c r="N202" s="110" t="s">
        <v>763</v>
      </c>
      <c r="O202" s="71">
        <v>13</v>
      </c>
      <c r="P202" s="385">
        <f>IF(N202=예상등급!$G$1,LOOKUP(O202,예상등급!$G$5:$G$13,예상등급!$H$5:$H$13),IF(N202=예상등급!$J$1,LOOKUP(O202,예상등급!$J$5:$J$13,예상등급!$K$5:$K$13),IF(N202=예상등급!$M$1,LOOKUP(O202,예상등급!$M$5:$M$13,예상등급!$N$5:$N$13),IF(N202=예상등급!$P$1,LOOKUP(O202,예상등급!$P$5:$P$13,예상등급!$Q$5:$Q$13),IF(N202=예상등급!$S$1,LOOKUP(O202,예상등급!$S$5:$S$13,예상등급!$T$5:$T$13),IF(N202=예상등급!$V$1,LOOKUP(O202,예상등급!$V$5:$V$13,예상등급!$W$5:$W$13),IF(N202=예상등급!$Y$1,LOOKUP(O202,예상등급!$Y$5:$Y$13,예상등급!$Z$5:$Z$13),IF(N202=예상등급!$AB$1,LOOKUP(O202,예상등급!$AB$5:$AB$13,예상등급!$AC$5:$AC$13),IF(N202=예상등급!$AE$1,LOOKUP(O202,예상등급!$AE$5:$AE$13,예상등급!$AF$5:$AF$13),IF(N202=예상등급!$AH$1,LOOKUP(O202,예상등급!$AH$5:$AH$13,예상등급!$AI$5:$AI$13),IF(N202=예상등급!$AK$1,LOOKUP(O202,예상등급!$AK$5:$AK$13,예상등급!$AL$5:$AL$13),IF(N202=예상등급!$AN$1,LOOKUP(O202,예상등급!$AN$5:$AN$13,예상등급!$AO$5:$AO$13),IF(N202=예상등급!$AQ$1,LOOKUP(O202,예상등급!$AQ$5:$AQ$13,예상등급!$AR$5:$AR$13),IF(N202=예상등급!$AH$15,LOOKUP(O202,예상등급!$AH$19:$AH$27,예상등급!$AI$19:$AI$27),IF(N202=예상등급!$AK$15,LOOKUP(O202,예상등급!$AK$19:$AK$27,예상등급!$AL$19:$AL$27),IF(N202=예상등급!$AN$15,LOOKUP(O202,예상등급!$AN$19:$AN$27,예상등급!$AO$19:$AO$27),IF(N202=예상등급!$AQ$15,LOOKUP(O202,예상등급!$AQ$19:$AQ$27,예상등급!$AR$19:$AR$27),"")))))))))))))))))</f>
        <v>6</v>
      </c>
      <c r="Q202" s="110" t="s">
        <v>762</v>
      </c>
      <c r="R202" s="71">
        <v>14</v>
      </c>
      <c r="S202" s="385">
        <f>IF(Q202=예상등급!$G$1,LOOKUP(R202,예상등급!$G$5:$G$13,예상등급!$H$5:$H$13),IF(Q202=예상등급!$J$1,LOOKUP(R202,예상등급!$J$5:$J$13,예상등급!$K$5:$K$13),IF(Q202=예상등급!$M$1,LOOKUP(R202,예상등급!$M$5:$M$13,예상등급!$N$5:$N$13),IF(Q202=예상등급!$P$1,LOOKUP(R202,예상등급!$P$5:$P$13,예상등급!$Q$5:$Q$13),IF(Q202=예상등급!$S$1,LOOKUP(R202,예상등급!$S$5:$S$13,예상등급!$T$5:$T$13),IF(Q202=예상등급!$V$1,LOOKUP(R202,예상등급!$V$5:$V$13,예상등급!$W$5:$W$13),IF(Q202=예상등급!$Y$1,LOOKUP(R202,예상등급!$Y$5:$Y$13,예상등급!$Z$5:$Z$13),IF(Q202=예상등급!$AB$1,LOOKUP(R202,예상등급!$AB$5:$AB$13,예상등급!$AC$5:$AC$13),IF(Q202=예상등급!$AE$1,LOOKUP(R202,예상등급!$AE$5:$AE$13,예상등급!$AF$5:$AF$13),IF(Q202=예상등급!$AH$1,LOOKUP(R202,예상등급!$AH$5:$AH$13,예상등급!$AI$5:$AI$13),IF(Q202=예상등급!$AK$1,LOOKUP(R202,예상등급!$AK$5:$AK$13,예상등급!$AL$5:$AL$13),IF(Q202=예상등급!$AN$1,LOOKUP(R202,예상등급!$AN$5:$AN$13,예상등급!$AO$5:$AO$13),IF(Q202=예상등급!$AQ$1,LOOKUP(R202,예상등급!$AQ$5:$AQ$13,예상등급!$AR$5:$AR$13),IF(Q202=예상등급!$AH$15,LOOKUP(R202,예상등급!$AH$19:$AH$27,예상등급!$AI$19:$AI$27),IF(Q202=예상등급!$AK$15,LOOKUP(R202,예상등급!$AK$19:$AK$27,예상등급!$AL$19:$AL$27),IF(Q202=예상등급!$AN$15,LOOKUP(R202,예상등급!$AN$19:$AN$27,예상등급!$AO$19:$AO$27),IF(Q202=예상등급!$AQ$15,LOOKUP(R202,예상등급!$AQ$19:$AQ$27,예상등급!$AR$19:$AR$27),"")))))))))))))))))</f>
        <v>6</v>
      </c>
      <c r="T202" s="110">
        <v>25</v>
      </c>
      <c r="U202" s="382">
        <f>IF(T202="","",LOOKUP(T202,예상등급!$D$19:$D$27,예상등급!$E$19:$E$27))</f>
        <v>4</v>
      </c>
      <c r="V202" s="402">
        <f>SUM(L202,T202,R202,O202)</f>
        <v>145</v>
      </c>
      <c r="W202" s="278">
        <f>RANK(V202,$V$4:$V$491)</f>
        <v>199</v>
      </c>
    </row>
    <row r="203" spans="1:26" ht="24.95" customHeight="1" x14ac:dyDescent="0.15">
      <c r="A203" s="110">
        <v>5</v>
      </c>
      <c r="B203" s="71">
        <v>9</v>
      </c>
      <c r="C203" s="100" t="s">
        <v>881</v>
      </c>
      <c r="D203" s="110" t="s">
        <v>779</v>
      </c>
      <c r="E203" s="71">
        <v>26</v>
      </c>
      <c r="F203" s="382">
        <f>IF(D203=예상등급!$A$1,LOOKUP(E203,예상등급!$A$5:$A$13,예상등급!$B$5:$B$13),IF(D203=예상등급!$A$15,LOOKUP(E203,예상등급!$A$19:$A$27,예상등급!$B$19:$B$27),""))</f>
        <v>7</v>
      </c>
      <c r="G203" s="110" t="s">
        <v>780</v>
      </c>
      <c r="H203" s="71">
        <v>13</v>
      </c>
      <c r="I203" s="382">
        <f>IF(G203=예상등급!$G$15,LOOKUP(H203,예상등급!$G$19:$G$27,예상등급!$H$19:$H$27),IF(G203=예상등급!$J$15,LOOKUP(H203,예상등급!$J$19:$J$27,예상등급!$K$19:$K$27),IF(G203=예상등급!$M$15,LOOKUP(H203,예상등급!$M$19:$M$27,예상등급!$N$19:$N$27),"")))</f>
        <v>9</v>
      </c>
      <c r="J203" s="110">
        <v>53</v>
      </c>
      <c r="K203" s="382">
        <f>IF(J203="","",(LOOKUP(J203,예상등급!$D$5:$D$13,예상등급!$E$5:$E$13)))</f>
        <v>5</v>
      </c>
      <c r="L203" s="301">
        <f>SUM(E203,H203,J203)</f>
        <v>92</v>
      </c>
      <c r="M203" s="398">
        <f>RANK(L203,$L$4:$L$491)</f>
        <v>210</v>
      </c>
      <c r="N203" s="110" t="s">
        <v>761</v>
      </c>
      <c r="O203" s="71">
        <v>24</v>
      </c>
      <c r="P203" s="385">
        <f>IF(N203=예상등급!$G$1,LOOKUP(O203,예상등급!$G$5:$G$13,예상등급!$H$5:$H$13),IF(N203=예상등급!$J$1,LOOKUP(O203,예상등급!$J$5:$J$13,예상등급!$K$5:$K$13),IF(N203=예상등급!$M$1,LOOKUP(O203,예상등급!$M$5:$M$13,예상등급!$N$5:$N$13),IF(N203=예상등급!$P$1,LOOKUP(O203,예상등급!$P$5:$P$13,예상등급!$Q$5:$Q$13),IF(N203=예상등급!$S$1,LOOKUP(O203,예상등급!$S$5:$S$13,예상등급!$T$5:$T$13),IF(N203=예상등급!$V$1,LOOKUP(O203,예상등급!$V$5:$V$13,예상등급!$W$5:$W$13),IF(N203=예상등급!$Y$1,LOOKUP(O203,예상등급!$Y$5:$Y$13,예상등급!$Z$5:$Z$13),IF(N203=예상등급!$AB$1,LOOKUP(O203,예상등급!$AB$5:$AB$13,예상등급!$AC$5:$AC$13),IF(N203=예상등급!$AE$1,LOOKUP(O203,예상등급!$AE$5:$AE$13,예상등급!$AF$5:$AF$13),IF(N203=예상등급!$AH$1,LOOKUP(O203,예상등급!$AH$5:$AH$13,예상등급!$AI$5:$AI$13),IF(N203=예상등급!$AK$1,LOOKUP(O203,예상등급!$AK$5:$AK$13,예상등급!$AL$5:$AL$13),IF(N203=예상등급!$AN$1,LOOKUP(O203,예상등급!$AN$5:$AN$13,예상등급!$AO$5:$AO$13),IF(N203=예상등급!$AQ$1,LOOKUP(O203,예상등급!$AQ$5:$AQ$13,예상등급!$AR$5:$AR$13),IF(N203=예상등급!$AH$15,LOOKUP(O203,예상등급!$AH$19:$AH$27,예상등급!$AI$19:$AI$27),IF(N203=예상등급!$AK$15,LOOKUP(O203,예상등급!$AK$19:$AK$27,예상등급!$AL$19:$AL$27),IF(N203=예상등급!$AN$15,LOOKUP(O203,예상등급!$AN$19:$AN$27,예상등급!$AO$19:$AO$27),IF(N203=예상등급!$AQ$15,LOOKUP(O203,예상등급!$AQ$19:$AQ$27,예상등급!$AR$19:$AR$27),"")))))))))))))))))</f>
        <v>5</v>
      </c>
      <c r="Q203" s="110" t="s">
        <v>762</v>
      </c>
      <c r="R203" s="71">
        <v>18</v>
      </c>
      <c r="S203" s="385">
        <f>IF(Q203=예상등급!$G$1,LOOKUP(R203,예상등급!$G$5:$G$13,예상등급!$H$5:$H$13),IF(Q203=예상등급!$J$1,LOOKUP(R203,예상등급!$J$5:$J$13,예상등급!$K$5:$K$13),IF(Q203=예상등급!$M$1,LOOKUP(R203,예상등급!$M$5:$M$13,예상등급!$N$5:$N$13),IF(Q203=예상등급!$P$1,LOOKUP(R203,예상등급!$P$5:$P$13,예상등급!$Q$5:$Q$13),IF(Q203=예상등급!$S$1,LOOKUP(R203,예상등급!$S$5:$S$13,예상등급!$T$5:$T$13),IF(Q203=예상등급!$V$1,LOOKUP(R203,예상등급!$V$5:$V$13,예상등급!$W$5:$W$13),IF(Q203=예상등급!$Y$1,LOOKUP(R203,예상등급!$Y$5:$Y$13,예상등급!$Z$5:$Z$13),IF(Q203=예상등급!$AB$1,LOOKUP(R203,예상등급!$AB$5:$AB$13,예상등급!$AC$5:$AC$13),IF(Q203=예상등급!$AE$1,LOOKUP(R203,예상등급!$AE$5:$AE$13,예상등급!$AF$5:$AF$13),IF(Q203=예상등급!$AH$1,LOOKUP(R203,예상등급!$AH$5:$AH$13,예상등급!$AI$5:$AI$13),IF(Q203=예상등급!$AK$1,LOOKUP(R203,예상등급!$AK$5:$AK$13,예상등급!$AL$5:$AL$13),IF(Q203=예상등급!$AN$1,LOOKUP(R203,예상등급!$AN$5:$AN$13,예상등급!$AO$5:$AO$13),IF(Q203=예상등급!$AQ$1,LOOKUP(R203,예상등급!$AQ$5:$AQ$13,예상등급!$AR$5:$AR$13),IF(Q203=예상등급!$AH$15,LOOKUP(R203,예상등급!$AH$19:$AH$27,예상등급!$AI$19:$AI$27),IF(Q203=예상등급!$AK$15,LOOKUP(R203,예상등급!$AK$19:$AK$27,예상등급!$AL$19:$AL$27),IF(Q203=예상등급!$AN$15,LOOKUP(R203,예상등급!$AN$19:$AN$27,예상등급!$AO$19:$AO$27),IF(Q203=예상등급!$AQ$15,LOOKUP(R203,예상등급!$AQ$19:$AQ$27,예상등급!$AR$19:$AR$27),"")))))))))))))))))</f>
        <v>6</v>
      </c>
      <c r="T203" s="110">
        <v>11</v>
      </c>
      <c r="U203" s="382">
        <f>IF(T203="","",LOOKUP(T203,예상등급!$D$19:$D$27,예상등급!$E$19:$E$27))</f>
        <v>7</v>
      </c>
      <c r="V203" s="402">
        <f>SUM(L203,T203,R203,O203)</f>
        <v>145</v>
      </c>
      <c r="W203" s="278">
        <f>RANK(V203,$V$4:$V$491)</f>
        <v>199</v>
      </c>
    </row>
    <row r="204" spans="1:26" ht="24.95" customHeight="1" x14ac:dyDescent="0.15">
      <c r="A204" s="110">
        <v>10</v>
      </c>
      <c r="B204" s="71">
        <v>16</v>
      </c>
      <c r="C204" s="100" t="s">
        <v>999</v>
      </c>
      <c r="D204" s="110" t="s">
        <v>779</v>
      </c>
      <c r="E204" s="71">
        <v>20</v>
      </c>
      <c r="F204" s="382">
        <f>IF(D204=예상등급!$A$1,LOOKUP(E204,예상등급!$A$5:$A$13,예상등급!$B$5:$B$13),IF(D204=예상등급!$A$15,LOOKUP(E204,예상등급!$A$19:$A$27,예상등급!$B$19:$B$27),""))</f>
        <v>8</v>
      </c>
      <c r="G204" s="110" t="s">
        <v>780</v>
      </c>
      <c r="H204" s="71">
        <v>17</v>
      </c>
      <c r="I204" s="382">
        <f>IF(G204=예상등급!$G$15,LOOKUP(H204,예상등급!$G$19:$G$27,예상등급!$H$19:$H$27),IF(G204=예상등급!$J$15,LOOKUP(H204,예상등급!$J$19:$J$27,예상등급!$K$19:$K$27),IF(G204=예상등급!$M$15,LOOKUP(H204,예상등급!$M$19:$M$27,예상등급!$N$19:$N$27),"")))</f>
        <v>8</v>
      </c>
      <c r="J204" s="110">
        <v>68</v>
      </c>
      <c r="K204" s="382">
        <f>IF(J204="","",(LOOKUP(J204,예상등급!$D$5:$D$13,예상등급!$E$5:$E$13)))</f>
        <v>4</v>
      </c>
      <c r="L204" s="301">
        <f>SUM(E204,H204,J204)</f>
        <v>105</v>
      </c>
      <c r="M204" s="398">
        <f>RANK(L204,$L$4:$L$491)</f>
        <v>186</v>
      </c>
      <c r="N204" s="110" t="s">
        <v>761</v>
      </c>
      <c r="O204" s="71">
        <v>12</v>
      </c>
      <c r="P204" s="385">
        <f>IF(N204=예상등급!$G$1,LOOKUP(O204,예상등급!$G$5:$G$13,예상등급!$H$5:$H$13),IF(N204=예상등급!$J$1,LOOKUP(O204,예상등급!$J$5:$J$13,예상등급!$K$5:$K$13),IF(N204=예상등급!$M$1,LOOKUP(O204,예상등급!$M$5:$M$13,예상등급!$N$5:$N$13),IF(N204=예상등급!$P$1,LOOKUP(O204,예상등급!$P$5:$P$13,예상등급!$Q$5:$Q$13),IF(N204=예상등급!$S$1,LOOKUP(O204,예상등급!$S$5:$S$13,예상등급!$T$5:$T$13),IF(N204=예상등급!$V$1,LOOKUP(O204,예상등급!$V$5:$V$13,예상등급!$W$5:$W$13),IF(N204=예상등급!$Y$1,LOOKUP(O204,예상등급!$Y$5:$Y$13,예상등급!$Z$5:$Z$13),IF(N204=예상등급!$AB$1,LOOKUP(O204,예상등급!$AB$5:$AB$13,예상등급!$AC$5:$AC$13),IF(N204=예상등급!$AE$1,LOOKUP(O204,예상등급!$AE$5:$AE$13,예상등급!$AF$5:$AF$13),IF(N204=예상등급!$AH$1,LOOKUP(O204,예상등급!$AH$5:$AH$13,예상등급!$AI$5:$AI$13),IF(N204=예상등급!$AK$1,LOOKUP(O204,예상등급!$AK$5:$AK$13,예상등급!$AL$5:$AL$13),IF(N204=예상등급!$AN$1,LOOKUP(O204,예상등급!$AN$5:$AN$13,예상등급!$AO$5:$AO$13),IF(N204=예상등급!$AQ$1,LOOKUP(O204,예상등급!$AQ$5:$AQ$13,예상등급!$AR$5:$AR$13),IF(N204=예상등급!$AH$15,LOOKUP(O204,예상등급!$AH$19:$AH$27,예상등급!$AI$19:$AI$27),IF(N204=예상등급!$AK$15,LOOKUP(O204,예상등급!$AK$19:$AK$27,예상등급!$AL$19:$AL$27),IF(N204=예상등급!$AN$15,LOOKUP(O204,예상등급!$AN$19:$AN$27,예상등급!$AO$19:$AO$27),IF(N204=예상등급!$AQ$15,LOOKUP(O204,예상등급!$AQ$19:$AQ$27,예상등급!$AR$19:$AR$27),"")))))))))))))))))</f>
        <v>7</v>
      </c>
      <c r="Q204" s="110" t="s">
        <v>764</v>
      </c>
      <c r="R204" s="71">
        <v>12</v>
      </c>
      <c r="S204" s="385">
        <f>IF(Q204=예상등급!$G$1,LOOKUP(R204,예상등급!$G$5:$G$13,예상등급!$H$5:$H$13),IF(Q204=예상등급!$J$1,LOOKUP(R204,예상등급!$J$5:$J$13,예상등급!$K$5:$K$13),IF(Q204=예상등급!$M$1,LOOKUP(R204,예상등급!$M$5:$M$13,예상등급!$N$5:$N$13),IF(Q204=예상등급!$P$1,LOOKUP(R204,예상등급!$P$5:$P$13,예상등급!$Q$5:$Q$13),IF(Q204=예상등급!$S$1,LOOKUP(R204,예상등급!$S$5:$S$13,예상등급!$T$5:$T$13),IF(Q204=예상등급!$V$1,LOOKUP(R204,예상등급!$V$5:$V$13,예상등급!$W$5:$W$13),IF(Q204=예상등급!$Y$1,LOOKUP(R204,예상등급!$Y$5:$Y$13,예상등급!$Z$5:$Z$13),IF(Q204=예상등급!$AB$1,LOOKUP(R204,예상등급!$AB$5:$AB$13,예상등급!$AC$5:$AC$13),IF(Q204=예상등급!$AE$1,LOOKUP(R204,예상등급!$AE$5:$AE$13,예상등급!$AF$5:$AF$13),IF(Q204=예상등급!$AH$1,LOOKUP(R204,예상등급!$AH$5:$AH$13,예상등급!$AI$5:$AI$13),IF(Q204=예상등급!$AK$1,LOOKUP(R204,예상등급!$AK$5:$AK$13,예상등급!$AL$5:$AL$13),IF(Q204=예상등급!$AN$1,LOOKUP(R204,예상등급!$AN$5:$AN$13,예상등급!$AO$5:$AO$13),IF(Q204=예상등급!$AQ$1,LOOKUP(R204,예상등급!$AQ$5:$AQ$13,예상등급!$AR$5:$AR$13),IF(Q204=예상등급!$AH$15,LOOKUP(R204,예상등급!$AH$19:$AH$27,예상등급!$AI$19:$AI$27),IF(Q204=예상등급!$AK$15,LOOKUP(R204,예상등급!$AK$19:$AK$27,예상등급!$AL$19:$AL$27),IF(Q204=예상등급!$AN$15,LOOKUP(R204,예상등급!$AN$19:$AN$27,예상등급!$AO$19:$AO$27),IF(Q204=예상등급!$AQ$15,LOOKUP(R204,예상등급!$AQ$19:$AQ$27,예상등급!$AR$19:$AR$27),"")))))))))))))))))</f>
        <v>6</v>
      </c>
      <c r="T204" s="110">
        <v>16</v>
      </c>
      <c r="U204" s="382">
        <f>IF(T204="","",LOOKUP(T204,예상등급!$D$19:$D$27,예상등급!$E$19:$E$27))</f>
        <v>6</v>
      </c>
      <c r="V204" s="402">
        <f>SUM(L204,T204,R204,O204)</f>
        <v>145</v>
      </c>
      <c r="W204" s="278">
        <f>RANK(V204,$V$4:$V$491)</f>
        <v>199</v>
      </c>
    </row>
    <row r="205" spans="1:26" ht="24.95" customHeight="1" x14ac:dyDescent="0.15">
      <c r="A205" s="110">
        <v>10</v>
      </c>
      <c r="B205" s="71">
        <v>17</v>
      </c>
      <c r="C205" s="100" t="s">
        <v>1000</v>
      </c>
      <c r="D205" s="110" t="s">
        <v>779</v>
      </c>
      <c r="E205" s="71">
        <v>35</v>
      </c>
      <c r="F205" s="382">
        <f>IF(D205=예상등급!$A$1,LOOKUP(E205,예상등급!$A$5:$A$13,예상등급!$B$5:$B$13),IF(D205=예상등급!$A$15,LOOKUP(E205,예상등급!$A$19:$A$27,예상등급!$B$19:$B$27),""))</f>
        <v>6</v>
      </c>
      <c r="G205" s="110" t="s">
        <v>780</v>
      </c>
      <c r="H205" s="71">
        <v>33</v>
      </c>
      <c r="I205" s="382">
        <f>IF(G205=예상등급!$G$15,LOOKUP(H205,예상등급!$G$19:$G$27,예상등급!$H$19:$H$27),IF(G205=예상등급!$J$15,LOOKUP(H205,예상등급!$J$19:$J$27,예상등급!$K$19:$K$27),IF(G205=예상등급!$M$15,LOOKUP(H205,예상등급!$M$19:$M$27,예상등급!$N$19:$N$27),"")))</f>
        <v>5</v>
      </c>
      <c r="J205" s="110">
        <v>30</v>
      </c>
      <c r="K205" s="382">
        <f>IF(J205="","",(LOOKUP(J205,예상등급!$D$5:$D$13,예상등급!$E$5:$E$13)))</f>
        <v>7</v>
      </c>
      <c r="L205" s="301">
        <f>SUM(E205,H205,J205)</f>
        <v>98</v>
      </c>
      <c r="M205" s="398">
        <f>RANK(L205,$L$4:$L$491)</f>
        <v>193</v>
      </c>
      <c r="N205" s="110" t="s">
        <v>761</v>
      </c>
      <c r="O205" s="71">
        <v>18</v>
      </c>
      <c r="P205" s="385">
        <f>IF(N205=예상등급!$G$1,LOOKUP(O205,예상등급!$G$5:$G$13,예상등급!$H$5:$H$13),IF(N205=예상등급!$J$1,LOOKUP(O205,예상등급!$J$5:$J$13,예상등급!$K$5:$K$13),IF(N205=예상등급!$M$1,LOOKUP(O205,예상등급!$M$5:$M$13,예상등급!$N$5:$N$13),IF(N205=예상등급!$P$1,LOOKUP(O205,예상등급!$P$5:$P$13,예상등급!$Q$5:$Q$13),IF(N205=예상등급!$S$1,LOOKUP(O205,예상등급!$S$5:$S$13,예상등급!$T$5:$T$13),IF(N205=예상등급!$V$1,LOOKUP(O205,예상등급!$V$5:$V$13,예상등급!$W$5:$W$13),IF(N205=예상등급!$Y$1,LOOKUP(O205,예상등급!$Y$5:$Y$13,예상등급!$Z$5:$Z$13),IF(N205=예상등급!$AB$1,LOOKUP(O205,예상등급!$AB$5:$AB$13,예상등급!$AC$5:$AC$13),IF(N205=예상등급!$AE$1,LOOKUP(O205,예상등급!$AE$5:$AE$13,예상등급!$AF$5:$AF$13),IF(N205=예상등급!$AH$1,LOOKUP(O205,예상등급!$AH$5:$AH$13,예상등급!$AI$5:$AI$13),IF(N205=예상등급!$AK$1,LOOKUP(O205,예상등급!$AK$5:$AK$13,예상등급!$AL$5:$AL$13),IF(N205=예상등급!$AN$1,LOOKUP(O205,예상등급!$AN$5:$AN$13,예상등급!$AO$5:$AO$13),IF(N205=예상등급!$AQ$1,LOOKUP(O205,예상등급!$AQ$5:$AQ$13,예상등급!$AR$5:$AR$13),IF(N205=예상등급!$AH$15,LOOKUP(O205,예상등급!$AH$19:$AH$27,예상등급!$AI$19:$AI$27),IF(N205=예상등급!$AK$15,LOOKUP(O205,예상등급!$AK$19:$AK$27,예상등급!$AL$19:$AL$27),IF(N205=예상등급!$AN$15,LOOKUP(O205,예상등급!$AN$19:$AN$27,예상등급!$AO$19:$AO$27),IF(N205=예상등급!$AQ$15,LOOKUP(O205,예상등급!$AQ$19:$AQ$27,예상등급!$AR$19:$AR$27),"")))))))))))))))))</f>
        <v>6</v>
      </c>
      <c r="Q205" s="110" t="s">
        <v>772</v>
      </c>
      <c r="R205" s="71">
        <v>12</v>
      </c>
      <c r="S205" s="385">
        <f>IF(Q205=예상등급!$G$1,LOOKUP(R205,예상등급!$G$5:$G$13,예상등급!$H$5:$H$13),IF(Q205=예상등급!$J$1,LOOKUP(R205,예상등급!$J$5:$J$13,예상등급!$K$5:$K$13),IF(Q205=예상등급!$M$1,LOOKUP(R205,예상등급!$M$5:$M$13,예상등급!$N$5:$N$13),IF(Q205=예상등급!$P$1,LOOKUP(R205,예상등급!$P$5:$P$13,예상등급!$Q$5:$Q$13),IF(Q205=예상등급!$S$1,LOOKUP(R205,예상등급!$S$5:$S$13,예상등급!$T$5:$T$13),IF(Q205=예상등급!$V$1,LOOKUP(R205,예상등급!$V$5:$V$13,예상등급!$W$5:$W$13),IF(Q205=예상등급!$Y$1,LOOKUP(R205,예상등급!$Y$5:$Y$13,예상등급!$Z$5:$Z$13),IF(Q205=예상등급!$AB$1,LOOKUP(R205,예상등급!$AB$5:$AB$13,예상등급!$AC$5:$AC$13),IF(Q205=예상등급!$AE$1,LOOKUP(R205,예상등급!$AE$5:$AE$13,예상등급!$AF$5:$AF$13),IF(Q205=예상등급!$AH$1,LOOKUP(R205,예상등급!$AH$5:$AH$13,예상등급!$AI$5:$AI$13),IF(Q205=예상등급!$AK$1,LOOKUP(R205,예상등급!$AK$5:$AK$13,예상등급!$AL$5:$AL$13),IF(Q205=예상등급!$AN$1,LOOKUP(R205,예상등급!$AN$5:$AN$13,예상등급!$AO$5:$AO$13),IF(Q205=예상등급!$AQ$1,LOOKUP(R205,예상등급!$AQ$5:$AQ$13,예상등급!$AR$5:$AR$13),IF(Q205=예상등급!$AH$15,LOOKUP(R205,예상등급!$AH$19:$AH$27,예상등급!$AI$19:$AI$27),IF(Q205=예상등급!$AK$15,LOOKUP(R205,예상등급!$AK$19:$AK$27,예상등급!$AL$19:$AL$27),IF(Q205=예상등급!$AN$15,LOOKUP(R205,예상등급!$AN$19:$AN$27,예상등급!$AO$19:$AO$27),IF(Q205=예상등급!$AQ$15,LOOKUP(R205,예상등급!$AQ$19:$AQ$27,예상등급!$AR$19:$AR$27),"")))))))))))))))))</f>
        <v>6</v>
      </c>
      <c r="T205" s="110">
        <v>16</v>
      </c>
      <c r="U205" s="382">
        <f>IF(T205="","",LOOKUP(T205,예상등급!$D$19:$D$27,예상등급!$E$19:$E$27))</f>
        <v>6</v>
      </c>
      <c r="V205" s="402">
        <f>SUM(L205,T205,R205,O205)</f>
        <v>144</v>
      </c>
      <c r="W205" s="278">
        <f>RANK(V205,$V$4:$V$491)</f>
        <v>202</v>
      </c>
    </row>
    <row r="206" spans="1:26" ht="24.95" customHeight="1" x14ac:dyDescent="0.15">
      <c r="A206" s="110">
        <v>6</v>
      </c>
      <c r="B206" s="71">
        <v>1</v>
      </c>
      <c r="C206" s="100" t="s">
        <v>893</v>
      </c>
      <c r="D206" s="110" t="s">
        <v>779</v>
      </c>
      <c r="E206" s="71">
        <v>34</v>
      </c>
      <c r="F206" s="382">
        <f>IF(D206=예상등급!$A$1,LOOKUP(E206,예상등급!$A$5:$A$13,예상등급!$B$5:$B$13),IF(D206=예상등급!$A$15,LOOKUP(E206,예상등급!$A$19:$A$27,예상등급!$B$19:$B$27),""))</f>
        <v>6</v>
      </c>
      <c r="G206" s="110" t="s">
        <v>780</v>
      </c>
      <c r="H206" s="71">
        <v>18</v>
      </c>
      <c r="I206" s="382">
        <f>IF(G206=예상등급!$G$15,LOOKUP(H206,예상등급!$G$19:$G$27,예상등급!$H$19:$H$27),IF(G206=예상등급!$J$15,LOOKUP(H206,예상등급!$J$19:$J$27,예상등급!$K$19:$K$27),IF(G206=예상등급!$M$15,LOOKUP(H206,예상등급!$M$19:$M$27,예상등급!$N$19:$N$27),"")))</f>
        <v>7</v>
      </c>
      <c r="J206" s="110">
        <v>37</v>
      </c>
      <c r="K206" s="382">
        <f>IF(J206="","",(LOOKUP(J206,예상등급!$D$5:$D$13,예상등급!$E$5:$E$13)))</f>
        <v>7</v>
      </c>
      <c r="L206" s="301">
        <f>SUM(E206,H206,J206)</f>
        <v>89</v>
      </c>
      <c r="M206" s="398">
        <f>RANK(L206,$L$4:$L$491)</f>
        <v>214</v>
      </c>
      <c r="N206" s="110" t="s">
        <v>761</v>
      </c>
      <c r="O206" s="71">
        <v>18</v>
      </c>
      <c r="P206" s="385">
        <f>IF(N206=예상등급!$G$1,LOOKUP(O206,예상등급!$G$5:$G$13,예상등급!$H$5:$H$13),IF(N206=예상등급!$J$1,LOOKUP(O206,예상등급!$J$5:$J$13,예상등급!$K$5:$K$13),IF(N206=예상등급!$M$1,LOOKUP(O206,예상등급!$M$5:$M$13,예상등급!$N$5:$N$13),IF(N206=예상등급!$P$1,LOOKUP(O206,예상등급!$P$5:$P$13,예상등급!$Q$5:$Q$13),IF(N206=예상등급!$S$1,LOOKUP(O206,예상등급!$S$5:$S$13,예상등급!$T$5:$T$13),IF(N206=예상등급!$V$1,LOOKUP(O206,예상등급!$V$5:$V$13,예상등급!$W$5:$W$13),IF(N206=예상등급!$Y$1,LOOKUP(O206,예상등급!$Y$5:$Y$13,예상등급!$Z$5:$Z$13),IF(N206=예상등급!$AB$1,LOOKUP(O206,예상등급!$AB$5:$AB$13,예상등급!$AC$5:$AC$13),IF(N206=예상등급!$AE$1,LOOKUP(O206,예상등급!$AE$5:$AE$13,예상등급!$AF$5:$AF$13),IF(N206=예상등급!$AH$1,LOOKUP(O206,예상등급!$AH$5:$AH$13,예상등급!$AI$5:$AI$13),IF(N206=예상등급!$AK$1,LOOKUP(O206,예상등급!$AK$5:$AK$13,예상등급!$AL$5:$AL$13),IF(N206=예상등급!$AN$1,LOOKUP(O206,예상등급!$AN$5:$AN$13,예상등급!$AO$5:$AO$13),IF(N206=예상등급!$AQ$1,LOOKUP(O206,예상등급!$AQ$5:$AQ$13,예상등급!$AR$5:$AR$13),IF(N206=예상등급!$AH$15,LOOKUP(O206,예상등급!$AH$19:$AH$27,예상등급!$AI$19:$AI$27),IF(N206=예상등급!$AK$15,LOOKUP(O206,예상등급!$AK$19:$AK$27,예상등급!$AL$19:$AL$27),IF(N206=예상등급!$AN$15,LOOKUP(O206,예상등급!$AN$19:$AN$27,예상등급!$AO$19:$AO$27),IF(N206=예상등급!$AQ$15,LOOKUP(O206,예상등급!$AQ$19:$AQ$27,예상등급!$AR$19:$AR$27),"")))))))))))))))))</f>
        <v>6</v>
      </c>
      <c r="Q206" s="110" t="s">
        <v>762</v>
      </c>
      <c r="R206" s="71">
        <v>18</v>
      </c>
      <c r="S206" s="385">
        <f>IF(Q206=예상등급!$G$1,LOOKUP(R206,예상등급!$G$5:$G$13,예상등급!$H$5:$H$13),IF(Q206=예상등급!$J$1,LOOKUP(R206,예상등급!$J$5:$J$13,예상등급!$K$5:$K$13),IF(Q206=예상등급!$M$1,LOOKUP(R206,예상등급!$M$5:$M$13,예상등급!$N$5:$N$13),IF(Q206=예상등급!$P$1,LOOKUP(R206,예상등급!$P$5:$P$13,예상등급!$Q$5:$Q$13),IF(Q206=예상등급!$S$1,LOOKUP(R206,예상등급!$S$5:$S$13,예상등급!$T$5:$T$13),IF(Q206=예상등급!$V$1,LOOKUP(R206,예상등급!$V$5:$V$13,예상등급!$W$5:$W$13),IF(Q206=예상등급!$Y$1,LOOKUP(R206,예상등급!$Y$5:$Y$13,예상등급!$Z$5:$Z$13),IF(Q206=예상등급!$AB$1,LOOKUP(R206,예상등급!$AB$5:$AB$13,예상등급!$AC$5:$AC$13),IF(Q206=예상등급!$AE$1,LOOKUP(R206,예상등급!$AE$5:$AE$13,예상등급!$AF$5:$AF$13),IF(Q206=예상등급!$AH$1,LOOKUP(R206,예상등급!$AH$5:$AH$13,예상등급!$AI$5:$AI$13),IF(Q206=예상등급!$AK$1,LOOKUP(R206,예상등급!$AK$5:$AK$13,예상등급!$AL$5:$AL$13),IF(Q206=예상등급!$AN$1,LOOKUP(R206,예상등급!$AN$5:$AN$13,예상등급!$AO$5:$AO$13),IF(Q206=예상등급!$AQ$1,LOOKUP(R206,예상등급!$AQ$5:$AQ$13,예상등급!$AR$5:$AR$13),IF(Q206=예상등급!$AH$15,LOOKUP(R206,예상등급!$AH$19:$AH$27,예상등급!$AI$19:$AI$27),IF(Q206=예상등급!$AK$15,LOOKUP(R206,예상등급!$AK$19:$AK$27,예상등급!$AL$19:$AL$27),IF(Q206=예상등급!$AN$15,LOOKUP(R206,예상등급!$AN$19:$AN$27,예상등급!$AO$19:$AO$27),IF(Q206=예상등급!$AQ$15,LOOKUP(R206,예상등급!$AQ$19:$AQ$27,예상등급!$AR$19:$AR$27),"")))))))))))))))))</f>
        <v>6</v>
      </c>
      <c r="T206" s="110">
        <v>18</v>
      </c>
      <c r="U206" s="382">
        <f>IF(T206="","",LOOKUP(T206,예상등급!$D$19:$D$27,예상등급!$E$19:$E$27))</f>
        <v>6</v>
      </c>
      <c r="V206" s="402">
        <f>SUM(L206,T206,R206,O206)</f>
        <v>143</v>
      </c>
      <c r="W206" s="278">
        <f>RANK(V206,$V$4:$V$491)</f>
        <v>203</v>
      </c>
      <c r="Y206" s="149"/>
      <c r="Z206" s="149"/>
    </row>
    <row r="207" spans="1:26" ht="24.95" customHeight="1" x14ac:dyDescent="0.15">
      <c r="A207" s="110">
        <v>5</v>
      </c>
      <c r="B207" s="71">
        <v>24</v>
      </c>
      <c r="C207" s="100" t="s">
        <v>891</v>
      </c>
      <c r="D207" s="110" t="s">
        <v>779</v>
      </c>
      <c r="E207" s="71">
        <v>37</v>
      </c>
      <c r="F207" s="382">
        <f>IF(D207=예상등급!$A$1,LOOKUP(E207,예상등급!$A$5:$A$13,예상등급!$B$5:$B$13),IF(D207=예상등급!$A$15,LOOKUP(E207,예상등급!$A$19:$A$27,예상등급!$B$19:$B$27),""))</f>
        <v>6</v>
      </c>
      <c r="G207" s="110" t="s">
        <v>780</v>
      </c>
      <c r="H207" s="71">
        <v>17</v>
      </c>
      <c r="I207" s="382">
        <f>IF(G207=예상등급!$G$15,LOOKUP(H207,예상등급!$G$19:$G$27,예상등급!$H$19:$H$27),IF(G207=예상등급!$J$15,LOOKUP(H207,예상등급!$J$19:$J$27,예상등급!$K$19:$K$27),IF(G207=예상등급!$M$15,LOOKUP(H207,예상등급!$M$19:$M$27,예상등급!$N$19:$N$27),"")))</f>
        <v>8</v>
      </c>
      <c r="J207" s="110">
        <v>42</v>
      </c>
      <c r="K207" s="382">
        <f>IF(J207="","",(LOOKUP(J207,예상등급!$D$5:$D$13,예상등급!$E$5:$E$13)))</f>
        <v>6</v>
      </c>
      <c r="L207" s="301">
        <f>SUM(E207,H207,J207)</f>
        <v>96</v>
      </c>
      <c r="M207" s="398">
        <f>RANK(L207,$L$4:$L$491)</f>
        <v>197</v>
      </c>
      <c r="N207" s="110" t="s">
        <v>760</v>
      </c>
      <c r="O207" s="71">
        <v>16</v>
      </c>
      <c r="P207" s="385">
        <f>IF(N207=예상등급!$G$1,LOOKUP(O207,예상등급!$G$5:$G$13,예상등급!$H$5:$H$13),IF(N207=예상등급!$J$1,LOOKUP(O207,예상등급!$J$5:$J$13,예상등급!$K$5:$K$13),IF(N207=예상등급!$M$1,LOOKUP(O207,예상등급!$M$5:$M$13,예상등급!$N$5:$N$13),IF(N207=예상등급!$P$1,LOOKUP(O207,예상등급!$P$5:$P$13,예상등급!$Q$5:$Q$13),IF(N207=예상등급!$S$1,LOOKUP(O207,예상등급!$S$5:$S$13,예상등급!$T$5:$T$13),IF(N207=예상등급!$V$1,LOOKUP(O207,예상등급!$V$5:$V$13,예상등급!$W$5:$W$13),IF(N207=예상등급!$Y$1,LOOKUP(O207,예상등급!$Y$5:$Y$13,예상등급!$Z$5:$Z$13),IF(N207=예상등급!$AB$1,LOOKUP(O207,예상등급!$AB$5:$AB$13,예상등급!$AC$5:$AC$13),IF(N207=예상등급!$AE$1,LOOKUP(O207,예상등급!$AE$5:$AE$13,예상등급!$AF$5:$AF$13),IF(N207=예상등급!$AH$1,LOOKUP(O207,예상등급!$AH$5:$AH$13,예상등급!$AI$5:$AI$13),IF(N207=예상등급!$AK$1,LOOKUP(O207,예상등급!$AK$5:$AK$13,예상등급!$AL$5:$AL$13),IF(N207=예상등급!$AN$1,LOOKUP(O207,예상등급!$AN$5:$AN$13,예상등급!$AO$5:$AO$13),IF(N207=예상등급!$AQ$1,LOOKUP(O207,예상등급!$AQ$5:$AQ$13,예상등급!$AR$5:$AR$13),IF(N207=예상등급!$AH$15,LOOKUP(O207,예상등급!$AH$19:$AH$27,예상등급!$AI$19:$AI$27),IF(N207=예상등급!$AK$15,LOOKUP(O207,예상등급!$AK$19:$AK$27,예상등급!$AL$19:$AL$27),IF(N207=예상등급!$AN$15,LOOKUP(O207,예상등급!$AN$19:$AN$27,예상등급!$AO$19:$AO$27),IF(N207=예상등급!$AQ$15,LOOKUP(O207,예상등급!$AQ$19:$AQ$27,예상등급!$AR$19:$AR$27),"")))))))))))))))))</f>
        <v>5</v>
      </c>
      <c r="Q207" s="110" t="s">
        <v>762</v>
      </c>
      <c r="R207" s="71">
        <v>23</v>
      </c>
      <c r="S207" s="385">
        <f>IF(Q207=예상등급!$G$1,LOOKUP(R207,예상등급!$G$5:$G$13,예상등급!$H$5:$H$13),IF(Q207=예상등급!$J$1,LOOKUP(R207,예상등급!$J$5:$J$13,예상등급!$K$5:$K$13),IF(Q207=예상등급!$M$1,LOOKUP(R207,예상등급!$M$5:$M$13,예상등급!$N$5:$N$13),IF(Q207=예상등급!$P$1,LOOKUP(R207,예상등급!$P$5:$P$13,예상등급!$Q$5:$Q$13),IF(Q207=예상등급!$S$1,LOOKUP(R207,예상등급!$S$5:$S$13,예상등급!$T$5:$T$13),IF(Q207=예상등급!$V$1,LOOKUP(R207,예상등급!$V$5:$V$13,예상등급!$W$5:$W$13),IF(Q207=예상등급!$Y$1,LOOKUP(R207,예상등급!$Y$5:$Y$13,예상등급!$Z$5:$Z$13),IF(Q207=예상등급!$AB$1,LOOKUP(R207,예상등급!$AB$5:$AB$13,예상등급!$AC$5:$AC$13),IF(Q207=예상등급!$AE$1,LOOKUP(R207,예상등급!$AE$5:$AE$13,예상등급!$AF$5:$AF$13),IF(Q207=예상등급!$AH$1,LOOKUP(R207,예상등급!$AH$5:$AH$13,예상등급!$AI$5:$AI$13),IF(Q207=예상등급!$AK$1,LOOKUP(R207,예상등급!$AK$5:$AK$13,예상등급!$AL$5:$AL$13),IF(Q207=예상등급!$AN$1,LOOKUP(R207,예상등급!$AN$5:$AN$13,예상등급!$AO$5:$AO$13),IF(Q207=예상등급!$AQ$1,LOOKUP(R207,예상등급!$AQ$5:$AQ$13,예상등급!$AR$5:$AR$13),IF(Q207=예상등급!$AH$15,LOOKUP(R207,예상등급!$AH$19:$AH$27,예상등급!$AI$19:$AI$27),IF(Q207=예상등급!$AK$15,LOOKUP(R207,예상등급!$AK$19:$AK$27,예상등급!$AL$19:$AL$27),IF(Q207=예상등급!$AN$15,LOOKUP(R207,예상등급!$AN$19:$AN$27,예상등급!$AO$19:$AO$27),IF(Q207=예상등급!$AQ$15,LOOKUP(R207,예상등급!$AQ$19:$AQ$27,예상등급!$AR$19:$AR$27),"")))))))))))))))))</f>
        <v>5</v>
      </c>
      <c r="T207" s="110">
        <v>7</v>
      </c>
      <c r="U207" s="382">
        <f>IF(T207="","",LOOKUP(T207,예상등급!$D$19:$D$27,예상등급!$E$19:$E$27))</f>
        <v>8</v>
      </c>
      <c r="V207" s="402">
        <f>SUM(L207,T207,R207,O207)</f>
        <v>142</v>
      </c>
      <c r="W207" s="278">
        <f>RANK(V207,$V$4:$V$491)</f>
        <v>204</v>
      </c>
    </row>
    <row r="208" spans="1:26" ht="24.95" customHeight="1" x14ac:dyDescent="0.15">
      <c r="A208" s="110">
        <v>2</v>
      </c>
      <c r="B208" s="71">
        <v>6</v>
      </c>
      <c r="C208" s="100" t="s">
        <v>824</v>
      </c>
      <c r="D208" s="110" t="s">
        <v>779</v>
      </c>
      <c r="E208" s="71">
        <v>31</v>
      </c>
      <c r="F208" s="382">
        <f>IF(D208=예상등급!$A$1,LOOKUP(E208,예상등급!$A$5:$A$13,예상등급!$B$5:$B$13),IF(D208=예상등급!$A$15,LOOKUP(E208,예상등급!$A$19:$A$27,예상등급!$B$19:$B$27),""))</f>
        <v>6</v>
      </c>
      <c r="G208" s="110" t="s">
        <v>780</v>
      </c>
      <c r="H208" s="71">
        <v>19</v>
      </c>
      <c r="I208" s="382">
        <f>IF(G208=예상등급!$G$15,LOOKUP(H208,예상등급!$G$19:$G$27,예상등급!$H$19:$H$27),IF(G208=예상등급!$J$15,LOOKUP(H208,예상등급!$J$19:$J$27,예상등급!$K$19:$K$27),IF(G208=예상등급!$M$15,LOOKUP(H208,예상등급!$M$19:$M$27,예상등급!$N$19:$N$27),"")))</f>
        <v>7</v>
      </c>
      <c r="J208" s="110">
        <v>42</v>
      </c>
      <c r="K208" s="382">
        <f>IF(J208="","",(LOOKUP(J208,예상등급!$D$5:$D$13,예상등급!$E$5:$E$13)))</f>
        <v>6</v>
      </c>
      <c r="L208" s="301">
        <f>SUM(E208,H208,J208)</f>
        <v>92</v>
      </c>
      <c r="M208" s="398">
        <f>RANK(L208,$L$4:$L$491)</f>
        <v>210</v>
      </c>
      <c r="N208" s="110" t="s">
        <v>762</v>
      </c>
      <c r="O208" s="71">
        <v>20</v>
      </c>
      <c r="P208" s="385">
        <f>IF(N208=예상등급!$G$1,LOOKUP(O208,예상등급!$G$5:$G$13,예상등급!$H$5:$H$13),IF(N208=예상등급!$J$1,LOOKUP(O208,예상등급!$J$5:$J$13,예상등급!$K$5:$K$13),IF(N208=예상등급!$M$1,LOOKUP(O208,예상등급!$M$5:$M$13,예상등급!$N$5:$N$13),IF(N208=예상등급!$P$1,LOOKUP(O208,예상등급!$P$5:$P$13,예상등급!$Q$5:$Q$13),IF(N208=예상등급!$S$1,LOOKUP(O208,예상등급!$S$5:$S$13,예상등급!$T$5:$T$13),IF(N208=예상등급!$V$1,LOOKUP(O208,예상등급!$V$5:$V$13,예상등급!$W$5:$W$13),IF(N208=예상등급!$Y$1,LOOKUP(O208,예상등급!$Y$5:$Y$13,예상등급!$Z$5:$Z$13),IF(N208=예상등급!$AB$1,LOOKUP(O208,예상등급!$AB$5:$AB$13,예상등급!$AC$5:$AC$13),IF(N208=예상등급!$AE$1,LOOKUP(O208,예상등급!$AE$5:$AE$13,예상등급!$AF$5:$AF$13),IF(N208=예상등급!$AH$1,LOOKUP(O208,예상등급!$AH$5:$AH$13,예상등급!$AI$5:$AI$13),IF(N208=예상등급!$AK$1,LOOKUP(O208,예상등급!$AK$5:$AK$13,예상등급!$AL$5:$AL$13),IF(N208=예상등급!$AN$1,LOOKUP(O208,예상등급!$AN$5:$AN$13,예상등급!$AO$5:$AO$13),IF(N208=예상등급!$AQ$1,LOOKUP(O208,예상등급!$AQ$5:$AQ$13,예상등급!$AR$5:$AR$13),IF(N208=예상등급!$AH$15,LOOKUP(O208,예상등급!$AH$19:$AH$27,예상등급!$AI$19:$AI$27),IF(N208=예상등급!$AK$15,LOOKUP(O208,예상등급!$AK$19:$AK$27,예상등급!$AL$19:$AL$27),IF(N208=예상등급!$AN$15,LOOKUP(O208,예상등급!$AN$19:$AN$27,예상등급!$AO$19:$AO$27),IF(N208=예상등급!$AQ$15,LOOKUP(O208,예상등급!$AQ$19:$AQ$27,예상등급!$AR$19:$AR$27),"")))))))))))))))))</f>
        <v>5</v>
      </c>
      <c r="Q208" s="110" t="s">
        <v>761</v>
      </c>
      <c r="R208" s="71">
        <v>19</v>
      </c>
      <c r="S208" s="385">
        <f>IF(Q208=예상등급!$G$1,LOOKUP(R208,예상등급!$G$5:$G$13,예상등급!$H$5:$H$13),IF(Q208=예상등급!$J$1,LOOKUP(R208,예상등급!$J$5:$J$13,예상등급!$K$5:$K$13),IF(Q208=예상등급!$M$1,LOOKUP(R208,예상등급!$M$5:$M$13,예상등급!$N$5:$N$13),IF(Q208=예상등급!$P$1,LOOKUP(R208,예상등급!$P$5:$P$13,예상등급!$Q$5:$Q$13),IF(Q208=예상등급!$S$1,LOOKUP(R208,예상등급!$S$5:$S$13,예상등급!$T$5:$T$13),IF(Q208=예상등급!$V$1,LOOKUP(R208,예상등급!$V$5:$V$13,예상등급!$W$5:$W$13),IF(Q208=예상등급!$Y$1,LOOKUP(R208,예상등급!$Y$5:$Y$13,예상등급!$Z$5:$Z$13),IF(Q208=예상등급!$AB$1,LOOKUP(R208,예상등급!$AB$5:$AB$13,예상등급!$AC$5:$AC$13),IF(Q208=예상등급!$AE$1,LOOKUP(R208,예상등급!$AE$5:$AE$13,예상등급!$AF$5:$AF$13),IF(Q208=예상등급!$AH$1,LOOKUP(R208,예상등급!$AH$5:$AH$13,예상등급!$AI$5:$AI$13),IF(Q208=예상등급!$AK$1,LOOKUP(R208,예상등급!$AK$5:$AK$13,예상등급!$AL$5:$AL$13),IF(Q208=예상등급!$AN$1,LOOKUP(R208,예상등급!$AN$5:$AN$13,예상등급!$AO$5:$AO$13),IF(Q208=예상등급!$AQ$1,LOOKUP(R208,예상등급!$AQ$5:$AQ$13,예상등급!$AR$5:$AR$13),IF(Q208=예상등급!$AH$15,LOOKUP(R208,예상등급!$AH$19:$AH$27,예상등급!$AI$19:$AI$27),IF(Q208=예상등급!$AK$15,LOOKUP(R208,예상등급!$AK$19:$AK$27,예상등급!$AL$19:$AL$27),IF(Q208=예상등급!$AN$15,LOOKUP(R208,예상등급!$AN$19:$AN$27,예상등급!$AO$19:$AO$27),IF(Q208=예상등급!$AQ$15,LOOKUP(R208,예상등급!$AQ$19:$AQ$27,예상등급!$AR$19:$AR$27),"")))))))))))))))))</f>
        <v>5</v>
      </c>
      <c r="T208" s="110">
        <v>9</v>
      </c>
      <c r="U208" s="382">
        <f>IF(T208="","",LOOKUP(T208,예상등급!$D$19:$D$27,예상등급!$E$19:$E$27))</f>
        <v>8</v>
      </c>
      <c r="V208" s="402">
        <f>SUM(L208,T208,R208,O208)</f>
        <v>140</v>
      </c>
      <c r="W208" s="278">
        <f>RANK(V208,$V$4:$V$491)</f>
        <v>205</v>
      </c>
      <c r="Y208" s="149"/>
      <c r="Z208" s="149"/>
    </row>
    <row r="209" spans="1:26" ht="24.95" customHeight="1" x14ac:dyDescent="0.15">
      <c r="A209" s="110">
        <v>8</v>
      </c>
      <c r="B209" s="71">
        <v>23</v>
      </c>
      <c r="C209" s="100" t="s">
        <v>957</v>
      </c>
      <c r="D209" s="110" t="s">
        <v>779</v>
      </c>
      <c r="E209" s="71">
        <v>37</v>
      </c>
      <c r="F209" s="382">
        <f>IF(D209=예상등급!$A$1,LOOKUP(E209,예상등급!$A$5:$A$13,예상등급!$B$5:$B$13),IF(D209=예상등급!$A$15,LOOKUP(E209,예상등급!$A$19:$A$27,예상등급!$B$19:$B$27),""))</f>
        <v>6</v>
      </c>
      <c r="G209" s="110" t="s">
        <v>780</v>
      </c>
      <c r="H209" s="71">
        <v>21</v>
      </c>
      <c r="I209" s="382">
        <f>IF(G209=예상등급!$G$15,LOOKUP(H209,예상등급!$G$19:$G$27,예상등급!$H$19:$H$27),IF(G209=예상등급!$J$15,LOOKUP(H209,예상등급!$J$19:$J$27,예상등급!$K$19:$K$27),IF(G209=예상등급!$M$15,LOOKUP(H209,예상등급!$M$19:$M$27,예상등급!$N$19:$N$27),"")))</f>
        <v>7</v>
      </c>
      <c r="J209" s="110">
        <v>32</v>
      </c>
      <c r="K209" s="382">
        <f>IF(J209="","",(LOOKUP(J209,예상등급!$D$5:$D$13,예상등급!$E$5:$E$13)))</f>
        <v>7</v>
      </c>
      <c r="L209" s="301">
        <f>SUM(E209,H209,J209)</f>
        <v>90</v>
      </c>
      <c r="M209" s="398">
        <f>RANK(L209,$L$4:$L$491)</f>
        <v>213</v>
      </c>
      <c r="N209" s="110" t="s">
        <v>762</v>
      </c>
      <c r="O209" s="71">
        <v>19</v>
      </c>
      <c r="P209" s="385">
        <f>IF(N209=예상등급!$G$1,LOOKUP(O209,예상등급!$G$5:$G$13,예상등급!$H$5:$H$13),IF(N209=예상등급!$J$1,LOOKUP(O209,예상등급!$J$5:$J$13,예상등급!$K$5:$K$13),IF(N209=예상등급!$M$1,LOOKUP(O209,예상등급!$M$5:$M$13,예상등급!$N$5:$N$13),IF(N209=예상등급!$P$1,LOOKUP(O209,예상등급!$P$5:$P$13,예상등급!$Q$5:$Q$13),IF(N209=예상등급!$S$1,LOOKUP(O209,예상등급!$S$5:$S$13,예상등급!$T$5:$T$13),IF(N209=예상등급!$V$1,LOOKUP(O209,예상등급!$V$5:$V$13,예상등급!$W$5:$W$13),IF(N209=예상등급!$Y$1,LOOKUP(O209,예상등급!$Y$5:$Y$13,예상등급!$Z$5:$Z$13),IF(N209=예상등급!$AB$1,LOOKUP(O209,예상등급!$AB$5:$AB$13,예상등급!$AC$5:$AC$13),IF(N209=예상등급!$AE$1,LOOKUP(O209,예상등급!$AE$5:$AE$13,예상등급!$AF$5:$AF$13),IF(N209=예상등급!$AH$1,LOOKUP(O209,예상등급!$AH$5:$AH$13,예상등급!$AI$5:$AI$13),IF(N209=예상등급!$AK$1,LOOKUP(O209,예상등급!$AK$5:$AK$13,예상등급!$AL$5:$AL$13),IF(N209=예상등급!$AN$1,LOOKUP(O209,예상등급!$AN$5:$AN$13,예상등급!$AO$5:$AO$13),IF(N209=예상등급!$AQ$1,LOOKUP(O209,예상등급!$AQ$5:$AQ$13,예상등급!$AR$5:$AR$13),IF(N209=예상등급!$AH$15,LOOKUP(O209,예상등급!$AH$19:$AH$27,예상등급!$AI$19:$AI$27),IF(N209=예상등급!$AK$15,LOOKUP(O209,예상등급!$AK$19:$AK$27,예상등급!$AL$19:$AL$27),IF(N209=예상등급!$AN$15,LOOKUP(O209,예상등급!$AN$19:$AN$27,예상등급!$AO$19:$AO$27),IF(N209=예상등급!$AQ$15,LOOKUP(O209,예상등급!$AQ$19:$AQ$27,예상등급!$AR$19:$AR$27),"")))))))))))))))))</f>
        <v>5</v>
      </c>
      <c r="Q209" s="110" t="s">
        <v>765</v>
      </c>
      <c r="R209" s="71">
        <v>16</v>
      </c>
      <c r="S209" s="385">
        <f>IF(Q209=예상등급!$G$1,LOOKUP(R209,예상등급!$G$5:$G$13,예상등급!$H$5:$H$13),IF(Q209=예상등급!$J$1,LOOKUP(R209,예상등급!$J$5:$J$13,예상등급!$K$5:$K$13),IF(Q209=예상등급!$M$1,LOOKUP(R209,예상등급!$M$5:$M$13,예상등급!$N$5:$N$13),IF(Q209=예상등급!$P$1,LOOKUP(R209,예상등급!$P$5:$P$13,예상등급!$Q$5:$Q$13),IF(Q209=예상등급!$S$1,LOOKUP(R209,예상등급!$S$5:$S$13,예상등급!$T$5:$T$13),IF(Q209=예상등급!$V$1,LOOKUP(R209,예상등급!$V$5:$V$13,예상등급!$W$5:$W$13),IF(Q209=예상등급!$Y$1,LOOKUP(R209,예상등급!$Y$5:$Y$13,예상등급!$Z$5:$Z$13),IF(Q209=예상등급!$AB$1,LOOKUP(R209,예상등급!$AB$5:$AB$13,예상등급!$AC$5:$AC$13),IF(Q209=예상등급!$AE$1,LOOKUP(R209,예상등급!$AE$5:$AE$13,예상등급!$AF$5:$AF$13),IF(Q209=예상등급!$AH$1,LOOKUP(R209,예상등급!$AH$5:$AH$13,예상등급!$AI$5:$AI$13),IF(Q209=예상등급!$AK$1,LOOKUP(R209,예상등급!$AK$5:$AK$13,예상등급!$AL$5:$AL$13),IF(Q209=예상등급!$AN$1,LOOKUP(R209,예상등급!$AN$5:$AN$13,예상등급!$AO$5:$AO$13),IF(Q209=예상등급!$AQ$1,LOOKUP(R209,예상등급!$AQ$5:$AQ$13,예상등급!$AR$5:$AR$13),IF(Q209=예상등급!$AH$15,LOOKUP(R209,예상등급!$AH$19:$AH$27,예상등급!$AI$19:$AI$27),IF(Q209=예상등급!$AK$15,LOOKUP(R209,예상등급!$AK$19:$AK$27,예상등급!$AL$19:$AL$27),IF(Q209=예상등급!$AN$15,LOOKUP(R209,예상등급!$AN$19:$AN$27,예상등급!$AO$19:$AO$27),IF(Q209=예상등급!$AQ$15,LOOKUP(R209,예상등급!$AQ$19:$AQ$27,예상등급!$AR$19:$AR$27),"")))))))))))))))))</f>
        <v>6</v>
      </c>
      <c r="T209" s="110">
        <v>13</v>
      </c>
      <c r="U209" s="382">
        <f>IF(T209="","",LOOKUP(T209,예상등급!$D$19:$D$27,예상등급!$E$19:$E$27))</f>
        <v>7</v>
      </c>
      <c r="V209" s="402">
        <f>SUM(L209,T209,R209,O209)</f>
        <v>138</v>
      </c>
      <c r="W209" s="278">
        <f>RANK(V209,$V$4:$V$491)</f>
        <v>206</v>
      </c>
    </row>
    <row r="210" spans="1:26" ht="24.95" customHeight="1" x14ac:dyDescent="0.15">
      <c r="A210" s="110">
        <v>10</v>
      </c>
      <c r="B210" s="71">
        <v>15</v>
      </c>
      <c r="C210" s="100" t="s">
        <v>998</v>
      </c>
      <c r="D210" s="110" t="s">
        <v>779</v>
      </c>
      <c r="E210" s="71">
        <v>23</v>
      </c>
      <c r="F210" s="382">
        <f>IF(D210=예상등급!$A$1,LOOKUP(E210,예상등급!$A$5:$A$13,예상등급!$B$5:$B$13),IF(D210=예상등급!$A$15,LOOKUP(E210,예상등급!$A$19:$A$27,예상등급!$B$19:$B$27),""))</f>
        <v>7</v>
      </c>
      <c r="G210" s="110" t="s">
        <v>780</v>
      </c>
      <c r="H210" s="71">
        <v>17</v>
      </c>
      <c r="I210" s="382">
        <f>IF(G210=예상등급!$G$15,LOOKUP(H210,예상등급!$G$19:$G$27,예상등급!$H$19:$H$27),IF(G210=예상등급!$J$15,LOOKUP(H210,예상등급!$J$19:$J$27,예상등급!$K$19:$K$27),IF(G210=예상등급!$M$15,LOOKUP(H210,예상등급!$M$19:$M$27,예상등급!$N$19:$N$27),"")))</f>
        <v>8</v>
      </c>
      <c r="J210" s="110">
        <v>53</v>
      </c>
      <c r="K210" s="382">
        <f>IF(J210="","",(LOOKUP(J210,예상등급!$D$5:$D$13,예상등급!$E$5:$E$13)))</f>
        <v>5</v>
      </c>
      <c r="L210" s="301">
        <f>SUM(E210,H210,J210)</f>
        <v>93</v>
      </c>
      <c r="M210" s="398">
        <f>RANK(L210,$L$4:$L$491)</f>
        <v>204</v>
      </c>
      <c r="N210" s="110" t="s">
        <v>761</v>
      </c>
      <c r="O210" s="71">
        <v>15</v>
      </c>
      <c r="P210" s="385">
        <f>IF(N210=예상등급!$G$1,LOOKUP(O210,예상등급!$G$5:$G$13,예상등급!$H$5:$H$13),IF(N210=예상등급!$J$1,LOOKUP(O210,예상등급!$J$5:$J$13,예상등급!$K$5:$K$13),IF(N210=예상등급!$M$1,LOOKUP(O210,예상등급!$M$5:$M$13,예상등급!$N$5:$N$13),IF(N210=예상등급!$P$1,LOOKUP(O210,예상등급!$P$5:$P$13,예상등급!$Q$5:$Q$13),IF(N210=예상등급!$S$1,LOOKUP(O210,예상등급!$S$5:$S$13,예상등급!$T$5:$T$13),IF(N210=예상등급!$V$1,LOOKUP(O210,예상등급!$V$5:$V$13,예상등급!$W$5:$W$13),IF(N210=예상등급!$Y$1,LOOKUP(O210,예상등급!$Y$5:$Y$13,예상등급!$Z$5:$Z$13),IF(N210=예상등급!$AB$1,LOOKUP(O210,예상등급!$AB$5:$AB$13,예상등급!$AC$5:$AC$13),IF(N210=예상등급!$AE$1,LOOKUP(O210,예상등급!$AE$5:$AE$13,예상등급!$AF$5:$AF$13),IF(N210=예상등급!$AH$1,LOOKUP(O210,예상등급!$AH$5:$AH$13,예상등급!$AI$5:$AI$13),IF(N210=예상등급!$AK$1,LOOKUP(O210,예상등급!$AK$5:$AK$13,예상등급!$AL$5:$AL$13),IF(N210=예상등급!$AN$1,LOOKUP(O210,예상등급!$AN$5:$AN$13,예상등급!$AO$5:$AO$13),IF(N210=예상등급!$AQ$1,LOOKUP(O210,예상등급!$AQ$5:$AQ$13,예상등급!$AR$5:$AR$13),IF(N210=예상등급!$AH$15,LOOKUP(O210,예상등급!$AH$19:$AH$27,예상등급!$AI$19:$AI$27),IF(N210=예상등급!$AK$15,LOOKUP(O210,예상등급!$AK$19:$AK$27,예상등급!$AL$19:$AL$27),IF(N210=예상등급!$AN$15,LOOKUP(O210,예상등급!$AN$19:$AN$27,예상등급!$AO$19:$AO$27),IF(N210=예상등급!$AQ$15,LOOKUP(O210,예상등급!$AQ$19:$AQ$27,예상등급!$AR$19:$AR$27),"")))))))))))))))))</f>
        <v>6</v>
      </c>
      <c r="Q210" s="110" t="s">
        <v>762</v>
      </c>
      <c r="R210" s="71">
        <v>20</v>
      </c>
      <c r="S210" s="385">
        <f>IF(Q210=예상등급!$G$1,LOOKUP(R210,예상등급!$G$5:$G$13,예상등급!$H$5:$H$13),IF(Q210=예상등급!$J$1,LOOKUP(R210,예상등급!$J$5:$J$13,예상등급!$K$5:$K$13),IF(Q210=예상등급!$M$1,LOOKUP(R210,예상등급!$M$5:$M$13,예상등급!$N$5:$N$13),IF(Q210=예상등급!$P$1,LOOKUP(R210,예상등급!$P$5:$P$13,예상등급!$Q$5:$Q$13),IF(Q210=예상등급!$S$1,LOOKUP(R210,예상등급!$S$5:$S$13,예상등급!$T$5:$T$13),IF(Q210=예상등급!$V$1,LOOKUP(R210,예상등급!$V$5:$V$13,예상등급!$W$5:$W$13),IF(Q210=예상등급!$Y$1,LOOKUP(R210,예상등급!$Y$5:$Y$13,예상등급!$Z$5:$Z$13),IF(Q210=예상등급!$AB$1,LOOKUP(R210,예상등급!$AB$5:$AB$13,예상등급!$AC$5:$AC$13),IF(Q210=예상등급!$AE$1,LOOKUP(R210,예상등급!$AE$5:$AE$13,예상등급!$AF$5:$AF$13),IF(Q210=예상등급!$AH$1,LOOKUP(R210,예상등급!$AH$5:$AH$13,예상등급!$AI$5:$AI$13),IF(Q210=예상등급!$AK$1,LOOKUP(R210,예상등급!$AK$5:$AK$13,예상등급!$AL$5:$AL$13),IF(Q210=예상등급!$AN$1,LOOKUP(R210,예상등급!$AN$5:$AN$13,예상등급!$AO$5:$AO$13),IF(Q210=예상등급!$AQ$1,LOOKUP(R210,예상등급!$AQ$5:$AQ$13,예상등급!$AR$5:$AR$13),IF(Q210=예상등급!$AH$15,LOOKUP(R210,예상등급!$AH$19:$AH$27,예상등급!$AI$19:$AI$27),IF(Q210=예상등급!$AK$15,LOOKUP(R210,예상등급!$AK$19:$AK$27,예상등급!$AL$19:$AL$27),IF(Q210=예상등급!$AN$15,LOOKUP(R210,예상등급!$AN$19:$AN$27,예상등급!$AO$19:$AO$27),IF(Q210=예상등급!$AQ$15,LOOKUP(R210,예상등급!$AQ$19:$AQ$27,예상등급!$AR$19:$AR$27),"")))))))))))))))))</f>
        <v>5</v>
      </c>
      <c r="T210" s="110">
        <v>9</v>
      </c>
      <c r="U210" s="382">
        <f>IF(T210="","",LOOKUP(T210,예상등급!$D$19:$D$27,예상등급!$E$19:$E$27))</f>
        <v>8</v>
      </c>
      <c r="V210" s="402">
        <f>SUM(L210,T210,R210,O210)</f>
        <v>137</v>
      </c>
      <c r="W210" s="278">
        <f>RANK(V210,$V$4:$V$491)</f>
        <v>207</v>
      </c>
    </row>
    <row r="211" spans="1:26" ht="24.95" customHeight="1" x14ac:dyDescent="0.15">
      <c r="A211" s="110">
        <v>9</v>
      </c>
      <c r="B211" s="71">
        <v>4</v>
      </c>
      <c r="C211" s="100" t="s">
        <v>789</v>
      </c>
      <c r="D211" s="110" t="s">
        <v>779</v>
      </c>
      <c r="E211" s="71">
        <v>25</v>
      </c>
      <c r="F211" s="382">
        <f>IF(D211=예상등급!$A$1,LOOKUP(E211,예상등급!$A$5:$A$13,예상등급!$B$5:$B$13),IF(D211=예상등급!$A$15,LOOKUP(E211,예상등급!$A$19:$A$27,예상등급!$B$19:$B$27),""))</f>
        <v>7</v>
      </c>
      <c r="G211" s="110" t="s">
        <v>780</v>
      </c>
      <c r="H211" s="71">
        <v>16</v>
      </c>
      <c r="I211" s="382">
        <f>IF(G211=예상등급!$G$15,LOOKUP(H211,예상등급!$G$19:$G$27,예상등급!$H$19:$H$27),IF(G211=예상등급!$J$15,LOOKUP(H211,예상등급!$J$19:$J$27,예상등급!$K$19:$K$27),IF(G211=예상등급!$M$15,LOOKUP(H211,예상등급!$M$19:$M$27,예상등급!$N$19:$N$27),"")))</f>
        <v>8</v>
      </c>
      <c r="J211" s="110">
        <v>52</v>
      </c>
      <c r="K211" s="382">
        <f>IF(J211="","",(LOOKUP(J211,예상등급!$D$5:$D$13,예상등급!$E$5:$E$13)))</f>
        <v>5</v>
      </c>
      <c r="L211" s="301">
        <f>SUM(E211,H211,J211)</f>
        <v>93</v>
      </c>
      <c r="M211" s="398">
        <f>RANK(L211,$L$4:$L$491)</f>
        <v>204</v>
      </c>
      <c r="N211" s="110" t="s">
        <v>765</v>
      </c>
      <c r="O211" s="71">
        <v>19</v>
      </c>
      <c r="P211" s="385">
        <f>IF(N211=예상등급!$G$1,LOOKUP(O211,예상등급!$G$5:$G$13,예상등급!$H$5:$H$13),IF(N211=예상등급!$J$1,LOOKUP(O211,예상등급!$J$5:$J$13,예상등급!$K$5:$K$13),IF(N211=예상등급!$M$1,LOOKUP(O211,예상등급!$M$5:$M$13,예상등급!$N$5:$N$13),IF(N211=예상등급!$P$1,LOOKUP(O211,예상등급!$P$5:$P$13,예상등급!$Q$5:$Q$13),IF(N211=예상등급!$S$1,LOOKUP(O211,예상등급!$S$5:$S$13,예상등급!$T$5:$T$13),IF(N211=예상등급!$V$1,LOOKUP(O211,예상등급!$V$5:$V$13,예상등급!$W$5:$W$13),IF(N211=예상등급!$Y$1,LOOKUP(O211,예상등급!$Y$5:$Y$13,예상등급!$Z$5:$Z$13),IF(N211=예상등급!$AB$1,LOOKUP(O211,예상등급!$AB$5:$AB$13,예상등급!$AC$5:$AC$13),IF(N211=예상등급!$AE$1,LOOKUP(O211,예상등급!$AE$5:$AE$13,예상등급!$AF$5:$AF$13),IF(N211=예상등급!$AH$1,LOOKUP(O211,예상등급!$AH$5:$AH$13,예상등급!$AI$5:$AI$13),IF(N211=예상등급!$AK$1,LOOKUP(O211,예상등급!$AK$5:$AK$13,예상등급!$AL$5:$AL$13),IF(N211=예상등급!$AN$1,LOOKUP(O211,예상등급!$AN$5:$AN$13,예상등급!$AO$5:$AO$13),IF(N211=예상등급!$AQ$1,LOOKUP(O211,예상등급!$AQ$5:$AQ$13,예상등급!$AR$5:$AR$13),IF(N211=예상등급!$AH$15,LOOKUP(O211,예상등급!$AH$19:$AH$27,예상등급!$AI$19:$AI$27),IF(N211=예상등급!$AK$15,LOOKUP(O211,예상등급!$AK$19:$AK$27,예상등급!$AL$19:$AL$27),IF(N211=예상등급!$AN$15,LOOKUP(O211,예상등급!$AN$19:$AN$27,예상등급!$AO$19:$AO$27),IF(N211=예상등급!$AQ$15,LOOKUP(O211,예상등급!$AQ$19:$AQ$27,예상등급!$AR$19:$AR$27),"")))))))))))))))))</f>
        <v>5</v>
      </c>
      <c r="Q211" s="110" t="s">
        <v>762</v>
      </c>
      <c r="R211" s="71">
        <v>10</v>
      </c>
      <c r="S211" s="385">
        <f>IF(Q211=예상등급!$G$1,LOOKUP(R211,예상등급!$G$5:$G$13,예상등급!$H$5:$H$13),IF(Q211=예상등급!$J$1,LOOKUP(R211,예상등급!$J$5:$J$13,예상등급!$K$5:$K$13),IF(Q211=예상등급!$M$1,LOOKUP(R211,예상등급!$M$5:$M$13,예상등급!$N$5:$N$13),IF(Q211=예상등급!$P$1,LOOKUP(R211,예상등급!$P$5:$P$13,예상등급!$Q$5:$Q$13),IF(Q211=예상등급!$S$1,LOOKUP(R211,예상등급!$S$5:$S$13,예상등급!$T$5:$T$13),IF(Q211=예상등급!$V$1,LOOKUP(R211,예상등급!$V$5:$V$13,예상등급!$W$5:$W$13),IF(Q211=예상등급!$Y$1,LOOKUP(R211,예상등급!$Y$5:$Y$13,예상등급!$Z$5:$Z$13),IF(Q211=예상등급!$AB$1,LOOKUP(R211,예상등급!$AB$5:$AB$13,예상등급!$AC$5:$AC$13),IF(Q211=예상등급!$AE$1,LOOKUP(R211,예상등급!$AE$5:$AE$13,예상등급!$AF$5:$AF$13),IF(Q211=예상등급!$AH$1,LOOKUP(R211,예상등급!$AH$5:$AH$13,예상등급!$AI$5:$AI$13),IF(Q211=예상등급!$AK$1,LOOKUP(R211,예상등급!$AK$5:$AK$13,예상등급!$AL$5:$AL$13),IF(Q211=예상등급!$AN$1,LOOKUP(R211,예상등급!$AN$5:$AN$13,예상등급!$AO$5:$AO$13),IF(Q211=예상등급!$AQ$1,LOOKUP(R211,예상등급!$AQ$5:$AQ$13,예상등급!$AR$5:$AR$13),IF(Q211=예상등급!$AH$15,LOOKUP(R211,예상등급!$AH$19:$AH$27,예상등급!$AI$19:$AI$27),IF(Q211=예상등급!$AK$15,LOOKUP(R211,예상등급!$AK$19:$AK$27,예상등급!$AL$19:$AL$27),IF(Q211=예상등급!$AN$15,LOOKUP(R211,예상등급!$AN$19:$AN$27,예상등급!$AO$19:$AO$27),IF(Q211=예상등급!$AQ$15,LOOKUP(R211,예상등급!$AQ$19:$AQ$27,예상등급!$AR$19:$AR$27),"")))))))))))))))))</f>
        <v>7</v>
      </c>
      <c r="T211" s="110">
        <v>13</v>
      </c>
      <c r="U211" s="382">
        <f>IF(T211="","",LOOKUP(T211,예상등급!$D$19:$D$27,예상등급!$E$19:$E$27))</f>
        <v>7</v>
      </c>
      <c r="V211" s="402">
        <f>SUM(L211,T211,R211,O211)</f>
        <v>135</v>
      </c>
      <c r="W211" s="278">
        <f>RANK(V211,$V$4:$V$491)</f>
        <v>208</v>
      </c>
    </row>
    <row r="212" spans="1:26" ht="24.95" customHeight="1" x14ac:dyDescent="0.15">
      <c r="A212" s="110">
        <v>5</v>
      </c>
      <c r="B212" s="71">
        <v>12</v>
      </c>
      <c r="C212" s="100" t="s">
        <v>883</v>
      </c>
      <c r="D212" s="110" t="s">
        <v>779</v>
      </c>
      <c r="E212" s="71">
        <v>28</v>
      </c>
      <c r="F212" s="382">
        <f>IF(D212=예상등급!$A$1,LOOKUP(E212,예상등급!$A$5:$A$13,예상등급!$B$5:$B$13),IF(D212=예상등급!$A$15,LOOKUP(E212,예상등급!$A$19:$A$27,예상등급!$B$19:$B$27),""))</f>
        <v>7</v>
      </c>
      <c r="G212" s="110" t="s">
        <v>781</v>
      </c>
      <c r="H212" s="71">
        <v>41</v>
      </c>
      <c r="I212" s="382">
        <f>IF(G212=예상등급!$G$15,LOOKUP(H212,예상등급!$G$19:$G$27,예상등급!$H$19:$H$27),IF(G212=예상등급!$J$15,LOOKUP(H212,예상등급!$J$19:$J$27,예상등급!$K$19:$K$27),IF(G212=예상등급!$M$15,LOOKUP(H212,예상등급!$M$19:$M$27,예상등급!$N$19:$N$27),"")))</f>
        <v>5</v>
      </c>
      <c r="J212" s="110">
        <v>27</v>
      </c>
      <c r="K212" s="382">
        <f>IF(J212="","",(LOOKUP(J212,예상등급!$D$5:$D$13,예상등급!$E$5:$E$13)))</f>
        <v>8</v>
      </c>
      <c r="L212" s="301">
        <f>SUM(E212,H212,J212)</f>
        <v>96</v>
      </c>
      <c r="M212" s="398">
        <f>RANK(L212,$L$4:$L$491)</f>
        <v>197</v>
      </c>
      <c r="N212" s="110" t="s">
        <v>762</v>
      </c>
      <c r="O212" s="71">
        <v>17</v>
      </c>
      <c r="P212" s="385">
        <f>IF(N212=예상등급!$G$1,LOOKUP(O212,예상등급!$G$5:$G$13,예상등급!$H$5:$H$13),IF(N212=예상등급!$J$1,LOOKUP(O212,예상등급!$J$5:$J$13,예상등급!$K$5:$K$13),IF(N212=예상등급!$M$1,LOOKUP(O212,예상등급!$M$5:$M$13,예상등급!$N$5:$N$13),IF(N212=예상등급!$P$1,LOOKUP(O212,예상등급!$P$5:$P$13,예상등급!$Q$5:$Q$13),IF(N212=예상등급!$S$1,LOOKUP(O212,예상등급!$S$5:$S$13,예상등급!$T$5:$T$13),IF(N212=예상등급!$V$1,LOOKUP(O212,예상등급!$V$5:$V$13,예상등급!$W$5:$W$13),IF(N212=예상등급!$Y$1,LOOKUP(O212,예상등급!$Y$5:$Y$13,예상등급!$Z$5:$Z$13),IF(N212=예상등급!$AB$1,LOOKUP(O212,예상등급!$AB$5:$AB$13,예상등급!$AC$5:$AC$13),IF(N212=예상등급!$AE$1,LOOKUP(O212,예상등급!$AE$5:$AE$13,예상등급!$AF$5:$AF$13),IF(N212=예상등급!$AH$1,LOOKUP(O212,예상등급!$AH$5:$AH$13,예상등급!$AI$5:$AI$13),IF(N212=예상등급!$AK$1,LOOKUP(O212,예상등급!$AK$5:$AK$13,예상등급!$AL$5:$AL$13),IF(N212=예상등급!$AN$1,LOOKUP(O212,예상등급!$AN$5:$AN$13,예상등급!$AO$5:$AO$13),IF(N212=예상등급!$AQ$1,LOOKUP(O212,예상등급!$AQ$5:$AQ$13,예상등급!$AR$5:$AR$13),IF(N212=예상등급!$AH$15,LOOKUP(O212,예상등급!$AH$19:$AH$27,예상등급!$AI$19:$AI$27),IF(N212=예상등급!$AK$15,LOOKUP(O212,예상등급!$AK$19:$AK$27,예상등급!$AL$19:$AL$27),IF(N212=예상등급!$AN$15,LOOKUP(O212,예상등급!$AN$19:$AN$27,예상등급!$AO$19:$AO$27),IF(N212=예상등급!$AQ$15,LOOKUP(O212,예상등급!$AQ$19:$AQ$27,예상등급!$AR$19:$AR$27),"")))))))))))))))))</f>
        <v>6</v>
      </c>
      <c r="Q212" s="110" t="s">
        <v>771</v>
      </c>
      <c r="R212" s="71">
        <v>17</v>
      </c>
      <c r="S212" s="385">
        <f>IF(Q212=예상등급!$G$1,LOOKUP(R212,예상등급!$G$5:$G$13,예상등급!$H$5:$H$13),IF(Q212=예상등급!$J$1,LOOKUP(R212,예상등급!$J$5:$J$13,예상등급!$K$5:$K$13),IF(Q212=예상등급!$M$1,LOOKUP(R212,예상등급!$M$5:$M$13,예상등급!$N$5:$N$13),IF(Q212=예상등급!$P$1,LOOKUP(R212,예상등급!$P$5:$P$13,예상등급!$Q$5:$Q$13),IF(Q212=예상등급!$S$1,LOOKUP(R212,예상등급!$S$5:$S$13,예상등급!$T$5:$T$13),IF(Q212=예상등급!$V$1,LOOKUP(R212,예상등급!$V$5:$V$13,예상등급!$W$5:$W$13),IF(Q212=예상등급!$Y$1,LOOKUP(R212,예상등급!$Y$5:$Y$13,예상등급!$Z$5:$Z$13),IF(Q212=예상등급!$AB$1,LOOKUP(R212,예상등급!$AB$5:$AB$13,예상등급!$AC$5:$AC$13),IF(Q212=예상등급!$AE$1,LOOKUP(R212,예상등급!$AE$5:$AE$13,예상등급!$AF$5:$AF$13),IF(Q212=예상등급!$AH$1,LOOKUP(R212,예상등급!$AH$5:$AH$13,예상등급!$AI$5:$AI$13),IF(Q212=예상등급!$AK$1,LOOKUP(R212,예상등급!$AK$5:$AK$13,예상등급!$AL$5:$AL$13),IF(Q212=예상등급!$AN$1,LOOKUP(R212,예상등급!$AN$5:$AN$13,예상등급!$AO$5:$AO$13),IF(Q212=예상등급!$AQ$1,LOOKUP(R212,예상등급!$AQ$5:$AQ$13,예상등급!$AR$5:$AR$13),IF(Q212=예상등급!$AH$15,LOOKUP(R212,예상등급!$AH$19:$AH$27,예상등급!$AI$19:$AI$27),IF(Q212=예상등급!$AK$15,LOOKUP(R212,예상등급!$AK$19:$AK$27,예상등급!$AL$19:$AL$27),IF(Q212=예상등급!$AN$15,LOOKUP(R212,예상등급!$AN$19:$AN$27,예상등급!$AO$19:$AO$27),IF(Q212=예상등급!$AQ$15,LOOKUP(R212,예상등급!$AQ$19:$AQ$27,예상등급!$AR$19:$AR$27),"")))))))))))))))))</f>
        <v>5</v>
      </c>
      <c r="T212" s="110">
        <v>4</v>
      </c>
      <c r="U212" s="382">
        <f>IF(T212="","",LOOKUP(T212,예상등급!$D$19:$D$27,예상등급!$E$19:$E$27))</f>
        <v>9</v>
      </c>
      <c r="V212" s="402">
        <f>SUM(L212,T212,R212,O212)</f>
        <v>134</v>
      </c>
      <c r="W212" s="278">
        <f>RANK(V212,$V$4:$V$491)</f>
        <v>209</v>
      </c>
      <c r="Y212" s="149"/>
      <c r="Z212" s="149"/>
    </row>
    <row r="213" spans="1:26" ht="24.95" customHeight="1" x14ac:dyDescent="0.15">
      <c r="A213" s="110">
        <v>8</v>
      </c>
      <c r="B213" s="71">
        <v>16</v>
      </c>
      <c r="C213" s="100" t="s">
        <v>950</v>
      </c>
      <c r="D213" s="110" t="s">
        <v>779</v>
      </c>
      <c r="E213" s="71">
        <v>36</v>
      </c>
      <c r="F213" s="382">
        <f>IF(D213=예상등급!$A$1,LOOKUP(E213,예상등급!$A$5:$A$13,예상등급!$B$5:$B$13),IF(D213=예상등급!$A$15,LOOKUP(E213,예상등급!$A$19:$A$27,예상등급!$B$19:$B$27),""))</f>
        <v>6</v>
      </c>
      <c r="G213" s="110" t="s">
        <v>780</v>
      </c>
      <c r="H213" s="71">
        <v>3</v>
      </c>
      <c r="I213" s="382">
        <f>IF(G213=예상등급!$G$15,LOOKUP(H213,예상등급!$G$19:$G$27,예상등급!$H$19:$H$27),IF(G213=예상등급!$J$15,LOOKUP(H213,예상등급!$J$19:$J$27,예상등급!$K$19:$K$27),IF(G213=예상등급!$M$15,LOOKUP(H213,예상등급!$M$19:$M$27,예상등급!$N$19:$N$27),"")))</f>
        <v>9</v>
      </c>
      <c r="J213" s="110">
        <v>52</v>
      </c>
      <c r="K213" s="382">
        <f>IF(J213="","",(LOOKUP(J213,예상등급!$D$5:$D$13,예상등급!$E$5:$E$13)))</f>
        <v>5</v>
      </c>
      <c r="L213" s="301">
        <f>SUM(E213,H213,J213)</f>
        <v>91</v>
      </c>
      <c r="M213" s="398">
        <f>RANK(L213,$L$4:$L$491)</f>
        <v>212</v>
      </c>
      <c r="N213" s="110" t="s">
        <v>761</v>
      </c>
      <c r="O213" s="71">
        <v>12</v>
      </c>
      <c r="P213" s="385">
        <f>IF(N213=예상등급!$G$1,LOOKUP(O213,예상등급!$G$5:$G$13,예상등급!$H$5:$H$13),IF(N213=예상등급!$J$1,LOOKUP(O213,예상등급!$J$5:$J$13,예상등급!$K$5:$K$13),IF(N213=예상등급!$M$1,LOOKUP(O213,예상등급!$M$5:$M$13,예상등급!$N$5:$N$13),IF(N213=예상등급!$P$1,LOOKUP(O213,예상등급!$P$5:$P$13,예상등급!$Q$5:$Q$13),IF(N213=예상등급!$S$1,LOOKUP(O213,예상등급!$S$5:$S$13,예상등급!$T$5:$T$13),IF(N213=예상등급!$V$1,LOOKUP(O213,예상등급!$V$5:$V$13,예상등급!$W$5:$W$13),IF(N213=예상등급!$Y$1,LOOKUP(O213,예상등급!$Y$5:$Y$13,예상등급!$Z$5:$Z$13),IF(N213=예상등급!$AB$1,LOOKUP(O213,예상등급!$AB$5:$AB$13,예상등급!$AC$5:$AC$13),IF(N213=예상등급!$AE$1,LOOKUP(O213,예상등급!$AE$5:$AE$13,예상등급!$AF$5:$AF$13),IF(N213=예상등급!$AH$1,LOOKUP(O213,예상등급!$AH$5:$AH$13,예상등급!$AI$5:$AI$13),IF(N213=예상등급!$AK$1,LOOKUP(O213,예상등급!$AK$5:$AK$13,예상등급!$AL$5:$AL$13),IF(N213=예상등급!$AN$1,LOOKUP(O213,예상등급!$AN$5:$AN$13,예상등급!$AO$5:$AO$13),IF(N213=예상등급!$AQ$1,LOOKUP(O213,예상등급!$AQ$5:$AQ$13,예상등급!$AR$5:$AR$13),IF(N213=예상등급!$AH$15,LOOKUP(O213,예상등급!$AH$19:$AH$27,예상등급!$AI$19:$AI$27),IF(N213=예상등급!$AK$15,LOOKUP(O213,예상등급!$AK$19:$AK$27,예상등급!$AL$19:$AL$27),IF(N213=예상등급!$AN$15,LOOKUP(O213,예상등급!$AN$19:$AN$27,예상등급!$AO$19:$AO$27),IF(N213=예상등급!$AQ$15,LOOKUP(O213,예상등급!$AQ$19:$AQ$27,예상등급!$AR$19:$AR$27),"")))))))))))))))))</f>
        <v>7</v>
      </c>
      <c r="Q213" s="110" t="s">
        <v>762</v>
      </c>
      <c r="R213" s="71">
        <v>19</v>
      </c>
      <c r="S213" s="385">
        <f>IF(Q213=예상등급!$G$1,LOOKUP(R213,예상등급!$G$5:$G$13,예상등급!$H$5:$H$13),IF(Q213=예상등급!$J$1,LOOKUP(R213,예상등급!$J$5:$J$13,예상등급!$K$5:$K$13),IF(Q213=예상등급!$M$1,LOOKUP(R213,예상등급!$M$5:$M$13,예상등급!$N$5:$N$13),IF(Q213=예상등급!$P$1,LOOKUP(R213,예상등급!$P$5:$P$13,예상등급!$Q$5:$Q$13),IF(Q213=예상등급!$S$1,LOOKUP(R213,예상등급!$S$5:$S$13,예상등급!$T$5:$T$13),IF(Q213=예상등급!$V$1,LOOKUP(R213,예상등급!$V$5:$V$13,예상등급!$W$5:$W$13),IF(Q213=예상등급!$Y$1,LOOKUP(R213,예상등급!$Y$5:$Y$13,예상등급!$Z$5:$Z$13),IF(Q213=예상등급!$AB$1,LOOKUP(R213,예상등급!$AB$5:$AB$13,예상등급!$AC$5:$AC$13),IF(Q213=예상등급!$AE$1,LOOKUP(R213,예상등급!$AE$5:$AE$13,예상등급!$AF$5:$AF$13),IF(Q213=예상등급!$AH$1,LOOKUP(R213,예상등급!$AH$5:$AH$13,예상등급!$AI$5:$AI$13),IF(Q213=예상등급!$AK$1,LOOKUP(R213,예상등급!$AK$5:$AK$13,예상등급!$AL$5:$AL$13),IF(Q213=예상등급!$AN$1,LOOKUP(R213,예상등급!$AN$5:$AN$13,예상등급!$AO$5:$AO$13),IF(Q213=예상등급!$AQ$1,LOOKUP(R213,예상등급!$AQ$5:$AQ$13,예상등급!$AR$5:$AR$13),IF(Q213=예상등급!$AH$15,LOOKUP(R213,예상등급!$AH$19:$AH$27,예상등급!$AI$19:$AI$27),IF(Q213=예상등급!$AK$15,LOOKUP(R213,예상등급!$AK$19:$AK$27,예상등급!$AL$19:$AL$27),IF(Q213=예상등급!$AN$15,LOOKUP(R213,예상등급!$AN$19:$AN$27,예상등급!$AO$19:$AO$27),IF(Q213=예상등급!$AQ$15,LOOKUP(R213,예상등급!$AQ$19:$AQ$27,예상등급!$AR$19:$AR$27),"")))))))))))))))))</f>
        <v>5</v>
      </c>
      <c r="T213" s="110">
        <v>10</v>
      </c>
      <c r="U213" s="382">
        <f>IF(T213="","",LOOKUP(T213,예상등급!$D$19:$D$27,예상등급!$E$19:$E$27))</f>
        <v>7</v>
      </c>
      <c r="V213" s="402">
        <f>SUM(L213,T213,R213,O213)</f>
        <v>132</v>
      </c>
      <c r="W213" s="278">
        <f>RANK(V213,$V$4:$V$491)</f>
        <v>210</v>
      </c>
    </row>
    <row r="214" spans="1:26" ht="24.95" customHeight="1" x14ac:dyDescent="0.15">
      <c r="A214" s="110">
        <v>1</v>
      </c>
      <c r="B214" s="71">
        <v>15</v>
      </c>
      <c r="C214" s="100" t="s">
        <v>811</v>
      </c>
      <c r="D214" s="110" t="s">
        <v>779</v>
      </c>
      <c r="E214" s="71">
        <v>31</v>
      </c>
      <c r="F214" s="382">
        <f>IF(D214=예상등급!$A$1,LOOKUP(E214,예상등급!$A$5:$A$13,예상등급!$B$5:$B$13),IF(D214=예상등급!$A$15,LOOKUP(E214,예상등급!$A$19:$A$27,예상등급!$B$19:$B$27),""))</f>
        <v>6</v>
      </c>
      <c r="G214" s="110" t="s">
        <v>780</v>
      </c>
      <c r="H214" s="71">
        <v>13</v>
      </c>
      <c r="I214" s="382">
        <f>IF(G214=예상등급!$G$15,LOOKUP(H214,예상등급!$G$19:$G$27,예상등급!$H$19:$H$27),IF(G214=예상등급!$J$15,LOOKUP(H214,예상등급!$J$19:$J$27,예상등급!$K$19:$K$27),IF(G214=예상등급!$M$15,LOOKUP(H214,예상등급!$M$19:$M$27,예상등급!$N$19:$N$27),"")))</f>
        <v>9</v>
      </c>
      <c r="J214" s="110">
        <v>51</v>
      </c>
      <c r="K214" s="382">
        <f>IF(J214="","",(LOOKUP(J214,예상등급!$D$5:$D$13,예상등급!$E$5:$E$13)))</f>
        <v>5</v>
      </c>
      <c r="L214" s="301">
        <f>SUM(E214,H214,J214)</f>
        <v>95</v>
      </c>
      <c r="M214" s="398">
        <f>RANK(L214,$L$4:$L$491)</f>
        <v>200</v>
      </c>
      <c r="N214" s="110" t="s">
        <v>761</v>
      </c>
      <c r="O214" s="71">
        <v>13</v>
      </c>
      <c r="P214" s="385">
        <f>IF(N214=예상등급!$G$1,LOOKUP(O214,예상등급!$G$5:$G$13,예상등급!$H$5:$H$13),IF(N214=예상등급!$J$1,LOOKUP(O214,예상등급!$J$5:$J$13,예상등급!$K$5:$K$13),IF(N214=예상등급!$M$1,LOOKUP(O214,예상등급!$M$5:$M$13,예상등급!$N$5:$N$13),IF(N214=예상등급!$P$1,LOOKUP(O214,예상등급!$P$5:$P$13,예상등급!$Q$5:$Q$13),IF(N214=예상등급!$S$1,LOOKUP(O214,예상등급!$S$5:$S$13,예상등급!$T$5:$T$13),IF(N214=예상등급!$V$1,LOOKUP(O214,예상등급!$V$5:$V$13,예상등급!$W$5:$W$13),IF(N214=예상등급!$Y$1,LOOKUP(O214,예상등급!$Y$5:$Y$13,예상등급!$Z$5:$Z$13),IF(N214=예상등급!$AB$1,LOOKUP(O214,예상등급!$AB$5:$AB$13,예상등급!$AC$5:$AC$13),IF(N214=예상등급!$AE$1,LOOKUP(O214,예상등급!$AE$5:$AE$13,예상등급!$AF$5:$AF$13),IF(N214=예상등급!$AH$1,LOOKUP(O214,예상등급!$AH$5:$AH$13,예상등급!$AI$5:$AI$13),IF(N214=예상등급!$AK$1,LOOKUP(O214,예상등급!$AK$5:$AK$13,예상등급!$AL$5:$AL$13),IF(N214=예상등급!$AN$1,LOOKUP(O214,예상등급!$AN$5:$AN$13,예상등급!$AO$5:$AO$13),IF(N214=예상등급!$AQ$1,LOOKUP(O214,예상등급!$AQ$5:$AQ$13,예상등급!$AR$5:$AR$13),IF(N214=예상등급!$AH$15,LOOKUP(O214,예상등급!$AH$19:$AH$27,예상등급!$AI$19:$AI$27),IF(N214=예상등급!$AK$15,LOOKUP(O214,예상등급!$AK$19:$AK$27,예상등급!$AL$19:$AL$27),IF(N214=예상등급!$AN$15,LOOKUP(O214,예상등급!$AN$19:$AN$27,예상등급!$AO$19:$AO$27),IF(N214=예상등급!$AQ$15,LOOKUP(O214,예상등급!$AQ$19:$AQ$27,예상등급!$AR$19:$AR$27),"")))))))))))))))))</f>
        <v>6</v>
      </c>
      <c r="Q214" s="110" t="s">
        <v>762</v>
      </c>
      <c r="R214" s="71">
        <v>9</v>
      </c>
      <c r="S214" s="385">
        <f>IF(Q214=예상등급!$G$1,LOOKUP(R214,예상등급!$G$5:$G$13,예상등급!$H$5:$H$13),IF(Q214=예상등급!$J$1,LOOKUP(R214,예상등급!$J$5:$J$13,예상등급!$K$5:$K$13),IF(Q214=예상등급!$M$1,LOOKUP(R214,예상등급!$M$5:$M$13,예상등급!$N$5:$N$13),IF(Q214=예상등급!$P$1,LOOKUP(R214,예상등급!$P$5:$P$13,예상등급!$Q$5:$Q$13),IF(Q214=예상등급!$S$1,LOOKUP(R214,예상등급!$S$5:$S$13,예상등급!$T$5:$T$13),IF(Q214=예상등급!$V$1,LOOKUP(R214,예상등급!$V$5:$V$13,예상등급!$W$5:$W$13),IF(Q214=예상등급!$Y$1,LOOKUP(R214,예상등급!$Y$5:$Y$13,예상등급!$Z$5:$Z$13),IF(Q214=예상등급!$AB$1,LOOKUP(R214,예상등급!$AB$5:$AB$13,예상등급!$AC$5:$AC$13),IF(Q214=예상등급!$AE$1,LOOKUP(R214,예상등급!$AE$5:$AE$13,예상등급!$AF$5:$AF$13),IF(Q214=예상등급!$AH$1,LOOKUP(R214,예상등급!$AH$5:$AH$13,예상등급!$AI$5:$AI$13),IF(Q214=예상등급!$AK$1,LOOKUP(R214,예상등급!$AK$5:$AK$13,예상등급!$AL$5:$AL$13),IF(Q214=예상등급!$AN$1,LOOKUP(R214,예상등급!$AN$5:$AN$13,예상등급!$AO$5:$AO$13),IF(Q214=예상등급!$AQ$1,LOOKUP(R214,예상등급!$AQ$5:$AQ$13,예상등급!$AR$5:$AR$13),IF(Q214=예상등급!$AH$15,LOOKUP(R214,예상등급!$AH$19:$AH$27,예상등급!$AI$19:$AI$27),IF(Q214=예상등급!$AK$15,LOOKUP(R214,예상등급!$AK$19:$AK$27,예상등급!$AL$19:$AL$27),IF(Q214=예상등급!$AN$15,LOOKUP(R214,예상등급!$AN$19:$AN$27,예상등급!$AO$19:$AO$27),IF(Q214=예상등급!$AQ$15,LOOKUP(R214,예상등급!$AQ$19:$AQ$27,예상등급!$AR$19:$AR$27),"")))))))))))))))))</f>
        <v>7</v>
      </c>
      <c r="T214" s="110">
        <v>9</v>
      </c>
      <c r="U214" s="382">
        <f>IF(T214="","",LOOKUP(T214,예상등급!$D$19:$D$27,예상등급!$E$19:$E$27))</f>
        <v>8</v>
      </c>
      <c r="V214" s="402">
        <f>SUM(L214,T214,R214,O214)</f>
        <v>126</v>
      </c>
      <c r="W214" s="278">
        <f>RANK(V214,$V$4:$V$491)</f>
        <v>211</v>
      </c>
    </row>
    <row r="215" spans="1:26" ht="24.95" customHeight="1" x14ac:dyDescent="0.15">
      <c r="A215" s="110">
        <v>8</v>
      </c>
      <c r="B215" s="71">
        <v>3</v>
      </c>
      <c r="C215" s="100" t="s">
        <v>941</v>
      </c>
      <c r="D215" s="110" t="s">
        <v>779</v>
      </c>
      <c r="E215" s="71">
        <v>25</v>
      </c>
      <c r="F215" s="382">
        <f>IF(D215=예상등급!$A$1,LOOKUP(E215,예상등급!$A$5:$A$13,예상등급!$B$5:$B$13),IF(D215=예상등급!$A$15,LOOKUP(E215,예상등급!$A$19:$A$27,예상등급!$B$19:$B$27),""))</f>
        <v>7</v>
      </c>
      <c r="G215" s="110" t="s">
        <v>780</v>
      </c>
      <c r="H215" s="71">
        <v>13</v>
      </c>
      <c r="I215" s="382">
        <f>IF(G215=예상등급!$G$15,LOOKUP(H215,예상등급!$G$19:$G$27,예상등급!$H$19:$H$27),IF(G215=예상등급!$J$15,LOOKUP(H215,예상등급!$J$19:$J$27,예상등급!$K$19:$K$27),IF(G215=예상등급!$M$15,LOOKUP(H215,예상등급!$M$19:$M$27,예상등급!$N$19:$N$27),"")))</f>
        <v>9</v>
      </c>
      <c r="J215" s="110">
        <v>34</v>
      </c>
      <c r="K215" s="382">
        <f>IF(J215="","",(LOOKUP(J215,예상등급!$D$5:$D$13,예상등급!$E$5:$E$13)))</f>
        <v>7</v>
      </c>
      <c r="L215" s="301">
        <f>SUM(E215,H215,J215)</f>
        <v>72</v>
      </c>
      <c r="M215" s="398">
        <f>RANK(L215,$L$4:$L$491)</f>
        <v>220</v>
      </c>
      <c r="N215" s="110" t="s">
        <v>761</v>
      </c>
      <c r="O215" s="71">
        <v>13</v>
      </c>
      <c r="P215" s="385">
        <f>IF(N215=예상등급!$G$1,LOOKUP(O215,예상등급!$G$5:$G$13,예상등급!$H$5:$H$13),IF(N215=예상등급!$J$1,LOOKUP(O215,예상등급!$J$5:$J$13,예상등급!$K$5:$K$13),IF(N215=예상등급!$M$1,LOOKUP(O215,예상등급!$M$5:$M$13,예상등급!$N$5:$N$13),IF(N215=예상등급!$P$1,LOOKUP(O215,예상등급!$P$5:$P$13,예상등급!$Q$5:$Q$13),IF(N215=예상등급!$S$1,LOOKUP(O215,예상등급!$S$5:$S$13,예상등급!$T$5:$T$13),IF(N215=예상등급!$V$1,LOOKUP(O215,예상등급!$V$5:$V$13,예상등급!$W$5:$W$13),IF(N215=예상등급!$Y$1,LOOKUP(O215,예상등급!$Y$5:$Y$13,예상등급!$Z$5:$Z$13),IF(N215=예상등급!$AB$1,LOOKUP(O215,예상등급!$AB$5:$AB$13,예상등급!$AC$5:$AC$13),IF(N215=예상등급!$AE$1,LOOKUP(O215,예상등급!$AE$5:$AE$13,예상등급!$AF$5:$AF$13),IF(N215=예상등급!$AH$1,LOOKUP(O215,예상등급!$AH$5:$AH$13,예상등급!$AI$5:$AI$13),IF(N215=예상등급!$AK$1,LOOKUP(O215,예상등급!$AK$5:$AK$13,예상등급!$AL$5:$AL$13),IF(N215=예상등급!$AN$1,LOOKUP(O215,예상등급!$AN$5:$AN$13,예상등급!$AO$5:$AO$13),IF(N215=예상등급!$AQ$1,LOOKUP(O215,예상등급!$AQ$5:$AQ$13,예상등급!$AR$5:$AR$13),IF(N215=예상등급!$AH$15,LOOKUP(O215,예상등급!$AH$19:$AH$27,예상등급!$AI$19:$AI$27),IF(N215=예상등급!$AK$15,LOOKUP(O215,예상등급!$AK$19:$AK$27,예상등급!$AL$19:$AL$27),IF(N215=예상등급!$AN$15,LOOKUP(O215,예상등급!$AN$19:$AN$27,예상등급!$AO$19:$AO$27),IF(N215=예상등급!$AQ$15,LOOKUP(O215,예상등급!$AQ$19:$AQ$27,예상등급!$AR$19:$AR$27),"")))))))))))))))))</f>
        <v>6</v>
      </c>
      <c r="Q215" s="110" t="s">
        <v>762</v>
      </c>
      <c r="R215" s="71">
        <v>22</v>
      </c>
      <c r="S215" s="385">
        <f>IF(Q215=예상등급!$G$1,LOOKUP(R215,예상등급!$G$5:$G$13,예상등급!$H$5:$H$13),IF(Q215=예상등급!$J$1,LOOKUP(R215,예상등급!$J$5:$J$13,예상등급!$K$5:$K$13),IF(Q215=예상등급!$M$1,LOOKUP(R215,예상등급!$M$5:$M$13,예상등급!$N$5:$N$13),IF(Q215=예상등급!$P$1,LOOKUP(R215,예상등급!$P$5:$P$13,예상등급!$Q$5:$Q$13),IF(Q215=예상등급!$S$1,LOOKUP(R215,예상등급!$S$5:$S$13,예상등급!$T$5:$T$13),IF(Q215=예상등급!$V$1,LOOKUP(R215,예상등급!$V$5:$V$13,예상등급!$W$5:$W$13),IF(Q215=예상등급!$Y$1,LOOKUP(R215,예상등급!$Y$5:$Y$13,예상등급!$Z$5:$Z$13),IF(Q215=예상등급!$AB$1,LOOKUP(R215,예상등급!$AB$5:$AB$13,예상등급!$AC$5:$AC$13),IF(Q215=예상등급!$AE$1,LOOKUP(R215,예상등급!$AE$5:$AE$13,예상등급!$AF$5:$AF$13),IF(Q215=예상등급!$AH$1,LOOKUP(R215,예상등급!$AH$5:$AH$13,예상등급!$AI$5:$AI$13),IF(Q215=예상등급!$AK$1,LOOKUP(R215,예상등급!$AK$5:$AK$13,예상등급!$AL$5:$AL$13),IF(Q215=예상등급!$AN$1,LOOKUP(R215,예상등급!$AN$5:$AN$13,예상등급!$AO$5:$AO$13),IF(Q215=예상등급!$AQ$1,LOOKUP(R215,예상등급!$AQ$5:$AQ$13,예상등급!$AR$5:$AR$13),IF(Q215=예상등급!$AH$15,LOOKUP(R215,예상등급!$AH$19:$AH$27,예상등급!$AI$19:$AI$27),IF(Q215=예상등급!$AK$15,LOOKUP(R215,예상등급!$AK$19:$AK$27,예상등급!$AL$19:$AL$27),IF(Q215=예상등급!$AN$15,LOOKUP(R215,예상등급!$AN$19:$AN$27,예상등급!$AO$19:$AO$27),IF(Q215=예상등급!$AQ$15,LOOKUP(R215,예상등급!$AQ$19:$AQ$27,예상등급!$AR$19:$AR$27),"")))))))))))))))))</f>
        <v>5</v>
      </c>
      <c r="T215" s="110">
        <v>17</v>
      </c>
      <c r="U215" s="382">
        <f>IF(T215="","",LOOKUP(T215,예상등급!$D$19:$D$27,예상등급!$E$19:$E$27))</f>
        <v>6</v>
      </c>
      <c r="V215" s="402">
        <f>SUM(L215,T215,R215,O215)</f>
        <v>124</v>
      </c>
      <c r="W215" s="278">
        <f>RANK(V215,$V$4:$V$491)</f>
        <v>212</v>
      </c>
    </row>
    <row r="216" spans="1:26" ht="24.95" customHeight="1" x14ac:dyDescent="0.15">
      <c r="A216" s="110">
        <v>6</v>
      </c>
      <c r="B216" s="71">
        <v>11</v>
      </c>
      <c r="C216" s="100" t="s">
        <v>903</v>
      </c>
      <c r="D216" s="110" t="s">
        <v>779</v>
      </c>
      <c r="E216" s="71">
        <v>25</v>
      </c>
      <c r="F216" s="382">
        <f>IF(D216=예상등급!$A$1,LOOKUP(E216,예상등급!$A$5:$A$13,예상등급!$B$5:$B$13),IF(D216=예상등급!$A$15,LOOKUP(E216,예상등급!$A$19:$A$27,예상등급!$B$19:$B$27),""))</f>
        <v>7</v>
      </c>
      <c r="G216" s="110" t="s">
        <v>780</v>
      </c>
      <c r="H216" s="71">
        <v>12</v>
      </c>
      <c r="I216" s="382">
        <f>IF(G216=예상등급!$G$15,LOOKUP(H216,예상등급!$G$19:$G$27,예상등급!$H$19:$H$27),IF(G216=예상등급!$J$15,LOOKUP(H216,예상등급!$J$19:$J$27,예상등급!$K$19:$K$27),IF(G216=예상등급!$M$15,LOOKUP(H216,예상등급!$M$19:$M$27,예상등급!$N$19:$N$27),"")))</f>
        <v>9</v>
      </c>
      <c r="J216" s="110">
        <v>46</v>
      </c>
      <c r="K216" s="382">
        <f>IF(J216="","",(LOOKUP(J216,예상등급!$D$5:$D$13,예상등급!$E$5:$E$13)))</f>
        <v>6</v>
      </c>
      <c r="L216" s="301">
        <f>SUM(E216,H216,J216)</f>
        <v>83</v>
      </c>
      <c r="M216" s="398">
        <f>RANK(L216,$L$4:$L$491)</f>
        <v>217</v>
      </c>
      <c r="N216" s="110" t="s">
        <v>765</v>
      </c>
      <c r="O216" s="71">
        <v>17</v>
      </c>
      <c r="P216" s="385">
        <f>IF(N216=예상등급!$G$1,LOOKUP(O216,예상등급!$G$5:$G$13,예상등급!$H$5:$H$13),IF(N216=예상등급!$J$1,LOOKUP(O216,예상등급!$J$5:$J$13,예상등급!$K$5:$K$13),IF(N216=예상등급!$M$1,LOOKUP(O216,예상등급!$M$5:$M$13,예상등급!$N$5:$N$13),IF(N216=예상등급!$P$1,LOOKUP(O216,예상등급!$P$5:$P$13,예상등급!$Q$5:$Q$13),IF(N216=예상등급!$S$1,LOOKUP(O216,예상등급!$S$5:$S$13,예상등급!$T$5:$T$13),IF(N216=예상등급!$V$1,LOOKUP(O216,예상등급!$V$5:$V$13,예상등급!$W$5:$W$13),IF(N216=예상등급!$Y$1,LOOKUP(O216,예상등급!$Y$5:$Y$13,예상등급!$Z$5:$Z$13),IF(N216=예상등급!$AB$1,LOOKUP(O216,예상등급!$AB$5:$AB$13,예상등급!$AC$5:$AC$13),IF(N216=예상등급!$AE$1,LOOKUP(O216,예상등급!$AE$5:$AE$13,예상등급!$AF$5:$AF$13),IF(N216=예상등급!$AH$1,LOOKUP(O216,예상등급!$AH$5:$AH$13,예상등급!$AI$5:$AI$13),IF(N216=예상등급!$AK$1,LOOKUP(O216,예상등급!$AK$5:$AK$13,예상등급!$AL$5:$AL$13),IF(N216=예상등급!$AN$1,LOOKUP(O216,예상등급!$AN$5:$AN$13,예상등급!$AO$5:$AO$13),IF(N216=예상등급!$AQ$1,LOOKUP(O216,예상등급!$AQ$5:$AQ$13,예상등급!$AR$5:$AR$13),IF(N216=예상등급!$AH$15,LOOKUP(O216,예상등급!$AH$19:$AH$27,예상등급!$AI$19:$AI$27),IF(N216=예상등급!$AK$15,LOOKUP(O216,예상등급!$AK$19:$AK$27,예상등급!$AL$19:$AL$27),IF(N216=예상등급!$AN$15,LOOKUP(O216,예상등급!$AN$19:$AN$27,예상등급!$AO$19:$AO$27),IF(N216=예상등급!$AQ$15,LOOKUP(O216,예상등급!$AQ$19:$AQ$27,예상등급!$AR$19:$AR$27),"")))))))))))))))))</f>
        <v>5</v>
      </c>
      <c r="Q216" s="110" t="s">
        <v>760</v>
      </c>
      <c r="R216" s="71">
        <v>16</v>
      </c>
      <c r="S216" s="385">
        <f>IF(Q216=예상등급!$G$1,LOOKUP(R216,예상등급!$G$5:$G$13,예상등급!$H$5:$H$13),IF(Q216=예상등급!$J$1,LOOKUP(R216,예상등급!$J$5:$J$13,예상등급!$K$5:$K$13),IF(Q216=예상등급!$M$1,LOOKUP(R216,예상등급!$M$5:$M$13,예상등급!$N$5:$N$13),IF(Q216=예상등급!$P$1,LOOKUP(R216,예상등급!$P$5:$P$13,예상등급!$Q$5:$Q$13),IF(Q216=예상등급!$S$1,LOOKUP(R216,예상등급!$S$5:$S$13,예상등급!$T$5:$T$13),IF(Q216=예상등급!$V$1,LOOKUP(R216,예상등급!$V$5:$V$13,예상등급!$W$5:$W$13),IF(Q216=예상등급!$Y$1,LOOKUP(R216,예상등급!$Y$5:$Y$13,예상등급!$Z$5:$Z$13),IF(Q216=예상등급!$AB$1,LOOKUP(R216,예상등급!$AB$5:$AB$13,예상등급!$AC$5:$AC$13),IF(Q216=예상등급!$AE$1,LOOKUP(R216,예상등급!$AE$5:$AE$13,예상등급!$AF$5:$AF$13),IF(Q216=예상등급!$AH$1,LOOKUP(R216,예상등급!$AH$5:$AH$13,예상등급!$AI$5:$AI$13),IF(Q216=예상등급!$AK$1,LOOKUP(R216,예상등급!$AK$5:$AK$13,예상등급!$AL$5:$AL$13),IF(Q216=예상등급!$AN$1,LOOKUP(R216,예상등급!$AN$5:$AN$13,예상등급!$AO$5:$AO$13),IF(Q216=예상등급!$AQ$1,LOOKUP(R216,예상등급!$AQ$5:$AQ$13,예상등급!$AR$5:$AR$13),IF(Q216=예상등급!$AH$15,LOOKUP(R216,예상등급!$AH$19:$AH$27,예상등급!$AI$19:$AI$27),IF(Q216=예상등급!$AK$15,LOOKUP(R216,예상등급!$AK$19:$AK$27,예상등급!$AL$19:$AL$27),IF(Q216=예상등급!$AN$15,LOOKUP(R216,예상등급!$AN$19:$AN$27,예상등급!$AO$19:$AO$27),IF(Q216=예상등급!$AQ$15,LOOKUP(R216,예상등급!$AQ$19:$AQ$27,예상등급!$AR$19:$AR$27),"")))))))))))))))))</f>
        <v>5</v>
      </c>
      <c r="T216" s="110">
        <v>7</v>
      </c>
      <c r="U216" s="382">
        <f>IF(T216="","",LOOKUP(T216,예상등급!$D$19:$D$27,예상등급!$E$19:$E$27))</f>
        <v>8</v>
      </c>
      <c r="V216" s="402">
        <f>SUM(L216,T216,R216,O216)</f>
        <v>123</v>
      </c>
      <c r="W216" s="278">
        <f>RANK(V216,$V$4:$V$491)</f>
        <v>213</v>
      </c>
    </row>
    <row r="217" spans="1:26" ht="24.95" customHeight="1" x14ac:dyDescent="0.15">
      <c r="A217" s="110">
        <v>5</v>
      </c>
      <c r="B217" s="71">
        <v>15</v>
      </c>
      <c r="C217" s="100" t="s">
        <v>886</v>
      </c>
      <c r="D217" s="110" t="s">
        <v>779</v>
      </c>
      <c r="E217" s="71">
        <v>31</v>
      </c>
      <c r="F217" s="382">
        <f>IF(D217=예상등급!$A$1,LOOKUP(E217,예상등급!$A$5:$A$13,예상등급!$B$5:$B$13),IF(D217=예상등급!$A$15,LOOKUP(E217,예상등급!$A$19:$A$27,예상등급!$B$19:$B$27),""))</f>
        <v>6</v>
      </c>
      <c r="G217" s="110" t="s">
        <v>780</v>
      </c>
      <c r="H217" s="71">
        <v>17</v>
      </c>
      <c r="I217" s="382">
        <f>IF(G217=예상등급!$G$15,LOOKUP(H217,예상등급!$G$19:$G$27,예상등급!$H$19:$H$27),IF(G217=예상등급!$J$15,LOOKUP(H217,예상등급!$J$19:$J$27,예상등급!$K$19:$K$27),IF(G217=예상등급!$M$15,LOOKUP(H217,예상등급!$M$19:$M$27,예상등급!$N$19:$N$27),"")))</f>
        <v>8</v>
      </c>
      <c r="J217" s="110">
        <v>50</v>
      </c>
      <c r="K217" s="382">
        <f>IF(J217="","",(LOOKUP(J217,예상등급!$D$5:$D$13,예상등급!$E$5:$E$13)))</f>
        <v>5</v>
      </c>
      <c r="L217" s="301">
        <f>SUM(E217,H217,J217)</f>
        <v>98</v>
      </c>
      <c r="M217" s="398">
        <f>RANK(L217,$L$4:$L$491)</f>
        <v>193</v>
      </c>
      <c r="N217" s="110" t="s">
        <v>761</v>
      </c>
      <c r="O217" s="71">
        <v>5</v>
      </c>
      <c r="P217" s="385">
        <f>IF(N217=예상등급!$G$1,LOOKUP(O217,예상등급!$G$5:$G$13,예상등급!$H$5:$H$13),IF(N217=예상등급!$J$1,LOOKUP(O217,예상등급!$J$5:$J$13,예상등급!$K$5:$K$13),IF(N217=예상등급!$M$1,LOOKUP(O217,예상등급!$M$5:$M$13,예상등급!$N$5:$N$13),IF(N217=예상등급!$P$1,LOOKUP(O217,예상등급!$P$5:$P$13,예상등급!$Q$5:$Q$13),IF(N217=예상등급!$S$1,LOOKUP(O217,예상등급!$S$5:$S$13,예상등급!$T$5:$T$13),IF(N217=예상등급!$V$1,LOOKUP(O217,예상등급!$V$5:$V$13,예상등급!$W$5:$W$13),IF(N217=예상등급!$Y$1,LOOKUP(O217,예상등급!$Y$5:$Y$13,예상등급!$Z$5:$Z$13),IF(N217=예상등급!$AB$1,LOOKUP(O217,예상등급!$AB$5:$AB$13,예상등급!$AC$5:$AC$13),IF(N217=예상등급!$AE$1,LOOKUP(O217,예상등급!$AE$5:$AE$13,예상등급!$AF$5:$AF$13),IF(N217=예상등급!$AH$1,LOOKUP(O217,예상등급!$AH$5:$AH$13,예상등급!$AI$5:$AI$13),IF(N217=예상등급!$AK$1,LOOKUP(O217,예상등급!$AK$5:$AK$13,예상등급!$AL$5:$AL$13),IF(N217=예상등급!$AN$1,LOOKUP(O217,예상등급!$AN$5:$AN$13,예상등급!$AO$5:$AO$13),IF(N217=예상등급!$AQ$1,LOOKUP(O217,예상등급!$AQ$5:$AQ$13,예상등급!$AR$5:$AR$13),IF(N217=예상등급!$AH$15,LOOKUP(O217,예상등급!$AH$19:$AH$27,예상등급!$AI$19:$AI$27),IF(N217=예상등급!$AK$15,LOOKUP(O217,예상등급!$AK$19:$AK$27,예상등급!$AL$19:$AL$27),IF(N217=예상등급!$AN$15,LOOKUP(O217,예상등급!$AN$19:$AN$27,예상등급!$AO$19:$AO$27),IF(N217=예상등급!$AQ$15,LOOKUP(O217,예상등급!$AQ$19:$AQ$27,예상등급!$AR$19:$AR$27),"")))))))))))))))))</f>
        <v>9</v>
      </c>
      <c r="Q217" s="110" t="s">
        <v>765</v>
      </c>
      <c r="R217" s="71">
        <v>7</v>
      </c>
      <c r="S217" s="385">
        <f>IF(Q217=예상등급!$G$1,LOOKUP(R217,예상등급!$G$5:$G$13,예상등급!$H$5:$H$13),IF(Q217=예상등급!$J$1,LOOKUP(R217,예상등급!$J$5:$J$13,예상등급!$K$5:$K$13),IF(Q217=예상등급!$M$1,LOOKUP(R217,예상등급!$M$5:$M$13,예상등급!$N$5:$N$13),IF(Q217=예상등급!$P$1,LOOKUP(R217,예상등급!$P$5:$P$13,예상등급!$Q$5:$Q$13),IF(Q217=예상등급!$S$1,LOOKUP(R217,예상등급!$S$5:$S$13,예상등급!$T$5:$T$13),IF(Q217=예상등급!$V$1,LOOKUP(R217,예상등급!$V$5:$V$13,예상등급!$W$5:$W$13),IF(Q217=예상등급!$Y$1,LOOKUP(R217,예상등급!$Y$5:$Y$13,예상등급!$Z$5:$Z$13),IF(Q217=예상등급!$AB$1,LOOKUP(R217,예상등급!$AB$5:$AB$13,예상등급!$AC$5:$AC$13),IF(Q217=예상등급!$AE$1,LOOKUP(R217,예상등급!$AE$5:$AE$13,예상등급!$AF$5:$AF$13),IF(Q217=예상등급!$AH$1,LOOKUP(R217,예상등급!$AH$5:$AH$13,예상등급!$AI$5:$AI$13),IF(Q217=예상등급!$AK$1,LOOKUP(R217,예상등급!$AK$5:$AK$13,예상등급!$AL$5:$AL$13),IF(Q217=예상등급!$AN$1,LOOKUP(R217,예상등급!$AN$5:$AN$13,예상등급!$AO$5:$AO$13),IF(Q217=예상등급!$AQ$1,LOOKUP(R217,예상등급!$AQ$5:$AQ$13,예상등급!$AR$5:$AR$13),IF(Q217=예상등급!$AH$15,LOOKUP(R217,예상등급!$AH$19:$AH$27,예상등급!$AI$19:$AI$27),IF(Q217=예상등급!$AK$15,LOOKUP(R217,예상등급!$AK$19:$AK$27,예상등급!$AL$19:$AL$27),IF(Q217=예상등급!$AN$15,LOOKUP(R217,예상등급!$AN$19:$AN$27,예상등급!$AO$19:$AO$27),IF(Q217=예상등급!$AQ$15,LOOKUP(R217,예상등급!$AQ$19:$AQ$27,예상등급!$AR$19:$AR$27),"")))))))))))))))))</f>
        <v>8</v>
      </c>
      <c r="T217" s="110">
        <v>10</v>
      </c>
      <c r="U217" s="382">
        <f>IF(T217="","",LOOKUP(T217,예상등급!$D$19:$D$27,예상등급!$E$19:$E$27))</f>
        <v>7</v>
      </c>
      <c r="V217" s="402">
        <f>SUM(L217,T217,R217,O217)</f>
        <v>120</v>
      </c>
      <c r="W217" s="278">
        <f>RANK(V217,$V$4:$V$491)</f>
        <v>214</v>
      </c>
    </row>
    <row r="218" spans="1:26" ht="24.95" customHeight="1" x14ac:dyDescent="0.15">
      <c r="A218" s="110">
        <v>6</v>
      </c>
      <c r="B218" s="71">
        <v>16</v>
      </c>
      <c r="C218" s="100" t="s">
        <v>907</v>
      </c>
      <c r="D218" s="110" t="s">
        <v>779</v>
      </c>
      <c r="E218" s="71">
        <v>28</v>
      </c>
      <c r="F218" s="382">
        <f>IF(D218=예상등급!$A$1,LOOKUP(E218,예상등급!$A$5:$A$13,예상등급!$B$5:$B$13),IF(D218=예상등급!$A$15,LOOKUP(E218,예상등급!$A$19:$A$27,예상등급!$B$19:$B$27),""))</f>
        <v>7</v>
      </c>
      <c r="G218" s="110" t="s">
        <v>780</v>
      </c>
      <c r="H218" s="71">
        <v>12</v>
      </c>
      <c r="I218" s="382">
        <f>IF(G218=예상등급!$G$15,LOOKUP(H218,예상등급!$G$19:$G$27,예상등급!$H$19:$H$27),IF(G218=예상등급!$J$15,LOOKUP(H218,예상등급!$J$19:$J$27,예상등급!$K$19:$K$27),IF(G218=예상등급!$M$15,LOOKUP(H218,예상등급!$M$19:$M$27,예상등급!$N$19:$N$27),"")))</f>
        <v>9</v>
      </c>
      <c r="J218" s="110">
        <v>32</v>
      </c>
      <c r="K218" s="382">
        <f>IF(J218="","",(LOOKUP(J218,예상등급!$D$5:$D$13,예상등급!$E$5:$E$13)))</f>
        <v>7</v>
      </c>
      <c r="L218" s="301">
        <f>SUM(E218,H218,J218)</f>
        <v>72</v>
      </c>
      <c r="M218" s="398">
        <f>RANK(L218,$L$4:$L$491)</f>
        <v>220</v>
      </c>
      <c r="N218" s="110" t="s">
        <v>763</v>
      </c>
      <c r="O218" s="71">
        <v>11</v>
      </c>
      <c r="P218" s="385">
        <f>IF(N218=예상등급!$G$1,LOOKUP(O218,예상등급!$G$5:$G$13,예상등급!$H$5:$H$13),IF(N218=예상등급!$J$1,LOOKUP(O218,예상등급!$J$5:$J$13,예상등급!$K$5:$K$13),IF(N218=예상등급!$M$1,LOOKUP(O218,예상등급!$M$5:$M$13,예상등급!$N$5:$N$13),IF(N218=예상등급!$P$1,LOOKUP(O218,예상등급!$P$5:$P$13,예상등급!$Q$5:$Q$13),IF(N218=예상등급!$S$1,LOOKUP(O218,예상등급!$S$5:$S$13,예상등급!$T$5:$T$13),IF(N218=예상등급!$V$1,LOOKUP(O218,예상등급!$V$5:$V$13,예상등급!$W$5:$W$13),IF(N218=예상등급!$Y$1,LOOKUP(O218,예상등급!$Y$5:$Y$13,예상등급!$Z$5:$Z$13),IF(N218=예상등급!$AB$1,LOOKUP(O218,예상등급!$AB$5:$AB$13,예상등급!$AC$5:$AC$13),IF(N218=예상등급!$AE$1,LOOKUP(O218,예상등급!$AE$5:$AE$13,예상등급!$AF$5:$AF$13),IF(N218=예상등급!$AH$1,LOOKUP(O218,예상등급!$AH$5:$AH$13,예상등급!$AI$5:$AI$13),IF(N218=예상등급!$AK$1,LOOKUP(O218,예상등급!$AK$5:$AK$13,예상등급!$AL$5:$AL$13),IF(N218=예상등급!$AN$1,LOOKUP(O218,예상등급!$AN$5:$AN$13,예상등급!$AO$5:$AO$13),IF(N218=예상등급!$AQ$1,LOOKUP(O218,예상등급!$AQ$5:$AQ$13,예상등급!$AR$5:$AR$13),IF(N218=예상등급!$AH$15,LOOKUP(O218,예상등급!$AH$19:$AH$27,예상등급!$AI$19:$AI$27),IF(N218=예상등급!$AK$15,LOOKUP(O218,예상등급!$AK$19:$AK$27,예상등급!$AL$19:$AL$27),IF(N218=예상등급!$AN$15,LOOKUP(O218,예상등급!$AN$19:$AN$27,예상등급!$AO$19:$AO$27),IF(N218=예상등급!$AQ$15,LOOKUP(O218,예상등급!$AQ$19:$AQ$27,예상등급!$AR$19:$AR$27),"")))))))))))))))))</f>
        <v>7</v>
      </c>
      <c r="Q218" s="110" t="s">
        <v>767</v>
      </c>
      <c r="R218" s="71">
        <v>20</v>
      </c>
      <c r="S218" s="385">
        <f>IF(Q218=예상등급!$G$1,LOOKUP(R218,예상등급!$G$5:$G$13,예상등급!$H$5:$H$13),IF(Q218=예상등급!$J$1,LOOKUP(R218,예상등급!$J$5:$J$13,예상등급!$K$5:$K$13),IF(Q218=예상등급!$M$1,LOOKUP(R218,예상등급!$M$5:$M$13,예상등급!$N$5:$N$13),IF(Q218=예상등급!$P$1,LOOKUP(R218,예상등급!$P$5:$P$13,예상등급!$Q$5:$Q$13),IF(Q218=예상등급!$S$1,LOOKUP(R218,예상등급!$S$5:$S$13,예상등급!$T$5:$T$13),IF(Q218=예상등급!$V$1,LOOKUP(R218,예상등급!$V$5:$V$13,예상등급!$W$5:$W$13),IF(Q218=예상등급!$Y$1,LOOKUP(R218,예상등급!$Y$5:$Y$13,예상등급!$Z$5:$Z$13),IF(Q218=예상등급!$AB$1,LOOKUP(R218,예상등급!$AB$5:$AB$13,예상등급!$AC$5:$AC$13),IF(Q218=예상등급!$AE$1,LOOKUP(R218,예상등급!$AE$5:$AE$13,예상등급!$AF$5:$AF$13),IF(Q218=예상등급!$AH$1,LOOKUP(R218,예상등급!$AH$5:$AH$13,예상등급!$AI$5:$AI$13),IF(Q218=예상등급!$AK$1,LOOKUP(R218,예상등급!$AK$5:$AK$13,예상등급!$AL$5:$AL$13),IF(Q218=예상등급!$AN$1,LOOKUP(R218,예상등급!$AN$5:$AN$13,예상등급!$AO$5:$AO$13),IF(Q218=예상등급!$AQ$1,LOOKUP(R218,예상등급!$AQ$5:$AQ$13,예상등급!$AR$5:$AR$13),IF(Q218=예상등급!$AH$15,LOOKUP(R218,예상등급!$AH$19:$AH$27,예상등급!$AI$19:$AI$27),IF(Q218=예상등급!$AK$15,LOOKUP(R218,예상등급!$AK$19:$AK$27,예상등급!$AL$19:$AL$27),IF(Q218=예상등급!$AN$15,LOOKUP(R218,예상등급!$AN$19:$AN$27,예상등급!$AO$19:$AO$27),IF(Q218=예상등급!$AQ$15,LOOKUP(R218,예상등급!$AQ$19:$AQ$27,예상등급!$AR$19:$AR$27),"")))))))))))))))))</f>
        <v>5</v>
      </c>
      <c r="T218" s="110">
        <v>11</v>
      </c>
      <c r="U218" s="382">
        <f>IF(T218="","",LOOKUP(T218,예상등급!$D$19:$D$27,예상등급!$E$19:$E$27))</f>
        <v>7</v>
      </c>
      <c r="V218" s="402">
        <f>SUM(L218,T218,R218,O218)</f>
        <v>114</v>
      </c>
      <c r="W218" s="278">
        <f>RANK(V218,$V$4:$V$491)</f>
        <v>215</v>
      </c>
    </row>
    <row r="219" spans="1:26" ht="24.95" customHeight="1" x14ac:dyDescent="0.15">
      <c r="A219" s="110">
        <v>9</v>
      </c>
      <c r="B219" s="71">
        <v>15</v>
      </c>
      <c r="C219" s="100" t="s">
        <v>973</v>
      </c>
      <c r="D219" s="110" t="s">
        <v>779</v>
      </c>
      <c r="E219" s="71">
        <v>21</v>
      </c>
      <c r="F219" s="382">
        <f>IF(D219=예상등급!$A$1,LOOKUP(E219,예상등급!$A$5:$A$13,예상등급!$B$5:$B$13),IF(D219=예상등급!$A$15,LOOKUP(E219,예상등급!$A$19:$A$27,예상등급!$B$19:$B$27),""))</f>
        <v>8</v>
      </c>
      <c r="G219" s="110" t="s">
        <v>780</v>
      </c>
      <c r="H219" s="71">
        <v>16</v>
      </c>
      <c r="I219" s="382">
        <f>IF(G219=예상등급!$G$15,LOOKUP(H219,예상등급!$G$19:$G$27,예상등급!$H$19:$H$27),IF(G219=예상등급!$J$15,LOOKUP(H219,예상등급!$J$19:$J$27,예상등급!$K$19:$K$27),IF(G219=예상등급!$M$15,LOOKUP(H219,예상등급!$M$19:$M$27,예상등급!$N$19:$N$27),"")))</f>
        <v>8</v>
      </c>
      <c r="J219" s="110">
        <v>19</v>
      </c>
      <c r="K219" s="382">
        <f>IF(J219="","",(LOOKUP(J219,예상등급!$D$5:$D$13,예상등급!$E$5:$E$13)))</f>
        <v>9</v>
      </c>
      <c r="L219" s="301">
        <f>SUM(E219,H219,J219)</f>
        <v>56</v>
      </c>
      <c r="M219" s="398">
        <f>RANK(L219,$L$4:$L$491)</f>
        <v>227</v>
      </c>
      <c r="N219" s="110" t="s">
        <v>761</v>
      </c>
      <c r="O219" s="71">
        <v>17</v>
      </c>
      <c r="P219" s="385">
        <f>IF(N219=예상등급!$G$1,LOOKUP(O219,예상등급!$G$5:$G$13,예상등급!$H$5:$H$13),IF(N219=예상등급!$J$1,LOOKUP(O219,예상등급!$J$5:$J$13,예상등급!$K$5:$K$13),IF(N219=예상등급!$M$1,LOOKUP(O219,예상등급!$M$5:$M$13,예상등급!$N$5:$N$13),IF(N219=예상등급!$P$1,LOOKUP(O219,예상등급!$P$5:$P$13,예상등급!$Q$5:$Q$13),IF(N219=예상등급!$S$1,LOOKUP(O219,예상등급!$S$5:$S$13,예상등급!$T$5:$T$13),IF(N219=예상등급!$V$1,LOOKUP(O219,예상등급!$V$5:$V$13,예상등급!$W$5:$W$13),IF(N219=예상등급!$Y$1,LOOKUP(O219,예상등급!$Y$5:$Y$13,예상등급!$Z$5:$Z$13),IF(N219=예상등급!$AB$1,LOOKUP(O219,예상등급!$AB$5:$AB$13,예상등급!$AC$5:$AC$13),IF(N219=예상등급!$AE$1,LOOKUP(O219,예상등급!$AE$5:$AE$13,예상등급!$AF$5:$AF$13),IF(N219=예상등급!$AH$1,LOOKUP(O219,예상등급!$AH$5:$AH$13,예상등급!$AI$5:$AI$13),IF(N219=예상등급!$AK$1,LOOKUP(O219,예상등급!$AK$5:$AK$13,예상등급!$AL$5:$AL$13),IF(N219=예상등급!$AN$1,LOOKUP(O219,예상등급!$AN$5:$AN$13,예상등급!$AO$5:$AO$13),IF(N219=예상등급!$AQ$1,LOOKUP(O219,예상등급!$AQ$5:$AQ$13,예상등급!$AR$5:$AR$13),IF(N219=예상등급!$AH$15,LOOKUP(O219,예상등급!$AH$19:$AH$27,예상등급!$AI$19:$AI$27),IF(N219=예상등급!$AK$15,LOOKUP(O219,예상등급!$AK$19:$AK$27,예상등급!$AL$19:$AL$27),IF(N219=예상등급!$AN$15,LOOKUP(O219,예상등급!$AN$19:$AN$27,예상등급!$AO$19:$AO$27),IF(N219=예상등급!$AQ$15,LOOKUP(O219,예상등급!$AQ$19:$AQ$27,예상등급!$AR$19:$AR$27),"")))))))))))))))))</f>
        <v>6</v>
      </c>
      <c r="Q219" s="110" t="s">
        <v>762</v>
      </c>
      <c r="R219" s="71">
        <v>13</v>
      </c>
      <c r="S219" s="385">
        <f>IF(Q219=예상등급!$G$1,LOOKUP(R219,예상등급!$G$5:$G$13,예상등급!$H$5:$H$13),IF(Q219=예상등급!$J$1,LOOKUP(R219,예상등급!$J$5:$J$13,예상등급!$K$5:$K$13),IF(Q219=예상등급!$M$1,LOOKUP(R219,예상등급!$M$5:$M$13,예상등급!$N$5:$N$13),IF(Q219=예상등급!$P$1,LOOKUP(R219,예상등급!$P$5:$P$13,예상등급!$Q$5:$Q$13),IF(Q219=예상등급!$S$1,LOOKUP(R219,예상등급!$S$5:$S$13,예상등급!$T$5:$T$13),IF(Q219=예상등급!$V$1,LOOKUP(R219,예상등급!$V$5:$V$13,예상등급!$W$5:$W$13),IF(Q219=예상등급!$Y$1,LOOKUP(R219,예상등급!$Y$5:$Y$13,예상등급!$Z$5:$Z$13),IF(Q219=예상등급!$AB$1,LOOKUP(R219,예상등급!$AB$5:$AB$13,예상등급!$AC$5:$AC$13),IF(Q219=예상등급!$AE$1,LOOKUP(R219,예상등급!$AE$5:$AE$13,예상등급!$AF$5:$AF$13),IF(Q219=예상등급!$AH$1,LOOKUP(R219,예상등급!$AH$5:$AH$13,예상등급!$AI$5:$AI$13),IF(Q219=예상등급!$AK$1,LOOKUP(R219,예상등급!$AK$5:$AK$13,예상등급!$AL$5:$AL$13),IF(Q219=예상등급!$AN$1,LOOKUP(R219,예상등급!$AN$5:$AN$13,예상등급!$AO$5:$AO$13),IF(Q219=예상등급!$AQ$1,LOOKUP(R219,예상등급!$AQ$5:$AQ$13,예상등급!$AR$5:$AR$13),IF(Q219=예상등급!$AH$15,LOOKUP(R219,예상등급!$AH$19:$AH$27,예상등급!$AI$19:$AI$27),IF(Q219=예상등급!$AK$15,LOOKUP(R219,예상등급!$AK$19:$AK$27,예상등급!$AL$19:$AL$27),IF(Q219=예상등급!$AN$15,LOOKUP(R219,예상등급!$AN$19:$AN$27,예상등급!$AO$19:$AO$27),IF(Q219=예상등급!$AQ$15,LOOKUP(R219,예상등급!$AQ$19:$AQ$27,예상등급!$AR$19:$AR$27),"")))))))))))))))))</f>
        <v>6</v>
      </c>
      <c r="T219" s="110">
        <v>28</v>
      </c>
      <c r="U219" s="382">
        <f>IF(T219="","",LOOKUP(T219,예상등급!$D$19:$D$27,예상등급!$E$19:$E$27))</f>
        <v>4</v>
      </c>
      <c r="V219" s="402">
        <f>SUM(L219,T219,R219,O219)</f>
        <v>114</v>
      </c>
      <c r="W219" s="278">
        <f>RANK(V219,$V$4:$V$491)</f>
        <v>215</v>
      </c>
    </row>
    <row r="220" spans="1:26" ht="24.95" customHeight="1" x14ac:dyDescent="0.15">
      <c r="A220" s="110">
        <v>8</v>
      </c>
      <c r="B220" s="71">
        <v>25</v>
      </c>
      <c r="C220" s="100" t="s">
        <v>959</v>
      </c>
      <c r="D220" s="110" t="s">
        <v>779</v>
      </c>
      <c r="E220" s="71">
        <v>34</v>
      </c>
      <c r="F220" s="382">
        <f>IF(D220=예상등급!$A$1,LOOKUP(E220,예상등급!$A$5:$A$13,예상등급!$B$5:$B$13),IF(D220=예상등급!$A$15,LOOKUP(E220,예상등급!$A$19:$A$27,예상등급!$B$19:$B$27),""))</f>
        <v>6</v>
      </c>
      <c r="G220" s="110" t="s">
        <v>780</v>
      </c>
      <c r="H220" s="71">
        <v>10</v>
      </c>
      <c r="I220" s="382">
        <f>IF(G220=예상등급!$G$15,LOOKUP(H220,예상등급!$G$19:$G$27,예상등급!$H$19:$H$27),IF(G220=예상등급!$J$15,LOOKUP(H220,예상등급!$J$19:$J$27,예상등급!$K$19:$K$27),IF(G220=예상등급!$M$15,LOOKUP(H220,예상등급!$M$19:$M$27,예상등급!$N$19:$N$27),"")))</f>
        <v>9</v>
      </c>
      <c r="J220" s="110">
        <v>49</v>
      </c>
      <c r="K220" s="382">
        <f>IF(J220="","",(LOOKUP(J220,예상등급!$D$5:$D$13,예상등급!$E$5:$E$13)))</f>
        <v>6</v>
      </c>
      <c r="L220" s="301">
        <f>SUM(E220,H220,J220)</f>
        <v>93</v>
      </c>
      <c r="M220" s="398">
        <f>RANK(L220,$L$4:$L$491)</f>
        <v>204</v>
      </c>
      <c r="N220" s="110" t="s">
        <v>761</v>
      </c>
      <c r="O220" s="71">
        <v>0</v>
      </c>
      <c r="P220" s="385">
        <f>IF(N220=예상등급!$G$1,LOOKUP(O220,예상등급!$G$5:$G$13,예상등급!$H$5:$H$13),IF(N220=예상등급!$J$1,LOOKUP(O220,예상등급!$J$5:$J$13,예상등급!$K$5:$K$13),IF(N220=예상등급!$M$1,LOOKUP(O220,예상등급!$M$5:$M$13,예상등급!$N$5:$N$13),IF(N220=예상등급!$P$1,LOOKUP(O220,예상등급!$P$5:$P$13,예상등급!$Q$5:$Q$13),IF(N220=예상등급!$S$1,LOOKUP(O220,예상등급!$S$5:$S$13,예상등급!$T$5:$T$13),IF(N220=예상등급!$V$1,LOOKUP(O220,예상등급!$V$5:$V$13,예상등급!$W$5:$W$13),IF(N220=예상등급!$Y$1,LOOKUP(O220,예상등급!$Y$5:$Y$13,예상등급!$Z$5:$Z$13),IF(N220=예상등급!$AB$1,LOOKUP(O220,예상등급!$AB$5:$AB$13,예상등급!$AC$5:$AC$13),IF(N220=예상등급!$AE$1,LOOKUP(O220,예상등급!$AE$5:$AE$13,예상등급!$AF$5:$AF$13),IF(N220=예상등급!$AH$1,LOOKUP(O220,예상등급!$AH$5:$AH$13,예상등급!$AI$5:$AI$13),IF(N220=예상등급!$AK$1,LOOKUP(O220,예상등급!$AK$5:$AK$13,예상등급!$AL$5:$AL$13),IF(N220=예상등급!$AN$1,LOOKUP(O220,예상등급!$AN$5:$AN$13,예상등급!$AO$5:$AO$13),IF(N220=예상등급!$AQ$1,LOOKUP(O220,예상등급!$AQ$5:$AQ$13,예상등급!$AR$5:$AR$13),IF(N220=예상등급!$AH$15,LOOKUP(O220,예상등급!$AH$19:$AH$27,예상등급!$AI$19:$AI$27),IF(N220=예상등급!$AK$15,LOOKUP(O220,예상등급!$AK$19:$AK$27,예상등급!$AL$19:$AL$27),IF(N220=예상등급!$AN$15,LOOKUP(O220,예상등급!$AN$19:$AN$27,예상등급!$AO$19:$AO$27),IF(N220=예상등급!$AQ$15,LOOKUP(O220,예상등급!$AQ$19:$AQ$27,예상등급!$AR$19:$AR$27),"")))))))))))))))))</f>
        <v>9</v>
      </c>
      <c r="Q220" s="110" t="s">
        <v>762</v>
      </c>
      <c r="R220" s="71">
        <v>11</v>
      </c>
      <c r="S220" s="385">
        <f>IF(Q220=예상등급!$G$1,LOOKUP(R220,예상등급!$G$5:$G$13,예상등급!$H$5:$H$13),IF(Q220=예상등급!$J$1,LOOKUP(R220,예상등급!$J$5:$J$13,예상등급!$K$5:$K$13),IF(Q220=예상등급!$M$1,LOOKUP(R220,예상등급!$M$5:$M$13,예상등급!$N$5:$N$13),IF(Q220=예상등급!$P$1,LOOKUP(R220,예상등급!$P$5:$P$13,예상등급!$Q$5:$Q$13),IF(Q220=예상등급!$S$1,LOOKUP(R220,예상등급!$S$5:$S$13,예상등급!$T$5:$T$13),IF(Q220=예상등급!$V$1,LOOKUP(R220,예상등급!$V$5:$V$13,예상등급!$W$5:$W$13),IF(Q220=예상등급!$Y$1,LOOKUP(R220,예상등급!$Y$5:$Y$13,예상등급!$Z$5:$Z$13),IF(Q220=예상등급!$AB$1,LOOKUP(R220,예상등급!$AB$5:$AB$13,예상등급!$AC$5:$AC$13),IF(Q220=예상등급!$AE$1,LOOKUP(R220,예상등급!$AE$5:$AE$13,예상등급!$AF$5:$AF$13),IF(Q220=예상등급!$AH$1,LOOKUP(R220,예상등급!$AH$5:$AH$13,예상등급!$AI$5:$AI$13),IF(Q220=예상등급!$AK$1,LOOKUP(R220,예상등급!$AK$5:$AK$13,예상등급!$AL$5:$AL$13),IF(Q220=예상등급!$AN$1,LOOKUP(R220,예상등급!$AN$5:$AN$13,예상등급!$AO$5:$AO$13),IF(Q220=예상등급!$AQ$1,LOOKUP(R220,예상등급!$AQ$5:$AQ$13,예상등급!$AR$5:$AR$13),IF(Q220=예상등급!$AH$15,LOOKUP(R220,예상등급!$AH$19:$AH$27,예상등급!$AI$19:$AI$27),IF(Q220=예상등급!$AK$15,LOOKUP(R220,예상등급!$AK$19:$AK$27,예상등급!$AL$19:$AL$27),IF(Q220=예상등급!$AN$15,LOOKUP(R220,예상등급!$AN$19:$AN$27,예상등급!$AO$19:$AO$27),IF(Q220=예상등급!$AQ$15,LOOKUP(R220,예상등급!$AQ$19:$AQ$27,예상등급!$AR$19:$AR$27),"")))))))))))))))))</f>
        <v>7</v>
      </c>
      <c r="T220" s="110">
        <v>9</v>
      </c>
      <c r="U220" s="382">
        <f>IF(T220="","",LOOKUP(T220,예상등급!$D$19:$D$27,예상등급!$E$19:$E$27))</f>
        <v>8</v>
      </c>
      <c r="V220" s="402">
        <f>SUM(L220,T220,R220,O220)</f>
        <v>113</v>
      </c>
      <c r="W220" s="278">
        <f>RANK(V220,$V$4:$V$491)</f>
        <v>217</v>
      </c>
    </row>
    <row r="221" spans="1:26" ht="24.95" customHeight="1" x14ac:dyDescent="0.15">
      <c r="A221" s="110">
        <v>2</v>
      </c>
      <c r="B221" s="71">
        <v>9</v>
      </c>
      <c r="C221" s="100" t="s">
        <v>827</v>
      </c>
      <c r="D221" s="110" t="s">
        <v>779</v>
      </c>
      <c r="E221" s="71">
        <v>28</v>
      </c>
      <c r="F221" s="382">
        <f>IF(D221=예상등급!$A$1,LOOKUP(E221,예상등급!$A$5:$A$13,예상등급!$B$5:$B$13),IF(D221=예상등급!$A$15,LOOKUP(E221,예상등급!$A$19:$A$27,예상등급!$B$19:$B$27),""))</f>
        <v>7</v>
      </c>
      <c r="G221" s="110" t="s">
        <v>780</v>
      </c>
      <c r="H221" s="71">
        <v>15</v>
      </c>
      <c r="I221" s="382">
        <f>IF(G221=예상등급!$G$15,LOOKUP(H221,예상등급!$G$19:$G$27,예상등급!$H$19:$H$27),IF(G221=예상등급!$J$15,LOOKUP(H221,예상등급!$J$19:$J$27,예상등급!$K$19:$K$27),IF(G221=예상등급!$M$15,LOOKUP(H221,예상등급!$M$19:$M$27,예상등급!$N$19:$N$27),"")))</f>
        <v>8</v>
      </c>
      <c r="J221" s="110">
        <v>43</v>
      </c>
      <c r="K221" s="382">
        <f>IF(J221="","",(LOOKUP(J221,예상등급!$D$5:$D$13,예상등급!$E$5:$E$13)))</f>
        <v>6</v>
      </c>
      <c r="L221" s="301">
        <f>SUM(E221,H221,J221)</f>
        <v>86</v>
      </c>
      <c r="M221" s="398">
        <f>RANK(L221,$L$4:$L$491)</f>
        <v>216</v>
      </c>
      <c r="N221" s="110" t="s">
        <v>761</v>
      </c>
      <c r="O221" s="71">
        <v>9</v>
      </c>
      <c r="P221" s="385">
        <f>IF(N221=예상등급!$G$1,LOOKUP(O221,예상등급!$G$5:$G$13,예상등급!$H$5:$H$13),IF(N221=예상등급!$J$1,LOOKUP(O221,예상등급!$J$5:$J$13,예상등급!$K$5:$K$13),IF(N221=예상등급!$M$1,LOOKUP(O221,예상등급!$M$5:$M$13,예상등급!$N$5:$N$13),IF(N221=예상등급!$P$1,LOOKUP(O221,예상등급!$P$5:$P$13,예상등급!$Q$5:$Q$13),IF(N221=예상등급!$S$1,LOOKUP(O221,예상등급!$S$5:$S$13,예상등급!$T$5:$T$13),IF(N221=예상등급!$V$1,LOOKUP(O221,예상등급!$V$5:$V$13,예상등급!$W$5:$W$13),IF(N221=예상등급!$Y$1,LOOKUP(O221,예상등급!$Y$5:$Y$13,예상등급!$Z$5:$Z$13),IF(N221=예상등급!$AB$1,LOOKUP(O221,예상등급!$AB$5:$AB$13,예상등급!$AC$5:$AC$13),IF(N221=예상등급!$AE$1,LOOKUP(O221,예상등급!$AE$5:$AE$13,예상등급!$AF$5:$AF$13),IF(N221=예상등급!$AH$1,LOOKUP(O221,예상등급!$AH$5:$AH$13,예상등급!$AI$5:$AI$13),IF(N221=예상등급!$AK$1,LOOKUP(O221,예상등급!$AK$5:$AK$13,예상등급!$AL$5:$AL$13),IF(N221=예상등급!$AN$1,LOOKUP(O221,예상등급!$AN$5:$AN$13,예상등급!$AO$5:$AO$13),IF(N221=예상등급!$AQ$1,LOOKUP(O221,예상등급!$AQ$5:$AQ$13,예상등급!$AR$5:$AR$13),IF(N221=예상등급!$AH$15,LOOKUP(O221,예상등급!$AH$19:$AH$27,예상등급!$AI$19:$AI$27),IF(N221=예상등급!$AK$15,LOOKUP(O221,예상등급!$AK$19:$AK$27,예상등급!$AL$19:$AL$27),IF(N221=예상등급!$AN$15,LOOKUP(O221,예상등급!$AN$19:$AN$27,예상등급!$AO$19:$AO$27),IF(N221=예상등급!$AQ$15,LOOKUP(O221,예상등급!$AQ$19:$AQ$27,예상등급!$AR$19:$AR$27),"")))))))))))))))))</f>
        <v>8</v>
      </c>
      <c r="Q221" s="110" t="s">
        <v>762</v>
      </c>
      <c r="R221" s="71">
        <v>9</v>
      </c>
      <c r="S221" s="385">
        <f>IF(Q221=예상등급!$G$1,LOOKUP(R221,예상등급!$G$5:$G$13,예상등급!$H$5:$H$13),IF(Q221=예상등급!$J$1,LOOKUP(R221,예상등급!$J$5:$J$13,예상등급!$K$5:$K$13),IF(Q221=예상등급!$M$1,LOOKUP(R221,예상등급!$M$5:$M$13,예상등급!$N$5:$N$13),IF(Q221=예상등급!$P$1,LOOKUP(R221,예상등급!$P$5:$P$13,예상등급!$Q$5:$Q$13),IF(Q221=예상등급!$S$1,LOOKUP(R221,예상등급!$S$5:$S$13,예상등급!$T$5:$T$13),IF(Q221=예상등급!$V$1,LOOKUP(R221,예상등급!$V$5:$V$13,예상등급!$W$5:$W$13),IF(Q221=예상등급!$Y$1,LOOKUP(R221,예상등급!$Y$5:$Y$13,예상등급!$Z$5:$Z$13),IF(Q221=예상등급!$AB$1,LOOKUP(R221,예상등급!$AB$5:$AB$13,예상등급!$AC$5:$AC$13),IF(Q221=예상등급!$AE$1,LOOKUP(R221,예상등급!$AE$5:$AE$13,예상등급!$AF$5:$AF$13),IF(Q221=예상등급!$AH$1,LOOKUP(R221,예상등급!$AH$5:$AH$13,예상등급!$AI$5:$AI$13),IF(Q221=예상등급!$AK$1,LOOKUP(R221,예상등급!$AK$5:$AK$13,예상등급!$AL$5:$AL$13),IF(Q221=예상등급!$AN$1,LOOKUP(R221,예상등급!$AN$5:$AN$13,예상등급!$AO$5:$AO$13),IF(Q221=예상등급!$AQ$1,LOOKUP(R221,예상등급!$AQ$5:$AQ$13,예상등급!$AR$5:$AR$13),IF(Q221=예상등급!$AH$15,LOOKUP(R221,예상등급!$AH$19:$AH$27,예상등급!$AI$19:$AI$27),IF(Q221=예상등급!$AK$15,LOOKUP(R221,예상등급!$AK$19:$AK$27,예상등급!$AL$19:$AL$27),IF(Q221=예상등급!$AN$15,LOOKUP(R221,예상등급!$AN$19:$AN$27,예상등급!$AO$19:$AO$27),IF(Q221=예상등급!$AQ$15,LOOKUP(R221,예상등급!$AQ$19:$AQ$27,예상등급!$AR$19:$AR$27),"")))))))))))))))))</f>
        <v>7</v>
      </c>
      <c r="T221" s="110">
        <v>7</v>
      </c>
      <c r="U221" s="382">
        <f>IF(T221="","",LOOKUP(T221,예상등급!$D$19:$D$27,예상등급!$E$19:$E$27))</f>
        <v>8</v>
      </c>
      <c r="V221" s="402">
        <f>SUM(L221,T221,R221,O221)</f>
        <v>111</v>
      </c>
      <c r="W221" s="278">
        <f>RANK(V221,$V$4:$V$491)</f>
        <v>218</v>
      </c>
    </row>
    <row r="222" spans="1:26" ht="24.95" customHeight="1" x14ac:dyDescent="0.15">
      <c r="A222" s="110">
        <v>2</v>
      </c>
      <c r="B222" s="71">
        <v>1</v>
      </c>
      <c r="C222" s="100" t="s">
        <v>820</v>
      </c>
      <c r="D222" s="110" t="s">
        <v>779</v>
      </c>
      <c r="E222" s="71">
        <v>16</v>
      </c>
      <c r="F222" s="382">
        <f>IF(D222=예상등급!$A$1,LOOKUP(E222,예상등급!$A$5:$A$13,예상등급!$B$5:$B$13),IF(D222=예상등급!$A$15,LOOKUP(E222,예상등급!$A$19:$A$27,예상등급!$B$19:$B$27),""))</f>
        <v>8</v>
      </c>
      <c r="G222" s="110" t="s">
        <v>780</v>
      </c>
      <c r="H222" s="71">
        <v>17</v>
      </c>
      <c r="I222" s="382">
        <f>IF(G222=예상등급!$G$15,LOOKUP(H222,예상등급!$G$19:$G$27,예상등급!$H$19:$H$27),IF(G222=예상등급!$J$15,LOOKUP(H222,예상등급!$J$19:$J$27,예상등급!$K$19:$K$27),IF(G222=예상등급!$M$15,LOOKUP(H222,예상등급!$M$19:$M$27,예상등급!$N$19:$N$27),"")))</f>
        <v>8</v>
      </c>
      <c r="J222" s="110">
        <v>26</v>
      </c>
      <c r="K222" s="382">
        <f>IF(J222="","",(LOOKUP(J222,예상등급!$D$5:$D$13,예상등급!$E$5:$E$13)))</f>
        <v>8</v>
      </c>
      <c r="L222" s="301">
        <f>SUM(E222,H222,J222)</f>
        <v>59</v>
      </c>
      <c r="M222" s="398">
        <f>RANK(L222,$L$4:$L$491)</f>
        <v>226</v>
      </c>
      <c r="N222" s="110" t="s">
        <v>766</v>
      </c>
      <c r="O222" s="71">
        <v>25</v>
      </c>
      <c r="P222" s="385">
        <f>IF(N222=예상등급!$G$1,LOOKUP(O222,예상등급!$G$5:$G$13,예상등급!$H$5:$H$13),IF(N222=예상등급!$J$1,LOOKUP(O222,예상등급!$J$5:$J$13,예상등급!$K$5:$K$13),IF(N222=예상등급!$M$1,LOOKUP(O222,예상등급!$M$5:$M$13,예상등급!$N$5:$N$13),IF(N222=예상등급!$P$1,LOOKUP(O222,예상등급!$P$5:$P$13,예상등급!$Q$5:$Q$13),IF(N222=예상등급!$S$1,LOOKUP(O222,예상등급!$S$5:$S$13,예상등급!$T$5:$T$13),IF(N222=예상등급!$V$1,LOOKUP(O222,예상등급!$V$5:$V$13,예상등급!$W$5:$W$13),IF(N222=예상등급!$Y$1,LOOKUP(O222,예상등급!$Y$5:$Y$13,예상등급!$Z$5:$Z$13),IF(N222=예상등급!$AB$1,LOOKUP(O222,예상등급!$AB$5:$AB$13,예상등급!$AC$5:$AC$13),IF(N222=예상등급!$AE$1,LOOKUP(O222,예상등급!$AE$5:$AE$13,예상등급!$AF$5:$AF$13),IF(N222=예상등급!$AH$1,LOOKUP(O222,예상등급!$AH$5:$AH$13,예상등급!$AI$5:$AI$13),IF(N222=예상등급!$AK$1,LOOKUP(O222,예상등급!$AK$5:$AK$13,예상등급!$AL$5:$AL$13),IF(N222=예상등급!$AN$1,LOOKUP(O222,예상등급!$AN$5:$AN$13,예상등급!$AO$5:$AO$13),IF(N222=예상등급!$AQ$1,LOOKUP(O222,예상등급!$AQ$5:$AQ$13,예상등급!$AR$5:$AR$13),IF(N222=예상등급!$AH$15,LOOKUP(O222,예상등급!$AH$19:$AH$27,예상등급!$AI$19:$AI$27),IF(N222=예상등급!$AK$15,LOOKUP(O222,예상등급!$AK$19:$AK$27,예상등급!$AL$19:$AL$27),IF(N222=예상등급!$AN$15,LOOKUP(O222,예상등급!$AN$19:$AN$27,예상등급!$AO$19:$AO$27),IF(N222=예상등급!$AQ$15,LOOKUP(O222,예상등급!$AQ$19:$AQ$27,예상등급!$AR$19:$AR$27),"")))))))))))))))))</f>
        <v>4</v>
      </c>
      <c r="Q222" s="110" t="s">
        <v>762</v>
      </c>
      <c r="R222" s="71">
        <v>15</v>
      </c>
      <c r="S222" s="385">
        <f>IF(Q222=예상등급!$G$1,LOOKUP(R222,예상등급!$G$5:$G$13,예상등급!$H$5:$H$13),IF(Q222=예상등급!$J$1,LOOKUP(R222,예상등급!$J$5:$J$13,예상등급!$K$5:$K$13),IF(Q222=예상등급!$M$1,LOOKUP(R222,예상등급!$M$5:$M$13,예상등급!$N$5:$N$13),IF(Q222=예상등급!$P$1,LOOKUP(R222,예상등급!$P$5:$P$13,예상등급!$Q$5:$Q$13),IF(Q222=예상등급!$S$1,LOOKUP(R222,예상등급!$S$5:$S$13,예상등급!$T$5:$T$13),IF(Q222=예상등급!$V$1,LOOKUP(R222,예상등급!$V$5:$V$13,예상등급!$W$5:$W$13),IF(Q222=예상등급!$Y$1,LOOKUP(R222,예상등급!$Y$5:$Y$13,예상등급!$Z$5:$Z$13),IF(Q222=예상등급!$AB$1,LOOKUP(R222,예상등급!$AB$5:$AB$13,예상등급!$AC$5:$AC$13),IF(Q222=예상등급!$AE$1,LOOKUP(R222,예상등급!$AE$5:$AE$13,예상등급!$AF$5:$AF$13),IF(Q222=예상등급!$AH$1,LOOKUP(R222,예상등급!$AH$5:$AH$13,예상등급!$AI$5:$AI$13),IF(Q222=예상등급!$AK$1,LOOKUP(R222,예상등급!$AK$5:$AK$13,예상등급!$AL$5:$AL$13),IF(Q222=예상등급!$AN$1,LOOKUP(R222,예상등급!$AN$5:$AN$13,예상등급!$AO$5:$AO$13),IF(Q222=예상등급!$AQ$1,LOOKUP(R222,예상등급!$AQ$5:$AQ$13,예상등급!$AR$5:$AR$13),IF(Q222=예상등급!$AH$15,LOOKUP(R222,예상등급!$AH$19:$AH$27,예상등급!$AI$19:$AI$27),IF(Q222=예상등급!$AK$15,LOOKUP(R222,예상등급!$AK$19:$AK$27,예상등급!$AL$19:$AL$27),IF(Q222=예상등급!$AN$15,LOOKUP(R222,예상등급!$AN$19:$AN$27,예상등급!$AO$19:$AO$27),IF(Q222=예상등급!$AQ$15,LOOKUP(R222,예상등급!$AQ$19:$AQ$27,예상등급!$AR$19:$AR$27),"")))))))))))))))))</f>
        <v>6</v>
      </c>
      <c r="T222" s="110">
        <v>10</v>
      </c>
      <c r="U222" s="382">
        <f>IF(T222="","",LOOKUP(T222,예상등급!$D$19:$D$27,예상등급!$E$19:$E$27))</f>
        <v>7</v>
      </c>
      <c r="V222" s="402">
        <f>SUM(L222,T222,R222,O222)</f>
        <v>109</v>
      </c>
      <c r="W222" s="278">
        <f>RANK(V222,$V$4:$V$491)</f>
        <v>219</v>
      </c>
    </row>
    <row r="223" spans="1:26" ht="24.95" customHeight="1" x14ac:dyDescent="0.15">
      <c r="A223" s="110">
        <v>3</v>
      </c>
      <c r="B223" s="71">
        <v>2</v>
      </c>
      <c r="C223" s="100" t="s">
        <v>790</v>
      </c>
      <c r="D223" s="110" t="s">
        <v>779</v>
      </c>
      <c r="E223" s="71">
        <v>46</v>
      </c>
      <c r="F223" s="382">
        <f>IF(D223=예상등급!$A$1,LOOKUP(E223,예상등급!$A$5:$A$13,예상등급!$B$5:$B$13),IF(D223=예상등급!$A$15,LOOKUP(E223,예상등급!$A$19:$A$27,예상등급!$B$19:$B$27),""))</f>
        <v>5</v>
      </c>
      <c r="G223" s="110" t="s">
        <v>781</v>
      </c>
      <c r="H223" s="71">
        <v>63</v>
      </c>
      <c r="I223" s="382">
        <f>IF(G223=예상등급!$G$15,LOOKUP(H223,예상등급!$G$19:$G$27,예상등급!$H$19:$H$27),IF(G223=예상등급!$J$15,LOOKUP(H223,예상등급!$J$19:$J$27,예상등급!$K$19:$K$27),IF(G223=예상등급!$M$15,LOOKUP(H223,예상등급!$M$19:$M$27,예상등급!$N$19:$N$27),"")))</f>
        <v>4</v>
      </c>
      <c r="J223" s="110"/>
      <c r="K223" s="382" t="str">
        <f>IF(J223="","",(LOOKUP(J223,예상등급!$D$5:$D$13,예상등급!$E$5:$E$13)))</f>
        <v/>
      </c>
      <c r="L223" s="301">
        <f>SUM(E223,H223,J223)</f>
        <v>109</v>
      </c>
      <c r="M223" s="398">
        <f>RANK(L223,$L$4:$L$491)</f>
        <v>181</v>
      </c>
      <c r="N223" s="110"/>
      <c r="O223" s="71">
        <v>0</v>
      </c>
      <c r="P223" s="385" t="str">
        <f>IF(N223=예상등급!$G$1,LOOKUP(O223,예상등급!$G$5:$G$13,예상등급!$H$5:$H$13),IF(N223=예상등급!$J$1,LOOKUP(O223,예상등급!$J$5:$J$13,예상등급!$K$5:$K$13),IF(N223=예상등급!$M$1,LOOKUP(O223,예상등급!$M$5:$M$13,예상등급!$N$5:$N$13),IF(N223=예상등급!$P$1,LOOKUP(O223,예상등급!$P$5:$P$13,예상등급!$Q$5:$Q$13),IF(N223=예상등급!$S$1,LOOKUP(O223,예상등급!$S$5:$S$13,예상등급!$T$5:$T$13),IF(N223=예상등급!$V$1,LOOKUP(O223,예상등급!$V$5:$V$13,예상등급!$W$5:$W$13),IF(N223=예상등급!$Y$1,LOOKUP(O223,예상등급!$Y$5:$Y$13,예상등급!$Z$5:$Z$13),IF(N223=예상등급!$AB$1,LOOKUP(O223,예상등급!$AB$5:$AB$13,예상등급!$AC$5:$AC$13),IF(N223=예상등급!$AE$1,LOOKUP(O223,예상등급!$AE$5:$AE$13,예상등급!$AF$5:$AF$13),IF(N223=예상등급!$AH$1,LOOKUP(O223,예상등급!$AH$5:$AH$13,예상등급!$AI$5:$AI$13),IF(N223=예상등급!$AK$1,LOOKUP(O223,예상등급!$AK$5:$AK$13,예상등급!$AL$5:$AL$13),IF(N223=예상등급!$AN$1,LOOKUP(O223,예상등급!$AN$5:$AN$13,예상등급!$AO$5:$AO$13),IF(N223=예상등급!$AQ$1,LOOKUP(O223,예상등급!$AQ$5:$AQ$13,예상등급!$AR$5:$AR$13),IF(N223=예상등급!$AH$15,LOOKUP(O223,예상등급!$AH$19:$AH$27,예상등급!$AI$19:$AI$27),IF(N223=예상등급!$AK$15,LOOKUP(O223,예상등급!$AK$19:$AK$27,예상등급!$AL$19:$AL$27),IF(N223=예상등급!$AN$15,LOOKUP(O223,예상등급!$AN$19:$AN$27,예상등급!$AO$19:$AO$27),IF(N223=예상등급!$AQ$15,LOOKUP(O223,예상등급!$AQ$19:$AQ$27,예상등급!$AR$19:$AR$27),"")))))))))))))))))</f>
        <v/>
      </c>
      <c r="Q223" s="110"/>
      <c r="R223" s="71">
        <v>0</v>
      </c>
      <c r="S223" s="385" t="str">
        <f>IF(Q223=예상등급!$G$1,LOOKUP(R223,예상등급!$G$5:$G$13,예상등급!$H$5:$H$13),IF(Q223=예상등급!$J$1,LOOKUP(R223,예상등급!$J$5:$J$13,예상등급!$K$5:$K$13),IF(Q223=예상등급!$M$1,LOOKUP(R223,예상등급!$M$5:$M$13,예상등급!$N$5:$N$13),IF(Q223=예상등급!$P$1,LOOKUP(R223,예상등급!$P$5:$P$13,예상등급!$Q$5:$Q$13),IF(Q223=예상등급!$S$1,LOOKUP(R223,예상등급!$S$5:$S$13,예상등급!$T$5:$T$13),IF(Q223=예상등급!$V$1,LOOKUP(R223,예상등급!$V$5:$V$13,예상등급!$W$5:$W$13),IF(Q223=예상등급!$Y$1,LOOKUP(R223,예상등급!$Y$5:$Y$13,예상등급!$Z$5:$Z$13),IF(Q223=예상등급!$AB$1,LOOKUP(R223,예상등급!$AB$5:$AB$13,예상등급!$AC$5:$AC$13),IF(Q223=예상등급!$AE$1,LOOKUP(R223,예상등급!$AE$5:$AE$13,예상등급!$AF$5:$AF$13),IF(Q223=예상등급!$AH$1,LOOKUP(R223,예상등급!$AH$5:$AH$13,예상등급!$AI$5:$AI$13),IF(Q223=예상등급!$AK$1,LOOKUP(R223,예상등급!$AK$5:$AK$13,예상등급!$AL$5:$AL$13),IF(Q223=예상등급!$AN$1,LOOKUP(R223,예상등급!$AN$5:$AN$13,예상등급!$AO$5:$AO$13),IF(Q223=예상등급!$AQ$1,LOOKUP(R223,예상등급!$AQ$5:$AQ$13,예상등급!$AR$5:$AR$13),IF(Q223=예상등급!$AH$15,LOOKUP(R223,예상등급!$AH$19:$AH$27,예상등급!$AI$19:$AI$27),IF(Q223=예상등급!$AK$15,LOOKUP(R223,예상등급!$AK$19:$AK$27,예상등급!$AL$19:$AL$27),IF(Q223=예상등급!$AN$15,LOOKUP(R223,예상등급!$AN$19:$AN$27,예상등급!$AO$19:$AO$27),IF(Q223=예상등급!$AQ$15,LOOKUP(R223,예상등급!$AQ$19:$AQ$27,예상등급!$AR$19:$AR$27),"")))))))))))))))))</f>
        <v/>
      </c>
      <c r="T223" s="110"/>
      <c r="U223" s="382" t="str">
        <f>IF(T223="","",LOOKUP(T223,예상등급!$D$19:$D$27,예상등급!$E$19:$E$27))</f>
        <v/>
      </c>
      <c r="V223" s="402">
        <f>SUM(L223,T223,R223,O223)</f>
        <v>109</v>
      </c>
      <c r="W223" s="278">
        <f>RANK(V223,$V$4:$V$491)</f>
        <v>219</v>
      </c>
    </row>
    <row r="224" spans="1:26" ht="24.95" customHeight="1" x14ac:dyDescent="0.15">
      <c r="A224" s="110">
        <v>2</v>
      </c>
      <c r="B224" s="71">
        <v>23</v>
      </c>
      <c r="C224" s="100" t="s">
        <v>840</v>
      </c>
      <c r="D224" s="110" t="s">
        <v>779</v>
      </c>
      <c r="E224" s="71">
        <v>24</v>
      </c>
      <c r="F224" s="382">
        <f>IF(D224=예상등급!$A$1,LOOKUP(E224,예상등급!$A$5:$A$13,예상등급!$B$5:$B$13),IF(D224=예상등급!$A$15,LOOKUP(E224,예상등급!$A$19:$A$27,예상등급!$B$19:$B$27),""))</f>
        <v>7</v>
      </c>
      <c r="G224" s="110" t="s">
        <v>780</v>
      </c>
      <c r="H224" s="71">
        <v>10</v>
      </c>
      <c r="I224" s="382">
        <f>IF(G224=예상등급!$G$15,LOOKUP(H224,예상등급!$G$19:$G$27,예상등급!$H$19:$H$27),IF(G224=예상등급!$J$15,LOOKUP(H224,예상등급!$J$19:$J$27,예상등급!$K$19:$K$27),IF(G224=예상등급!$M$15,LOOKUP(H224,예상등급!$M$19:$M$27,예상등급!$N$19:$N$27),"")))</f>
        <v>9</v>
      </c>
      <c r="J224" s="110">
        <v>46</v>
      </c>
      <c r="K224" s="382">
        <f>IF(J224="","",(LOOKUP(J224,예상등급!$D$5:$D$13,예상등급!$E$5:$E$13)))</f>
        <v>6</v>
      </c>
      <c r="L224" s="301">
        <f>SUM(E224,H224,J224)</f>
        <v>80</v>
      </c>
      <c r="M224" s="398">
        <f>RANK(L224,$L$4:$L$491)</f>
        <v>218</v>
      </c>
      <c r="N224" s="110" t="s">
        <v>761</v>
      </c>
      <c r="O224" s="71">
        <v>10</v>
      </c>
      <c r="P224" s="385">
        <f>IF(N224=예상등급!$G$1,LOOKUP(O224,예상등급!$G$5:$G$13,예상등급!$H$5:$H$13),IF(N224=예상등급!$J$1,LOOKUP(O224,예상등급!$J$5:$J$13,예상등급!$K$5:$K$13),IF(N224=예상등급!$M$1,LOOKUP(O224,예상등급!$M$5:$M$13,예상등급!$N$5:$N$13),IF(N224=예상등급!$P$1,LOOKUP(O224,예상등급!$P$5:$P$13,예상등급!$Q$5:$Q$13),IF(N224=예상등급!$S$1,LOOKUP(O224,예상등급!$S$5:$S$13,예상등급!$T$5:$T$13),IF(N224=예상등급!$V$1,LOOKUP(O224,예상등급!$V$5:$V$13,예상등급!$W$5:$W$13),IF(N224=예상등급!$Y$1,LOOKUP(O224,예상등급!$Y$5:$Y$13,예상등급!$Z$5:$Z$13),IF(N224=예상등급!$AB$1,LOOKUP(O224,예상등급!$AB$5:$AB$13,예상등급!$AC$5:$AC$13),IF(N224=예상등급!$AE$1,LOOKUP(O224,예상등급!$AE$5:$AE$13,예상등급!$AF$5:$AF$13),IF(N224=예상등급!$AH$1,LOOKUP(O224,예상등급!$AH$5:$AH$13,예상등급!$AI$5:$AI$13),IF(N224=예상등급!$AK$1,LOOKUP(O224,예상등급!$AK$5:$AK$13,예상등급!$AL$5:$AL$13),IF(N224=예상등급!$AN$1,LOOKUP(O224,예상등급!$AN$5:$AN$13,예상등급!$AO$5:$AO$13),IF(N224=예상등급!$AQ$1,LOOKUP(O224,예상등급!$AQ$5:$AQ$13,예상등급!$AR$5:$AR$13),IF(N224=예상등급!$AH$15,LOOKUP(O224,예상등급!$AH$19:$AH$27,예상등급!$AI$19:$AI$27),IF(N224=예상등급!$AK$15,LOOKUP(O224,예상등급!$AK$19:$AK$27,예상등급!$AL$19:$AL$27),IF(N224=예상등급!$AN$15,LOOKUP(O224,예상등급!$AN$19:$AN$27,예상등급!$AO$19:$AO$27),IF(N224=예상등급!$AQ$15,LOOKUP(O224,예상등급!$AQ$19:$AQ$27,예상등급!$AR$19:$AR$27),"")))))))))))))))))</f>
        <v>7</v>
      </c>
      <c r="Q224" s="110" t="s">
        <v>762</v>
      </c>
      <c r="R224" s="71">
        <v>13</v>
      </c>
      <c r="S224" s="385">
        <f>IF(Q224=예상등급!$G$1,LOOKUP(R224,예상등급!$G$5:$G$13,예상등급!$H$5:$H$13),IF(Q224=예상등급!$J$1,LOOKUP(R224,예상등급!$J$5:$J$13,예상등급!$K$5:$K$13),IF(Q224=예상등급!$M$1,LOOKUP(R224,예상등급!$M$5:$M$13,예상등급!$N$5:$N$13),IF(Q224=예상등급!$P$1,LOOKUP(R224,예상등급!$P$5:$P$13,예상등급!$Q$5:$Q$13),IF(Q224=예상등급!$S$1,LOOKUP(R224,예상등급!$S$5:$S$13,예상등급!$T$5:$T$13),IF(Q224=예상등급!$V$1,LOOKUP(R224,예상등급!$V$5:$V$13,예상등급!$W$5:$W$13),IF(Q224=예상등급!$Y$1,LOOKUP(R224,예상등급!$Y$5:$Y$13,예상등급!$Z$5:$Z$13),IF(Q224=예상등급!$AB$1,LOOKUP(R224,예상등급!$AB$5:$AB$13,예상등급!$AC$5:$AC$13),IF(Q224=예상등급!$AE$1,LOOKUP(R224,예상등급!$AE$5:$AE$13,예상등급!$AF$5:$AF$13),IF(Q224=예상등급!$AH$1,LOOKUP(R224,예상등급!$AH$5:$AH$13,예상등급!$AI$5:$AI$13),IF(Q224=예상등급!$AK$1,LOOKUP(R224,예상등급!$AK$5:$AK$13,예상등급!$AL$5:$AL$13),IF(Q224=예상등급!$AN$1,LOOKUP(R224,예상등급!$AN$5:$AN$13,예상등급!$AO$5:$AO$13),IF(Q224=예상등급!$AQ$1,LOOKUP(R224,예상등급!$AQ$5:$AQ$13,예상등급!$AR$5:$AR$13),IF(Q224=예상등급!$AH$15,LOOKUP(R224,예상등급!$AH$19:$AH$27,예상등급!$AI$19:$AI$27),IF(Q224=예상등급!$AK$15,LOOKUP(R224,예상등급!$AK$19:$AK$27,예상등급!$AL$19:$AL$27),IF(Q224=예상등급!$AN$15,LOOKUP(R224,예상등급!$AN$19:$AN$27,예상등급!$AO$19:$AO$27),IF(Q224=예상등급!$AQ$15,LOOKUP(R224,예상등급!$AQ$19:$AQ$27,예상등급!$AR$19:$AR$27),"")))))))))))))))))</f>
        <v>6</v>
      </c>
      <c r="T224" s="110">
        <v>5</v>
      </c>
      <c r="U224" s="382">
        <f>IF(T224="","",LOOKUP(T224,예상등급!$D$19:$D$27,예상등급!$E$19:$E$27))</f>
        <v>8</v>
      </c>
      <c r="V224" s="402">
        <f>SUM(L224,T224,R224,O224)</f>
        <v>108</v>
      </c>
      <c r="W224" s="278">
        <f>RANK(V224,$V$4:$V$491)</f>
        <v>221</v>
      </c>
      <c r="Y224" s="149"/>
      <c r="Z224" s="149"/>
    </row>
    <row r="225" spans="1:26" ht="24.95" customHeight="1" x14ac:dyDescent="0.15">
      <c r="A225" s="110">
        <v>2</v>
      </c>
      <c r="B225" s="71">
        <v>4</v>
      </c>
      <c r="C225" s="100" t="s">
        <v>822</v>
      </c>
      <c r="D225" s="110" t="s">
        <v>779</v>
      </c>
      <c r="E225" s="71">
        <v>37</v>
      </c>
      <c r="F225" s="382">
        <f>IF(D225=예상등급!$A$1,LOOKUP(E225,예상등급!$A$5:$A$13,예상등급!$B$5:$B$13),IF(D225=예상등급!$A$15,LOOKUP(E225,예상등급!$A$19:$A$27,예상등급!$B$19:$B$27),""))</f>
        <v>6</v>
      </c>
      <c r="G225" s="110" t="s">
        <v>780</v>
      </c>
      <c r="H225" s="71">
        <v>9</v>
      </c>
      <c r="I225" s="382">
        <f>IF(G225=예상등급!$G$15,LOOKUP(H225,예상등급!$G$19:$G$27,예상등급!$H$19:$H$27),IF(G225=예상등급!$J$15,LOOKUP(H225,예상등급!$J$19:$J$27,예상등급!$K$19:$K$27),IF(G225=예상등급!$M$15,LOOKUP(H225,예상등급!$M$19:$M$27,예상등급!$N$19:$N$27),"")))</f>
        <v>9</v>
      </c>
      <c r="J225" s="110">
        <v>21</v>
      </c>
      <c r="K225" s="382">
        <f>IF(J225="","",(LOOKUP(J225,예상등급!$D$5:$D$13,예상등급!$E$5:$E$13)))</f>
        <v>8</v>
      </c>
      <c r="L225" s="301">
        <f>SUM(E225,H225,J225)</f>
        <v>67</v>
      </c>
      <c r="M225" s="398">
        <f>RANK(L225,$L$4:$L$491)</f>
        <v>223</v>
      </c>
      <c r="N225" s="110" t="s">
        <v>761</v>
      </c>
      <c r="O225" s="71">
        <v>15</v>
      </c>
      <c r="P225" s="385">
        <f>IF(N225=예상등급!$G$1,LOOKUP(O225,예상등급!$G$5:$G$13,예상등급!$H$5:$H$13),IF(N225=예상등급!$J$1,LOOKUP(O225,예상등급!$J$5:$J$13,예상등급!$K$5:$K$13),IF(N225=예상등급!$M$1,LOOKUP(O225,예상등급!$M$5:$M$13,예상등급!$N$5:$N$13),IF(N225=예상등급!$P$1,LOOKUP(O225,예상등급!$P$5:$P$13,예상등급!$Q$5:$Q$13),IF(N225=예상등급!$S$1,LOOKUP(O225,예상등급!$S$5:$S$13,예상등급!$T$5:$T$13),IF(N225=예상등급!$V$1,LOOKUP(O225,예상등급!$V$5:$V$13,예상등급!$W$5:$W$13),IF(N225=예상등급!$Y$1,LOOKUP(O225,예상등급!$Y$5:$Y$13,예상등급!$Z$5:$Z$13),IF(N225=예상등급!$AB$1,LOOKUP(O225,예상등급!$AB$5:$AB$13,예상등급!$AC$5:$AC$13),IF(N225=예상등급!$AE$1,LOOKUP(O225,예상등급!$AE$5:$AE$13,예상등급!$AF$5:$AF$13),IF(N225=예상등급!$AH$1,LOOKUP(O225,예상등급!$AH$5:$AH$13,예상등급!$AI$5:$AI$13),IF(N225=예상등급!$AK$1,LOOKUP(O225,예상등급!$AK$5:$AK$13,예상등급!$AL$5:$AL$13),IF(N225=예상등급!$AN$1,LOOKUP(O225,예상등급!$AN$5:$AN$13,예상등급!$AO$5:$AO$13),IF(N225=예상등급!$AQ$1,LOOKUP(O225,예상등급!$AQ$5:$AQ$13,예상등급!$AR$5:$AR$13),IF(N225=예상등급!$AH$15,LOOKUP(O225,예상등급!$AH$19:$AH$27,예상등급!$AI$19:$AI$27),IF(N225=예상등급!$AK$15,LOOKUP(O225,예상등급!$AK$19:$AK$27,예상등급!$AL$19:$AL$27),IF(N225=예상등급!$AN$15,LOOKUP(O225,예상등급!$AN$19:$AN$27,예상등급!$AO$19:$AO$27),IF(N225=예상등급!$AQ$15,LOOKUP(O225,예상등급!$AQ$19:$AQ$27,예상등급!$AR$19:$AR$27),"")))))))))))))))))</f>
        <v>6</v>
      </c>
      <c r="Q225" s="110" t="s">
        <v>763</v>
      </c>
      <c r="R225" s="71">
        <v>8</v>
      </c>
      <c r="S225" s="385">
        <f>IF(Q225=예상등급!$G$1,LOOKUP(R225,예상등급!$G$5:$G$13,예상등급!$H$5:$H$13),IF(Q225=예상등급!$J$1,LOOKUP(R225,예상등급!$J$5:$J$13,예상등급!$K$5:$K$13),IF(Q225=예상등급!$M$1,LOOKUP(R225,예상등급!$M$5:$M$13,예상등급!$N$5:$N$13),IF(Q225=예상등급!$P$1,LOOKUP(R225,예상등급!$P$5:$P$13,예상등급!$Q$5:$Q$13),IF(Q225=예상등급!$S$1,LOOKUP(R225,예상등급!$S$5:$S$13,예상등급!$T$5:$T$13),IF(Q225=예상등급!$V$1,LOOKUP(R225,예상등급!$V$5:$V$13,예상등급!$W$5:$W$13),IF(Q225=예상등급!$Y$1,LOOKUP(R225,예상등급!$Y$5:$Y$13,예상등급!$Z$5:$Z$13),IF(Q225=예상등급!$AB$1,LOOKUP(R225,예상등급!$AB$5:$AB$13,예상등급!$AC$5:$AC$13),IF(Q225=예상등급!$AE$1,LOOKUP(R225,예상등급!$AE$5:$AE$13,예상등급!$AF$5:$AF$13),IF(Q225=예상등급!$AH$1,LOOKUP(R225,예상등급!$AH$5:$AH$13,예상등급!$AI$5:$AI$13),IF(Q225=예상등급!$AK$1,LOOKUP(R225,예상등급!$AK$5:$AK$13,예상등급!$AL$5:$AL$13),IF(Q225=예상등급!$AN$1,LOOKUP(R225,예상등급!$AN$5:$AN$13,예상등급!$AO$5:$AO$13),IF(Q225=예상등급!$AQ$1,LOOKUP(R225,예상등급!$AQ$5:$AQ$13,예상등급!$AR$5:$AR$13),IF(Q225=예상등급!$AH$15,LOOKUP(R225,예상등급!$AH$19:$AH$27,예상등급!$AI$19:$AI$27),IF(Q225=예상등급!$AK$15,LOOKUP(R225,예상등급!$AK$19:$AK$27,예상등급!$AL$19:$AL$27),IF(Q225=예상등급!$AN$15,LOOKUP(R225,예상등급!$AN$19:$AN$27,예상등급!$AO$19:$AO$27),IF(Q225=예상등급!$AQ$15,LOOKUP(R225,예상등급!$AQ$19:$AQ$27,예상등급!$AR$19:$AR$27),"")))))))))))))))))</f>
        <v>8</v>
      </c>
      <c r="T225" s="110">
        <v>17</v>
      </c>
      <c r="U225" s="382">
        <f>IF(T225="","",LOOKUP(T225,예상등급!$D$19:$D$27,예상등급!$E$19:$E$27))</f>
        <v>6</v>
      </c>
      <c r="V225" s="402">
        <f>SUM(L225,T225,R225,O225)</f>
        <v>107</v>
      </c>
      <c r="W225" s="278">
        <f>RANK(V225,$V$4:$V$491)</f>
        <v>222</v>
      </c>
      <c r="Y225" s="149"/>
      <c r="Z225" s="149"/>
    </row>
    <row r="226" spans="1:26" ht="24.95" customHeight="1" x14ac:dyDescent="0.15">
      <c r="A226" s="110">
        <v>5</v>
      </c>
      <c r="B226" s="71">
        <v>11</v>
      </c>
      <c r="C226" s="100" t="s">
        <v>882</v>
      </c>
      <c r="D226" s="110" t="s">
        <v>779</v>
      </c>
      <c r="E226" s="71">
        <v>20</v>
      </c>
      <c r="F226" s="382">
        <f>IF(D226=예상등급!$A$1,LOOKUP(E226,예상등급!$A$5:$A$13,예상등급!$B$5:$B$13),IF(D226=예상등급!$A$15,LOOKUP(E226,예상등급!$A$19:$A$27,예상등급!$B$19:$B$27),""))</f>
        <v>8</v>
      </c>
      <c r="G226" s="110" t="s">
        <v>780</v>
      </c>
      <c r="H226" s="71">
        <v>17</v>
      </c>
      <c r="I226" s="382">
        <f>IF(G226=예상등급!$G$15,LOOKUP(H226,예상등급!$G$19:$G$27,예상등급!$H$19:$H$27),IF(G226=예상등급!$J$15,LOOKUP(H226,예상등급!$J$19:$J$27,예상등급!$K$19:$K$27),IF(G226=예상등급!$M$15,LOOKUP(H226,예상등급!$M$19:$M$27,예상등급!$N$19:$N$27),"")))</f>
        <v>8</v>
      </c>
      <c r="J226" s="110">
        <v>36</v>
      </c>
      <c r="K226" s="382">
        <f>IF(J226="","",(LOOKUP(J226,예상등급!$D$5:$D$13,예상등급!$E$5:$E$13)))</f>
        <v>7</v>
      </c>
      <c r="L226" s="301">
        <f>SUM(E226,H226,J226)</f>
        <v>73</v>
      </c>
      <c r="M226" s="398">
        <f>RANK(L226,$L$4:$L$491)</f>
        <v>219</v>
      </c>
      <c r="N226" s="110" t="s">
        <v>761</v>
      </c>
      <c r="O226" s="71">
        <v>10</v>
      </c>
      <c r="P226" s="385">
        <f>IF(N226=예상등급!$G$1,LOOKUP(O226,예상등급!$G$5:$G$13,예상등급!$H$5:$H$13),IF(N226=예상등급!$J$1,LOOKUP(O226,예상등급!$J$5:$J$13,예상등급!$K$5:$K$13),IF(N226=예상등급!$M$1,LOOKUP(O226,예상등급!$M$5:$M$13,예상등급!$N$5:$N$13),IF(N226=예상등급!$P$1,LOOKUP(O226,예상등급!$P$5:$P$13,예상등급!$Q$5:$Q$13),IF(N226=예상등급!$S$1,LOOKUP(O226,예상등급!$S$5:$S$13,예상등급!$T$5:$T$13),IF(N226=예상등급!$V$1,LOOKUP(O226,예상등급!$V$5:$V$13,예상등급!$W$5:$W$13),IF(N226=예상등급!$Y$1,LOOKUP(O226,예상등급!$Y$5:$Y$13,예상등급!$Z$5:$Z$13),IF(N226=예상등급!$AB$1,LOOKUP(O226,예상등급!$AB$5:$AB$13,예상등급!$AC$5:$AC$13),IF(N226=예상등급!$AE$1,LOOKUP(O226,예상등급!$AE$5:$AE$13,예상등급!$AF$5:$AF$13),IF(N226=예상등급!$AH$1,LOOKUP(O226,예상등급!$AH$5:$AH$13,예상등급!$AI$5:$AI$13),IF(N226=예상등급!$AK$1,LOOKUP(O226,예상등급!$AK$5:$AK$13,예상등급!$AL$5:$AL$13),IF(N226=예상등급!$AN$1,LOOKUP(O226,예상등급!$AN$5:$AN$13,예상등급!$AO$5:$AO$13),IF(N226=예상등급!$AQ$1,LOOKUP(O226,예상등급!$AQ$5:$AQ$13,예상등급!$AR$5:$AR$13),IF(N226=예상등급!$AH$15,LOOKUP(O226,예상등급!$AH$19:$AH$27,예상등급!$AI$19:$AI$27),IF(N226=예상등급!$AK$15,LOOKUP(O226,예상등급!$AK$19:$AK$27,예상등급!$AL$19:$AL$27),IF(N226=예상등급!$AN$15,LOOKUP(O226,예상등급!$AN$19:$AN$27,예상등급!$AO$19:$AO$27),IF(N226=예상등급!$AQ$15,LOOKUP(O226,예상등급!$AQ$19:$AQ$27,예상등급!$AR$19:$AR$27),"")))))))))))))))))</f>
        <v>7</v>
      </c>
      <c r="Q226" s="110" t="s">
        <v>764</v>
      </c>
      <c r="R226" s="71">
        <v>9</v>
      </c>
      <c r="S226" s="385">
        <f>IF(Q226=예상등급!$G$1,LOOKUP(R226,예상등급!$G$5:$G$13,예상등급!$H$5:$H$13),IF(Q226=예상등급!$J$1,LOOKUP(R226,예상등급!$J$5:$J$13,예상등급!$K$5:$K$13),IF(Q226=예상등급!$M$1,LOOKUP(R226,예상등급!$M$5:$M$13,예상등급!$N$5:$N$13),IF(Q226=예상등급!$P$1,LOOKUP(R226,예상등급!$P$5:$P$13,예상등급!$Q$5:$Q$13),IF(Q226=예상등급!$S$1,LOOKUP(R226,예상등급!$S$5:$S$13,예상등급!$T$5:$T$13),IF(Q226=예상등급!$V$1,LOOKUP(R226,예상등급!$V$5:$V$13,예상등급!$W$5:$W$13),IF(Q226=예상등급!$Y$1,LOOKUP(R226,예상등급!$Y$5:$Y$13,예상등급!$Z$5:$Z$13),IF(Q226=예상등급!$AB$1,LOOKUP(R226,예상등급!$AB$5:$AB$13,예상등급!$AC$5:$AC$13),IF(Q226=예상등급!$AE$1,LOOKUP(R226,예상등급!$AE$5:$AE$13,예상등급!$AF$5:$AF$13),IF(Q226=예상등급!$AH$1,LOOKUP(R226,예상등급!$AH$5:$AH$13,예상등급!$AI$5:$AI$13),IF(Q226=예상등급!$AK$1,LOOKUP(R226,예상등급!$AK$5:$AK$13,예상등급!$AL$5:$AL$13),IF(Q226=예상등급!$AN$1,LOOKUP(R226,예상등급!$AN$5:$AN$13,예상등급!$AO$5:$AO$13),IF(Q226=예상등급!$AQ$1,LOOKUP(R226,예상등급!$AQ$5:$AQ$13,예상등급!$AR$5:$AR$13),IF(Q226=예상등급!$AH$15,LOOKUP(R226,예상등급!$AH$19:$AH$27,예상등급!$AI$19:$AI$27),IF(Q226=예상등급!$AK$15,LOOKUP(R226,예상등급!$AK$19:$AK$27,예상등급!$AL$19:$AL$27),IF(Q226=예상등급!$AN$15,LOOKUP(R226,예상등급!$AN$19:$AN$27,예상등급!$AO$19:$AO$27),IF(Q226=예상등급!$AQ$15,LOOKUP(R226,예상등급!$AQ$19:$AQ$27,예상등급!$AR$19:$AR$27),"")))))))))))))))))</f>
        <v>7</v>
      </c>
      <c r="T226" s="110">
        <v>15</v>
      </c>
      <c r="U226" s="382">
        <f>IF(T226="","",LOOKUP(T226,예상등급!$D$19:$D$27,예상등급!$E$19:$E$27))</f>
        <v>6</v>
      </c>
      <c r="V226" s="402">
        <f>SUM(L226,T226,R226,O226)</f>
        <v>107</v>
      </c>
      <c r="W226" s="278">
        <f>RANK(V226,$V$4:$V$491)</f>
        <v>222</v>
      </c>
    </row>
    <row r="227" spans="1:26" ht="24.95" customHeight="1" x14ac:dyDescent="0.15">
      <c r="A227" s="110">
        <v>2</v>
      </c>
      <c r="B227" s="71">
        <v>17</v>
      </c>
      <c r="C227" s="100" t="s">
        <v>834</v>
      </c>
      <c r="D227" s="110" t="s">
        <v>779</v>
      </c>
      <c r="E227" s="71">
        <v>15</v>
      </c>
      <c r="F227" s="382">
        <f>IF(D227=예상등급!$A$1,LOOKUP(E227,예상등급!$A$5:$A$13,예상등급!$B$5:$B$13),IF(D227=예상등급!$A$15,LOOKUP(E227,예상등급!$A$19:$A$27,예상등급!$B$19:$B$27),""))</f>
        <v>9</v>
      </c>
      <c r="G227" s="110" t="s">
        <v>780</v>
      </c>
      <c r="H227" s="71">
        <v>9</v>
      </c>
      <c r="I227" s="382">
        <f>IF(G227=예상등급!$G$15,LOOKUP(H227,예상등급!$G$19:$G$27,예상등급!$H$19:$H$27),IF(G227=예상등급!$J$15,LOOKUP(H227,예상등급!$J$19:$J$27,예상등급!$K$19:$K$27),IF(G227=예상등급!$M$15,LOOKUP(H227,예상등급!$M$19:$M$27,예상등급!$N$19:$N$27),"")))</f>
        <v>9</v>
      </c>
      <c r="J227" s="110">
        <v>45</v>
      </c>
      <c r="K227" s="382">
        <f>IF(J227="","",(LOOKUP(J227,예상등급!$D$5:$D$13,예상등급!$E$5:$E$13)))</f>
        <v>6</v>
      </c>
      <c r="L227" s="301">
        <f>SUM(E227,H227,J227)</f>
        <v>69</v>
      </c>
      <c r="M227" s="398">
        <f>RANK(L227,$L$4:$L$491)</f>
        <v>222</v>
      </c>
      <c r="N227" s="110" t="s">
        <v>760</v>
      </c>
      <c r="O227" s="71">
        <v>9</v>
      </c>
      <c r="P227" s="385">
        <f>IF(N227=예상등급!$G$1,LOOKUP(O227,예상등급!$G$5:$G$13,예상등급!$H$5:$H$13),IF(N227=예상등급!$J$1,LOOKUP(O227,예상등급!$J$5:$J$13,예상등급!$K$5:$K$13),IF(N227=예상등급!$M$1,LOOKUP(O227,예상등급!$M$5:$M$13,예상등급!$N$5:$N$13),IF(N227=예상등급!$P$1,LOOKUP(O227,예상등급!$P$5:$P$13,예상등급!$Q$5:$Q$13),IF(N227=예상등급!$S$1,LOOKUP(O227,예상등급!$S$5:$S$13,예상등급!$T$5:$T$13),IF(N227=예상등급!$V$1,LOOKUP(O227,예상등급!$V$5:$V$13,예상등급!$W$5:$W$13),IF(N227=예상등급!$Y$1,LOOKUP(O227,예상등급!$Y$5:$Y$13,예상등급!$Z$5:$Z$13),IF(N227=예상등급!$AB$1,LOOKUP(O227,예상등급!$AB$5:$AB$13,예상등급!$AC$5:$AC$13),IF(N227=예상등급!$AE$1,LOOKUP(O227,예상등급!$AE$5:$AE$13,예상등급!$AF$5:$AF$13),IF(N227=예상등급!$AH$1,LOOKUP(O227,예상등급!$AH$5:$AH$13,예상등급!$AI$5:$AI$13),IF(N227=예상등급!$AK$1,LOOKUP(O227,예상등급!$AK$5:$AK$13,예상등급!$AL$5:$AL$13),IF(N227=예상등급!$AN$1,LOOKUP(O227,예상등급!$AN$5:$AN$13,예상등급!$AO$5:$AO$13),IF(N227=예상등급!$AQ$1,LOOKUP(O227,예상등급!$AQ$5:$AQ$13,예상등급!$AR$5:$AR$13),IF(N227=예상등급!$AH$15,LOOKUP(O227,예상등급!$AH$19:$AH$27,예상등급!$AI$19:$AI$27),IF(N227=예상등급!$AK$15,LOOKUP(O227,예상등급!$AK$19:$AK$27,예상등급!$AL$19:$AL$27),IF(N227=예상등급!$AN$15,LOOKUP(O227,예상등급!$AN$19:$AN$27,예상등급!$AO$19:$AO$27),IF(N227=예상등급!$AQ$15,LOOKUP(O227,예상등급!$AQ$19:$AQ$27,예상등급!$AR$19:$AR$27),"")))))))))))))))))</f>
        <v>7</v>
      </c>
      <c r="Q227" s="110" t="s">
        <v>762</v>
      </c>
      <c r="R227" s="71">
        <v>11</v>
      </c>
      <c r="S227" s="385">
        <f>IF(Q227=예상등급!$G$1,LOOKUP(R227,예상등급!$G$5:$G$13,예상등급!$H$5:$H$13),IF(Q227=예상등급!$J$1,LOOKUP(R227,예상등급!$J$5:$J$13,예상등급!$K$5:$K$13),IF(Q227=예상등급!$M$1,LOOKUP(R227,예상등급!$M$5:$M$13,예상등급!$N$5:$N$13),IF(Q227=예상등급!$P$1,LOOKUP(R227,예상등급!$P$5:$P$13,예상등급!$Q$5:$Q$13),IF(Q227=예상등급!$S$1,LOOKUP(R227,예상등급!$S$5:$S$13,예상등급!$T$5:$T$13),IF(Q227=예상등급!$V$1,LOOKUP(R227,예상등급!$V$5:$V$13,예상등급!$W$5:$W$13),IF(Q227=예상등급!$Y$1,LOOKUP(R227,예상등급!$Y$5:$Y$13,예상등급!$Z$5:$Z$13),IF(Q227=예상등급!$AB$1,LOOKUP(R227,예상등급!$AB$5:$AB$13,예상등급!$AC$5:$AC$13),IF(Q227=예상등급!$AE$1,LOOKUP(R227,예상등급!$AE$5:$AE$13,예상등급!$AF$5:$AF$13),IF(Q227=예상등급!$AH$1,LOOKUP(R227,예상등급!$AH$5:$AH$13,예상등급!$AI$5:$AI$13),IF(Q227=예상등급!$AK$1,LOOKUP(R227,예상등급!$AK$5:$AK$13,예상등급!$AL$5:$AL$13),IF(Q227=예상등급!$AN$1,LOOKUP(R227,예상등급!$AN$5:$AN$13,예상등급!$AO$5:$AO$13),IF(Q227=예상등급!$AQ$1,LOOKUP(R227,예상등급!$AQ$5:$AQ$13,예상등급!$AR$5:$AR$13),IF(Q227=예상등급!$AH$15,LOOKUP(R227,예상등급!$AH$19:$AH$27,예상등급!$AI$19:$AI$27),IF(Q227=예상등급!$AK$15,LOOKUP(R227,예상등급!$AK$19:$AK$27,예상등급!$AL$19:$AL$27),IF(Q227=예상등급!$AN$15,LOOKUP(R227,예상등급!$AN$19:$AN$27,예상등급!$AO$19:$AO$27),IF(Q227=예상등급!$AQ$15,LOOKUP(R227,예상등급!$AQ$19:$AQ$27,예상등급!$AR$19:$AR$27),"")))))))))))))))))</f>
        <v>7</v>
      </c>
      <c r="T227" s="110">
        <v>14</v>
      </c>
      <c r="U227" s="382">
        <f>IF(T227="","",LOOKUP(T227,예상등급!$D$19:$D$27,예상등급!$E$19:$E$27))</f>
        <v>7</v>
      </c>
      <c r="V227" s="402">
        <f>SUM(L227,T227,R227,O227)</f>
        <v>103</v>
      </c>
      <c r="W227" s="278">
        <f>RANK(V227,$V$4:$V$491)</f>
        <v>224</v>
      </c>
    </row>
    <row r="228" spans="1:26" ht="24.95" customHeight="1" x14ac:dyDescent="0.15">
      <c r="A228" s="110">
        <v>10</v>
      </c>
      <c r="B228" s="71">
        <v>18</v>
      </c>
      <c r="C228" s="100" t="s">
        <v>1001</v>
      </c>
      <c r="D228" s="110" t="s">
        <v>779</v>
      </c>
      <c r="E228" s="71">
        <v>33</v>
      </c>
      <c r="F228" s="382">
        <f>IF(D228=예상등급!$A$1,LOOKUP(E228,예상등급!$A$5:$A$13,예상등급!$B$5:$B$13),IF(D228=예상등급!$A$15,LOOKUP(E228,예상등급!$A$19:$A$27,예상등급!$B$19:$B$27),""))</f>
        <v>6</v>
      </c>
      <c r="G228" s="110" t="s">
        <v>780</v>
      </c>
      <c r="H228" s="71">
        <v>9</v>
      </c>
      <c r="I228" s="382">
        <f>IF(G228=예상등급!$G$15,LOOKUP(H228,예상등급!$G$19:$G$27,예상등급!$H$19:$H$27),IF(G228=예상등급!$J$15,LOOKUP(H228,예상등급!$J$19:$J$27,예상등급!$K$19:$K$27),IF(G228=예상등급!$M$15,LOOKUP(H228,예상등급!$M$19:$M$27,예상등급!$N$19:$N$27),"")))</f>
        <v>9</v>
      </c>
      <c r="J228" s="110">
        <v>24</v>
      </c>
      <c r="K228" s="382">
        <f>IF(J228="","",(LOOKUP(J228,예상등급!$D$5:$D$13,예상등급!$E$5:$E$13)))</f>
        <v>8</v>
      </c>
      <c r="L228" s="301">
        <f>SUM(E228,H228,J228)</f>
        <v>66</v>
      </c>
      <c r="M228" s="398">
        <f>RANK(L228,$L$4:$L$491)</f>
        <v>224</v>
      </c>
      <c r="N228" s="110" t="s">
        <v>761</v>
      </c>
      <c r="O228" s="71">
        <v>14</v>
      </c>
      <c r="P228" s="385">
        <f>IF(N228=예상등급!$G$1,LOOKUP(O228,예상등급!$G$5:$G$13,예상등급!$H$5:$H$13),IF(N228=예상등급!$J$1,LOOKUP(O228,예상등급!$J$5:$J$13,예상등급!$K$5:$K$13),IF(N228=예상등급!$M$1,LOOKUP(O228,예상등급!$M$5:$M$13,예상등급!$N$5:$N$13),IF(N228=예상등급!$P$1,LOOKUP(O228,예상등급!$P$5:$P$13,예상등급!$Q$5:$Q$13),IF(N228=예상등급!$S$1,LOOKUP(O228,예상등급!$S$5:$S$13,예상등급!$T$5:$T$13),IF(N228=예상등급!$V$1,LOOKUP(O228,예상등급!$V$5:$V$13,예상등급!$W$5:$W$13),IF(N228=예상등급!$Y$1,LOOKUP(O228,예상등급!$Y$5:$Y$13,예상등급!$Z$5:$Z$13),IF(N228=예상등급!$AB$1,LOOKUP(O228,예상등급!$AB$5:$AB$13,예상등급!$AC$5:$AC$13),IF(N228=예상등급!$AE$1,LOOKUP(O228,예상등급!$AE$5:$AE$13,예상등급!$AF$5:$AF$13),IF(N228=예상등급!$AH$1,LOOKUP(O228,예상등급!$AH$5:$AH$13,예상등급!$AI$5:$AI$13),IF(N228=예상등급!$AK$1,LOOKUP(O228,예상등급!$AK$5:$AK$13,예상등급!$AL$5:$AL$13),IF(N228=예상등급!$AN$1,LOOKUP(O228,예상등급!$AN$5:$AN$13,예상등급!$AO$5:$AO$13),IF(N228=예상등급!$AQ$1,LOOKUP(O228,예상등급!$AQ$5:$AQ$13,예상등급!$AR$5:$AR$13),IF(N228=예상등급!$AH$15,LOOKUP(O228,예상등급!$AH$19:$AH$27,예상등급!$AI$19:$AI$27),IF(N228=예상등급!$AK$15,LOOKUP(O228,예상등급!$AK$19:$AK$27,예상등급!$AL$19:$AL$27),IF(N228=예상등급!$AN$15,LOOKUP(O228,예상등급!$AN$19:$AN$27,예상등급!$AO$19:$AO$27),IF(N228=예상등급!$AQ$15,LOOKUP(O228,예상등급!$AQ$19:$AQ$27,예상등급!$AR$19:$AR$27),"")))))))))))))))))</f>
        <v>6</v>
      </c>
      <c r="Q228" s="110" t="s">
        <v>762</v>
      </c>
      <c r="R228" s="71">
        <v>9</v>
      </c>
      <c r="S228" s="385">
        <f>IF(Q228=예상등급!$G$1,LOOKUP(R228,예상등급!$G$5:$G$13,예상등급!$H$5:$H$13),IF(Q228=예상등급!$J$1,LOOKUP(R228,예상등급!$J$5:$J$13,예상등급!$K$5:$K$13),IF(Q228=예상등급!$M$1,LOOKUP(R228,예상등급!$M$5:$M$13,예상등급!$N$5:$N$13),IF(Q228=예상등급!$P$1,LOOKUP(R228,예상등급!$P$5:$P$13,예상등급!$Q$5:$Q$13),IF(Q228=예상등급!$S$1,LOOKUP(R228,예상등급!$S$5:$S$13,예상등급!$T$5:$T$13),IF(Q228=예상등급!$V$1,LOOKUP(R228,예상등급!$V$5:$V$13,예상등급!$W$5:$W$13),IF(Q228=예상등급!$Y$1,LOOKUP(R228,예상등급!$Y$5:$Y$13,예상등급!$Z$5:$Z$13),IF(Q228=예상등급!$AB$1,LOOKUP(R228,예상등급!$AB$5:$AB$13,예상등급!$AC$5:$AC$13),IF(Q228=예상등급!$AE$1,LOOKUP(R228,예상등급!$AE$5:$AE$13,예상등급!$AF$5:$AF$13),IF(Q228=예상등급!$AH$1,LOOKUP(R228,예상등급!$AH$5:$AH$13,예상등급!$AI$5:$AI$13),IF(Q228=예상등급!$AK$1,LOOKUP(R228,예상등급!$AK$5:$AK$13,예상등급!$AL$5:$AL$13),IF(Q228=예상등급!$AN$1,LOOKUP(R228,예상등급!$AN$5:$AN$13,예상등급!$AO$5:$AO$13),IF(Q228=예상등급!$AQ$1,LOOKUP(R228,예상등급!$AQ$5:$AQ$13,예상등급!$AR$5:$AR$13),IF(Q228=예상등급!$AH$15,LOOKUP(R228,예상등급!$AH$19:$AH$27,예상등급!$AI$19:$AI$27),IF(Q228=예상등급!$AK$15,LOOKUP(R228,예상등급!$AK$19:$AK$27,예상등급!$AL$19:$AL$27),IF(Q228=예상등급!$AN$15,LOOKUP(R228,예상등급!$AN$19:$AN$27,예상등급!$AO$19:$AO$27),IF(Q228=예상등급!$AQ$15,LOOKUP(R228,예상등급!$AQ$19:$AQ$27,예상등급!$AR$19:$AR$27),"")))))))))))))))))</f>
        <v>7</v>
      </c>
      <c r="T228" s="110">
        <v>12</v>
      </c>
      <c r="U228" s="382">
        <f>IF(T228="","",LOOKUP(T228,예상등급!$D$19:$D$27,예상등급!$E$19:$E$27))</f>
        <v>7</v>
      </c>
      <c r="V228" s="402">
        <f>SUM(L228,T228,R228,O228)</f>
        <v>101</v>
      </c>
      <c r="W228" s="278">
        <f>RANK(V228,$V$4:$V$491)</f>
        <v>225</v>
      </c>
    </row>
    <row r="229" spans="1:26" ht="24.95" customHeight="1" x14ac:dyDescent="0.15">
      <c r="A229" s="110">
        <v>10</v>
      </c>
      <c r="B229" s="71">
        <v>7</v>
      </c>
      <c r="C229" s="100" t="s">
        <v>990</v>
      </c>
      <c r="D229" s="110" t="s">
        <v>779</v>
      </c>
      <c r="E229" s="71">
        <v>26</v>
      </c>
      <c r="F229" s="382">
        <f>IF(D229=예상등급!$A$1,LOOKUP(E229,예상등급!$A$5:$A$13,예상등급!$B$5:$B$13),IF(D229=예상등급!$A$15,LOOKUP(E229,예상등급!$A$19:$A$27,예상등급!$B$19:$B$27),""))</f>
        <v>7</v>
      </c>
      <c r="G229" s="110" t="s">
        <v>780</v>
      </c>
      <c r="H229" s="71">
        <v>21</v>
      </c>
      <c r="I229" s="382">
        <f>IF(G229=예상등급!$G$15,LOOKUP(H229,예상등급!$G$19:$G$27,예상등급!$H$19:$H$27),IF(G229=예상등급!$J$15,LOOKUP(H229,예상등급!$J$19:$J$27,예상등급!$K$19:$K$27),IF(G229=예상등급!$M$15,LOOKUP(H229,예상등급!$M$19:$M$27,예상등급!$N$19:$N$27),"")))</f>
        <v>7</v>
      </c>
      <c r="J229" s="110">
        <v>16</v>
      </c>
      <c r="K229" s="382">
        <f>IF(J229="","",(LOOKUP(J229,예상등급!$D$5:$D$13,예상등급!$E$5:$E$13)))</f>
        <v>9</v>
      </c>
      <c r="L229" s="301">
        <f>SUM(E229,H229,J229)</f>
        <v>63</v>
      </c>
      <c r="M229" s="398">
        <f>RANK(L229,$L$4:$L$491)</f>
        <v>225</v>
      </c>
      <c r="N229" s="110" t="s">
        <v>761</v>
      </c>
      <c r="O229" s="71">
        <v>17</v>
      </c>
      <c r="P229" s="385">
        <f>IF(N229=예상등급!$G$1,LOOKUP(O229,예상등급!$G$5:$G$13,예상등급!$H$5:$H$13),IF(N229=예상등급!$J$1,LOOKUP(O229,예상등급!$J$5:$J$13,예상등급!$K$5:$K$13),IF(N229=예상등급!$M$1,LOOKUP(O229,예상등급!$M$5:$M$13,예상등급!$N$5:$N$13),IF(N229=예상등급!$P$1,LOOKUP(O229,예상등급!$P$5:$P$13,예상등급!$Q$5:$Q$13),IF(N229=예상등급!$S$1,LOOKUP(O229,예상등급!$S$5:$S$13,예상등급!$T$5:$T$13),IF(N229=예상등급!$V$1,LOOKUP(O229,예상등급!$V$5:$V$13,예상등급!$W$5:$W$13),IF(N229=예상등급!$Y$1,LOOKUP(O229,예상등급!$Y$5:$Y$13,예상등급!$Z$5:$Z$13),IF(N229=예상등급!$AB$1,LOOKUP(O229,예상등급!$AB$5:$AB$13,예상등급!$AC$5:$AC$13),IF(N229=예상등급!$AE$1,LOOKUP(O229,예상등급!$AE$5:$AE$13,예상등급!$AF$5:$AF$13),IF(N229=예상등급!$AH$1,LOOKUP(O229,예상등급!$AH$5:$AH$13,예상등급!$AI$5:$AI$13),IF(N229=예상등급!$AK$1,LOOKUP(O229,예상등급!$AK$5:$AK$13,예상등급!$AL$5:$AL$13),IF(N229=예상등급!$AN$1,LOOKUP(O229,예상등급!$AN$5:$AN$13,예상등급!$AO$5:$AO$13),IF(N229=예상등급!$AQ$1,LOOKUP(O229,예상등급!$AQ$5:$AQ$13,예상등급!$AR$5:$AR$13),IF(N229=예상등급!$AH$15,LOOKUP(O229,예상등급!$AH$19:$AH$27,예상등급!$AI$19:$AI$27),IF(N229=예상등급!$AK$15,LOOKUP(O229,예상등급!$AK$19:$AK$27,예상등급!$AL$19:$AL$27),IF(N229=예상등급!$AN$15,LOOKUP(O229,예상등급!$AN$19:$AN$27,예상등급!$AO$19:$AO$27),IF(N229=예상등급!$AQ$15,LOOKUP(O229,예상등급!$AQ$19:$AQ$27,예상등급!$AR$19:$AR$27),"")))))))))))))))))</f>
        <v>6</v>
      </c>
      <c r="Q229" s="110" t="s">
        <v>762</v>
      </c>
      <c r="R229" s="71">
        <v>10</v>
      </c>
      <c r="S229" s="385">
        <f>IF(Q229=예상등급!$G$1,LOOKUP(R229,예상등급!$G$5:$G$13,예상등급!$H$5:$H$13),IF(Q229=예상등급!$J$1,LOOKUP(R229,예상등급!$J$5:$J$13,예상등급!$K$5:$K$13),IF(Q229=예상등급!$M$1,LOOKUP(R229,예상등급!$M$5:$M$13,예상등급!$N$5:$N$13),IF(Q229=예상등급!$P$1,LOOKUP(R229,예상등급!$P$5:$P$13,예상등급!$Q$5:$Q$13),IF(Q229=예상등급!$S$1,LOOKUP(R229,예상등급!$S$5:$S$13,예상등급!$T$5:$T$13),IF(Q229=예상등급!$V$1,LOOKUP(R229,예상등급!$V$5:$V$13,예상등급!$W$5:$W$13),IF(Q229=예상등급!$Y$1,LOOKUP(R229,예상등급!$Y$5:$Y$13,예상등급!$Z$5:$Z$13),IF(Q229=예상등급!$AB$1,LOOKUP(R229,예상등급!$AB$5:$AB$13,예상등급!$AC$5:$AC$13),IF(Q229=예상등급!$AE$1,LOOKUP(R229,예상등급!$AE$5:$AE$13,예상등급!$AF$5:$AF$13),IF(Q229=예상등급!$AH$1,LOOKUP(R229,예상등급!$AH$5:$AH$13,예상등급!$AI$5:$AI$13),IF(Q229=예상등급!$AK$1,LOOKUP(R229,예상등급!$AK$5:$AK$13,예상등급!$AL$5:$AL$13),IF(Q229=예상등급!$AN$1,LOOKUP(R229,예상등급!$AN$5:$AN$13,예상등급!$AO$5:$AO$13),IF(Q229=예상등급!$AQ$1,LOOKUP(R229,예상등급!$AQ$5:$AQ$13,예상등급!$AR$5:$AR$13),IF(Q229=예상등급!$AH$15,LOOKUP(R229,예상등급!$AH$19:$AH$27,예상등급!$AI$19:$AI$27),IF(Q229=예상등급!$AK$15,LOOKUP(R229,예상등급!$AK$19:$AK$27,예상등급!$AL$19:$AL$27),IF(Q229=예상등급!$AN$15,LOOKUP(R229,예상등급!$AN$19:$AN$27,예상등급!$AO$19:$AO$27),IF(Q229=예상등급!$AQ$15,LOOKUP(R229,예상등급!$AQ$19:$AQ$27,예상등급!$AR$19:$AR$27),"")))))))))))))))))</f>
        <v>7</v>
      </c>
      <c r="T229" s="110">
        <v>7</v>
      </c>
      <c r="U229" s="382">
        <f>IF(T229="","",LOOKUP(T229,예상등급!$D$19:$D$27,예상등급!$E$19:$E$27))</f>
        <v>8</v>
      </c>
      <c r="V229" s="402">
        <f>SUM(L229,T229,R229,O229)</f>
        <v>97</v>
      </c>
      <c r="W229" s="278">
        <f>RANK(V229,$V$4:$V$491)</f>
        <v>226</v>
      </c>
    </row>
    <row r="230" spans="1:26" ht="24.95" customHeight="1" x14ac:dyDescent="0.15">
      <c r="A230" s="110">
        <v>9</v>
      </c>
      <c r="B230" s="71">
        <v>13</v>
      </c>
      <c r="C230" s="100" t="s">
        <v>971</v>
      </c>
      <c r="D230" s="110" t="s">
        <v>779</v>
      </c>
      <c r="E230" s="71">
        <v>36</v>
      </c>
      <c r="F230" s="382">
        <f>IF(D230=예상등급!$A$1,LOOKUP(E230,예상등급!$A$5:$A$13,예상등급!$B$5:$B$13),IF(D230=예상등급!$A$15,LOOKUP(E230,예상등급!$A$19:$A$27,예상등급!$B$19:$B$27),""))</f>
        <v>6</v>
      </c>
      <c r="G230" s="110" t="s">
        <v>780</v>
      </c>
      <c r="H230" s="71">
        <v>6</v>
      </c>
      <c r="I230" s="382">
        <f>IF(G230=예상등급!$G$15,LOOKUP(H230,예상등급!$G$19:$G$27,예상등급!$H$19:$H$27),IF(G230=예상등급!$J$15,LOOKUP(H230,예상등급!$J$19:$J$27,예상등급!$K$19:$K$27),IF(G230=예상등급!$M$15,LOOKUP(H230,예상등급!$M$19:$M$27,예상등급!$N$19:$N$27),"")))</f>
        <v>9</v>
      </c>
      <c r="J230" s="110">
        <v>51</v>
      </c>
      <c r="K230" s="382">
        <f>IF(J230="","",(LOOKUP(J230,예상등급!$D$5:$D$13,예상등급!$E$5:$E$13)))</f>
        <v>5</v>
      </c>
      <c r="L230" s="301">
        <f>SUM(E230,H230,J230)</f>
        <v>93</v>
      </c>
      <c r="M230" s="398">
        <f>RANK(L230,$L$4:$L$491)</f>
        <v>204</v>
      </c>
      <c r="N230" s="110"/>
      <c r="O230" s="71">
        <v>0</v>
      </c>
      <c r="P230" s="385" t="str">
        <f>IF(N230=예상등급!$G$1,LOOKUP(O230,예상등급!$G$5:$G$13,예상등급!$H$5:$H$13),IF(N230=예상등급!$J$1,LOOKUP(O230,예상등급!$J$5:$J$13,예상등급!$K$5:$K$13),IF(N230=예상등급!$M$1,LOOKUP(O230,예상등급!$M$5:$M$13,예상등급!$N$5:$N$13),IF(N230=예상등급!$P$1,LOOKUP(O230,예상등급!$P$5:$P$13,예상등급!$Q$5:$Q$13),IF(N230=예상등급!$S$1,LOOKUP(O230,예상등급!$S$5:$S$13,예상등급!$T$5:$T$13),IF(N230=예상등급!$V$1,LOOKUP(O230,예상등급!$V$5:$V$13,예상등급!$W$5:$W$13),IF(N230=예상등급!$Y$1,LOOKUP(O230,예상등급!$Y$5:$Y$13,예상등급!$Z$5:$Z$13),IF(N230=예상등급!$AB$1,LOOKUP(O230,예상등급!$AB$5:$AB$13,예상등급!$AC$5:$AC$13),IF(N230=예상등급!$AE$1,LOOKUP(O230,예상등급!$AE$5:$AE$13,예상등급!$AF$5:$AF$13),IF(N230=예상등급!$AH$1,LOOKUP(O230,예상등급!$AH$5:$AH$13,예상등급!$AI$5:$AI$13),IF(N230=예상등급!$AK$1,LOOKUP(O230,예상등급!$AK$5:$AK$13,예상등급!$AL$5:$AL$13),IF(N230=예상등급!$AN$1,LOOKUP(O230,예상등급!$AN$5:$AN$13,예상등급!$AO$5:$AO$13),IF(N230=예상등급!$AQ$1,LOOKUP(O230,예상등급!$AQ$5:$AQ$13,예상등급!$AR$5:$AR$13),IF(N230=예상등급!$AH$15,LOOKUP(O230,예상등급!$AH$19:$AH$27,예상등급!$AI$19:$AI$27),IF(N230=예상등급!$AK$15,LOOKUP(O230,예상등급!$AK$19:$AK$27,예상등급!$AL$19:$AL$27),IF(N230=예상등급!$AN$15,LOOKUP(O230,예상등급!$AN$19:$AN$27,예상등급!$AO$19:$AO$27),IF(N230=예상등급!$AQ$15,LOOKUP(O230,예상등급!$AQ$19:$AQ$27,예상등급!$AR$19:$AR$27),"")))))))))))))))))</f>
        <v/>
      </c>
      <c r="Q230" s="110"/>
      <c r="R230" s="71">
        <v>0</v>
      </c>
      <c r="S230" s="385" t="str">
        <f>IF(Q230=예상등급!$G$1,LOOKUP(R230,예상등급!$G$5:$G$13,예상등급!$H$5:$H$13),IF(Q230=예상등급!$J$1,LOOKUP(R230,예상등급!$J$5:$J$13,예상등급!$K$5:$K$13),IF(Q230=예상등급!$M$1,LOOKUP(R230,예상등급!$M$5:$M$13,예상등급!$N$5:$N$13),IF(Q230=예상등급!$P$1,LOOKUP(R230,예상등급!$P$5:$P$13,예상등급!$Q$5:$Q$13),IF(Q230=예상등급!$S$1,LOOKUP(R230,예상등급!$S$5:$S$13,예상등급!$T$5:$T$13),IF(Q230=예상등급!$V$1,LOOKUP(R230,예상등급!$V$5:$V$13,예상등급!$W$5:$W$13),IF(Q230=예상등급!$Y$1,LOOKUP(R230,예상등급!$Y$5:$Y$13,예상등급!$Z$5:$Z$13),IF(Q230=예상등급!$AB$1,LOOKUP(R230,예상등급!$AB$5:$AB$13,예상등급!$AC$5:$AC$13),IF(Q230=예상등급!$AE$1,LOOKUP(R230,예상등급!$AE$5:$AE$13,예상등급!$AF$5:$AF$13),IF(Q230=예상등급!$AH$1,LOOKUP(R230,예상등급!$AH$5:$AH$13,예상등급!$AI$5:$AI$13),IF(Q230=예상등급!$AK$1,LOOKUP(R230,예상등급!$AK$5:$AK$13,예상등급!$AL$5:$AL$13),IF(Q230=예상등급!$AN$1,LOOKUP(R230,예상등급!$AN$5:$AN$13,예상등급!$AO$5:$AO$13),IF(Q230=예상등급!$AQ$1,LOOKUP(R230,예상등급!$AQ$5:$AQ$13,예상등급!$AR$5:$AR$13),IF(Q230=예상등급!$AH$15,LOOKUP(R230,예상등급!$AH$19:$AH$27,예상등급!$AI$19:$AI$27),IF(Q230=예상등급!$AK$15,LOOKUP(R230,예상등급!$AK$19:$AK$27,예상등급!$AL$19:$AL$27),IF(Q230=예상등급!$AN$15,LOOKUP(R230,예상등급!$AN$19:$AN$27,예상등급!$AO$19:$AO$27),IF(Q230=예상등급!$AQ$15,LOOKUP(R230,예상등급!$AQ$19:$AQ$27,예상등급!$AR$19:$AR$27),"")))))))))))))))))</f>
        <v/>
      </c>
      <c r="T230" s="110"/>
      <c r="U230" s="382" t="str">
        <f>IF(T230="","",LOOKUP(T230,예상등급!$D$19:$D$27,예상등급!$E$19:$E$27))</f>
        <v/>
      </c>
      <c r="V230" s="402">
        <f>SUM(L230,T230,R230,O230)</f>
        <v>93</v>
      </c>
      <c r="W230" s="278">
        <f>RANK(V230,$V$4:$V$491)</f>
        <v>227</v>
      </c>
    </row>
    <row r="231" spans="1:26" ht="24.95" customHeight="1" x14ac:dyDescent="0.15">
      <c r="A231" s="110">
        <v>9</v>
      </c>
      <c r="B231" s="71">
        <v>7</v>
      </c>
      <c r="C231" s="100" t="s">
        <v>966</v>
      </c>
      <c r="D231" s="110" t="s">
        <v>779</v>
      </c>
      <c r="E231" s="71">
        <v>24</v>
      </c>
      <c r="F231" s="382">
        <f>IF(D231=예상등급!$A$1,LOOKUP(E231,예상등급!$A$5:$A$13,예상등급!$B$5:$B$13),IF(D231=예상등급!$A$15,LOOKUP(E231,예상등급!$A$19:$A$27,예상등급!$B$19:$B$27),""))</f>
        <v>7</v>
      </c>
      <c r="G231" s="110" t="s">
        <v>780</v>
      </c>
      <c r="H231" s="71">
        <v>9</v>
      </c>
      <c r="I231" s="382">
        <f>IF(G231=예상등급!$G$15,LOOKUP(H231,예상등급!$G$19:$G$27,예상등급!$H$19:$H$27),IF(G231=예상등급!$J$15,LOOKUP(H231,예상등급!$J$19:$J$27,예상등급!$K$19:$K$27),IF(G231=예상등급!$M$15,LOOKUP(H231,예상등급!$M$19:$M$27,예상등급!$N$19:$N$27),"")))</f>
        <v>9</v>
      </c>
      <c r="J231" s="110">
        <v>22</v>
      </c>
      <c r="K231" s="382">
        <f>IF(J231="","",(LOOKUP(J231,예상등급!$D$5:$D$13,예상등급!$E$5:$E$13)))</f>
        <v>8</v>
      </c>
      <c r="L231" s="301">
        <f>SUM(E231,H231,J231)</f>
        <v>55</v>
      </c>
      <c r="M231" s="398">
        <f>RANK(L231,$L$4:$L$491)</f>
        <v>228</v>
      </c>
      <c r="N231" s="110" t="s">
        <v>761</v>
      </c>
      <c r="O231" s="71">
        <v>7</v>
      </c>
      <c r="P231" s="385">
        <f>IF(N231=예상등급!$G$1,LOOKUP(O231,예상등급!$G$5:$G$13,예상등급!$H$5:$H$13),IF(N231=예상등급!$J$1,LOOKUP(O231,예상등급!$J$5:$J$13,예상등급!$K$5:$K$13),IF(N231=예상등급!$M$1,LOOKUP(O231,예상등급!$M$5:$M$13,예상등급!$N$5:$N$13),IF(N231=예상등급!$P$1,LOOKUP(O231,예상등급!$P$5:$P$13,예상등급!$Q$5:$Q$13),IF(N231=예상등급!$S$1,LOOKUP(O231,예상등급!$S$5:$S$13,예상등급!$T$5:$T$13),IF(N231=예상등급!$V$1,LOOKUP(O231,예상등급!$V$5:$V$13,예상등급!$W$5:$W$13),IF(N231=예상등급!$Y$1,LOOKUP(O231,예상등급!$Y$5:$Y$13,예상등급!$Z$5:$Z$13),IF(N231=예상등급!$AB$1,LOOKUP(O231,예상등급!$AB$5:$AB$13,예상등급!$AC$5:$AC$13),IF(N231=예상등급!$AE$1,LOOKUP(O231,예상등급!$AE$5:$AE$13,예상등급!$AF$5:$AF$13),IF(N231=예상등급!$AH$1,LOOKUP(O231,예상등급!$AH$5:$AH$13,예상등급!$AI$5:$AI$13),IF(N231=예상등급!$AK$1,LOOKUP(O231,예상등급!$AK$5:$AK$13,예상등급!$AL$5:$AL$13),IF(N231=예상등급!$AN$1,LOOKUP(O231,예상등급!$AN$5:$AN$13,예상등급!$AO$5:$AO$13),IF(N231=예상등급!$AQ$1,LOOKUP(O231,예상등급!$AQ$5:$AQ$13,예상등급!$AR$5:$AR$13),IF(N231=예상등급!$AH$15,LOOKUP(O231,예상등급!$AH$19:$AH$27,예상등급!$AI$19:$AI$27),IF(N231=예상등급!$AK$15,LOOKUP(O231,예상등급!$AK$19:$AK$27,예상등급!$AL$19:$AL$27),IF(N231=예상등급!$AN$15,LOOKUP(O231,예상등급!$AN$19:$AN$27,예상등급!$AO$19:$AO$27),IF(N231=예상등급!$AQ$15,LOOKUP(O231,예상등급!$AQ$19:$AQ$27,예상등급!$AR$19:$AR$27),"")))))))))))))))))</f>
        <v>8</v>
      </c>
      <c r="Q231" s="110" t="s">
        <v>764</v>
      </c>
      <c r="R231" s="71">
        <v>10</v>
      </c>
      <c r="S231" s="385">
        <f>IF(Q231=예상등급!$G$1,LOOKUP(R231,예상등급!$G$5:$G$13,예상등급!$H$5:$H$13),IF(Q231=예상등급!$J$1,LOOKUP(R231,예상등급!$J$5:$J$13,예상등급!$K$5:$K$13),IF(Q231=예상등급!$M$1,LOOKUP(R231,예상등급!$M$5:$M$13,예상등급!$N$5:$N$13),IF(Q231=예상등급!$P$1,LOOKUP(R231,예상등급!$P$5:$P$13,예상등급!$Q$5:$Q$13),IF(Q231=예상등급!$S$1,LOOKUP(R231,예상등급!$S$5:$S$13,예상등급!$T$5:$T$13),IF(Q231=예상등급!$V$1,LOOKUP(R231,예상등급!$V$5:$V$13,예상등급!$W$5:$W$13),IF(Q231=예상등급!$Y$1,LOOKUP(R231,예상등급!$Y$5:$Y$13,예상등급!$Z$5:$Z$13),IF(Q231=예상등급!$AB$1,LOOKUP(R231,예상등급!$AB$5:$AB$13,예상등급!$AC$5:$AC$13),IF(Q231=예상등급!$AE$1,LOOKUP(R231,예상등급!$AE$5:$AE$13,예상등급!$AF$5:$AF$13),IF(Q231=예상등급!$AH$1,LOOKUP(R231,예상등급!$AH$5:$AH$13,예상등급!$AI$5:$AI$13),IF(Q231=예상등급!$AK$1,LOOKUP(R231,예상등급!$AK$5:$AK$13,예상등급!$AL$5:$AL$13),IF(Q231=예상등급!$AN$1,LOOKUP(R231,예상등급!$AN$5:$AN$13,예상등급!$AO$5:$AO$13),IF(Q231=예상등급!$AQ$1,LOOKUP(R231,예상등급!$AQ$5:$AQ$13,예상등급!$AR$5:$AR$13),IF(Q231=예상등급!$AH$15,LOOKUP(R231,예상등급!$AH$19:$AH$27,예상등급!$AI$19:$AI$27),IF(Q231=예상등급!$AK$15,LOOKUP(R231,예상등급!$AK$19:$AK$27,예상등급!$AL$19:$AL$27),IF(Q231=예상등급!$AN$15,LOOKUP(R231,예상등급!$AN$19:$AN$27,예상등급!$AO$19:$AO$27),IF(Q231=예상등급!$AQ$15,LOOKUP(R231,예상등급!$AQ$19:$AQ$27,예상등급!$AR$19:$AR$27),"")))))))))))))))))</f>
        <v>6</v>
      </c>
      <c r="T231" s="110">
        <v>13</v>
      </c>
      <c r="U231" s="382">
        <f>IF(T231="","",LOOKUP(T231,예상등급!$D$19:$D$27,예상등급!$E$19:$E$27))</f>
        <v>7</v>
      </c>
      <c r="V231" s="402">
        <f>SUM(L231,T231,R231,O231)</f>
        <v>85</v>
      </c>
      <c r="W231" s="278">
        <f>RANK(V231,$V$4:$V$491)</f>
        <v>228</v>
      </c>
    </row>
    <row r="232" spans="1:26" ht="24.95" customHeight="1" x14ac:dyDescent="0.15">
      <c r="A232" s="110">
        <v>7</v>
      </c>
      <c r="B232" s="71">
        <v>17</v>
      </c>
      <c r="C232" s="100" t="s">
        <v>930</v>
      </c>
      <c r="D232" s="110" t="s">
        <v>779</v>
      </c>
      <c r="E232" s="71">
        <v>47</v>
      </c>
      <c r="F232" s="382">
        <f>IF(D232=예상등급!$A$1,LOOKUP(E232,예상등급!$A$5:$A$13,예상등급!$B$5:$B$13),IF(D232=예상등급!$A$15,LOOKUP(E232,예상등급!$A$19:$A$27,예상등급!$B$19:$B$27),""))</f>
        <v>5</v>
      </c>
      <c r="G232" s="110"/>
      <c r="H232" s="71"/>
      <c r="I232" s="382" t="str">
        <f>IF(G232=예상등급!$G$15,LOOKUP(H232,예상등급!$G$19:$G$27,예상등급!$H$19:$H$27),IF(G232=예상등급!$J$15,LOOKUP(H232,예상등급!$J$19:$J$27,예상등급!$K$19:$K$27),IF(G232=예상등급!$M$15,LOOKUP(H232,예상등급!$M$19:$M$27,예상등급!$N$19:$N$27),"")))</f>
        <v/>
      </c>
      <c r="J232" s="110"/>
      <c r="K232" s="382" t="str">
        <f>IF(J232="","",(LOOKUP(J232,예상등급!$D$5:$D$13,예상등급!$E$5:$E$13)))</f>
        <v/>
      </c>
      <c r="L232" s="301">
        <f>SUM(E232,H232,J232)</f>
        <v>47</v>
      </c>
      <c r="M232" s="398">
        <f>RANK(L232,$L$4:$L$491)</f>
        <v>229</v>
      </c>
      <c r="N232" s="110"/>
      <c r="O232" s="71">
        <v>0</v>
      </c>
      <c r="P232" s="385" t="str">
        <f>IF(N232=예상등급!$G$1,LOOKUP(O232,예상등급!$G$5:$G$13,예상등급!$H$5:$H$13),IF(N232=예상등급!$J$1,LOOKUP(O232,예상등급!$J$5:$J$13,예상등급!$K$5:$K$13),IF(N232=예상등급!$M$1,LOOKUP(O232,예상등급!$M$5:$M$13,예상등급!$N$5:$N$13),IF(N232=예상등급!$P$1,LOOKUP(O232,예상등급!$P$5:$P$13,예상등급!$Q$5:$Q$13),IF(N232=예상등급!$S$1,LOOKUP(O232,예상등급!$S$5:$S$13,예상등급!$T$5:$T$13),IF(N232=예상등급!$V$1,LOOKUP(O232,예상등급!$V$5:$V$13,예상등급!$W$5:$W$13),IF(N232=예상등급!$Y$1,LOOKUP(O232,예상등급!$Y$5:$Y$13,예상등급!$Z$5:$Z$13),IF(N232=예상등급!$AB$1,LOOKUP(O232,예상등급!$AB$5:$AB$13,예상등급!$AC$5:$AC$13),IF(N232=예상등급!$AE$1,LOOKUP(O232,예상등급!$AE$5:$AE$13,예상등급!$AF$5:$AF$13),IF(N232=예상등급!$AH$1,LOOKUP(O232,예상등급!$AH$5:$AH$13,예상등급!$AI$5:$AI$13),IF(N232=예상등급!$AK$1,LOOKUP(O232,예상등급!$AK$5:$AK$13,예상등급!$AL$5:$AL$13),IF(N232=예상등급!$AN$1,LOOKUP(O232,예상등급!$AN$5:$AN$13,예상등급!$AO$5:$AO$13),IF(N232=예상등급!$AQ$1,LOOKUP(O232,예상등급!$AQ$5:$AQ$13,예상등급!$AR$5:$AR$13),IF(N232=예상등급!$AH$15,LOOKUP(O232,예상등급!$AH$19:$AH$27,예상등급!$AI$19:$AI$27),IF(N232=예상등급!$AK$15,LOOKUP(O232,예상등급!$AK$19:$AK$27,예상등급!$AL$19:$AL$27),IF(N232=예상등급!$AN$15,LOOKUP(O232,예상등급!$AN$19:$AN$27,예상등급!$AO$19:$AO$27),IF(N232=예상등급!$AQ$15,LOOKUP(O232,예상등급!$AQ$19:$AQ$27,예상등급!$AR$19:$AR$27),"")))))))))))))))))</f>
        <v/>
      </c>
      <c r="Q232" s="110"/>
      <c r="R232" s="71">
        <v>0</v>
      </c>
      <c r="S232" s="385" t="str">
        <f>IF(Q232=예상등급!$G$1,LOOKUP(R232,예상등급!$G$5:$G$13,예상등급!$H$5:$H$13),IF(Q232=예상등급!$J$1,LOOKUP(R232,예상등급!$J$5:$J$13,예상등급!$K$5:$K$13),IF(Q232=예상등급!$M$1,LOOKUP(R232,예상등급!$M$5:$M$13,예상등급!$N$5:$N$13),IF(Q232=예상등급!$P$1,LOOKUP(R232,예상등급!$P$5:$P$13,예상등급!$Q$5:$Q$13),IF(Q232=예상등급!$S$1,LOOKUP(R232,예상등급!$S$5:$S$13,예상등급!$T$5:$T$13),IF(Q232=예상등급!$V$1,LOOKUP(R232,예상등급!$V$5:$V$13,예상등급!$W$5:$W$13),IF(Q232=예상등급!$Y$1,LOOKUP(R232,예상등급!$Y$5:$Y$13,예상등급!$Z$5:$Z$13),IF(Q232=예상등급!$AB$1,LOOKUP(R232,예상등급!$AB$5:$AB$13,예상등급!$AC$5:$AC$13),IF(Q232=예상등급!$AE$1,LOOKUP(R232,예상등급!$AE$5:$AE$13,예상등급!$AF$5:$AF$13),IF(Q232=예상등급!$AH$1,LOOKUP(R232,예상등급!$AH$5:$AH$13,예상등급!$AI$5:$AI$13),IF(Q232=예상등급!$AK$1,LOOKUP(R232,예상등급!$AK$5:$AK$13,예상등급!$AL$5:$AL$13),IF(Q232=예상등급!$AN$1,LOOKUP(R232,예상등급!$AN$5:$AN$13,예상등급!$AO$5:$AO$13),IF(Q232=예상등급!$AQ$1,LOOKUP(R232,예상등급!$AQ$5:$AQ$13,예상등급!$AR$5:$AR$13),IF(Q232=예상등급!$AH$15,LOOKUP(R232,예상등급!$AH$19:$AH$27,예상등급!$AI$19:$AI$27),IF(Q232=예상등급!$AK$15,LOOKUP(R232,예상등급!$AK$19:$AK$27,예상등급!$AL$19:$AL$27),IF(Q232=예상등급!$AN$15,LOOKUP(R232,예상등급!$AN$19:$AN$27,예상등급!$AO$19:$AO$27),IF(Q232=예상등급!$AQ$15,LOOKUP(R232,예상등급!$AQ$19:$AQ$27,예상등급!$AR$19:$AR$27),"")))))))))))))))))</f>
        <v/>
      </c>
      <c r="T232" s="110"/>
      <c r="U232" s="382" t="str">
        <f>IF(T232="","",LOOKUP(T232,예상등급!$D$19:$D$27,예상등급!$E$19:$E$27))</f>
        <v/>
      </c>
      <c r="V232" s="402">
        <f>SUM(L232,T232,R232,O232)</f>
        <v>47</v>
      </c>
      <c r="W232" s="278">
        <f>RANK(V232,$V$4:$V$491)</f>
        <v>229</v>
      </c>
      <c r="Y232" s="149"/>
      <c r="Z232" s="149"/>
    </row>
    <row r="233" spans="1:26" ht="24.95" customHeight="1" x14ac:dyDescent="0.15">
      <c r="A233" s="110">
        <v>2</v>
      </c>
      <c r="B233" s="71">
        <v>15</v>
      </c>
      <c r="C233" s="100" t="s">
        <v>832</v>
      </c>
      <c r="D233" s="110" t="s">
        <v>779</v>
      </c>
      <c r="E233" s="71">
        <v>21</v>
      </c>
      <c r="F233" s="382">
        <f>IF(D233=예상등급!$A$1,LOOKUP(E233,예상등급!$A$5:$A$13,예상등급!$B$5:$B$13),IF(D233=예상등급!$A$15,LOOKUP(E233,예상등급!$A$19:$A$27,예상등급!$B$19:$B$27),""))</f>
        <v>8</v>
      </c>
      <c r="G233" s="110" t="s">
        <v>781</v>
      </c>
      <c r="H233" s="71">
        <v>20</v>
      </c>
      <c r="I233" s="382">
        <f>IF(G233=예상등급!$G$15,LOOKUP(H233,예상등급!$G$19:$G$27,예상등급!$H$19:$H$27),IF(G233=예상등급!$J$15,LOOKUP(H233,예상등급!$J$19:$J$27,예상등급!$K$19:$K$27),IF(G233=예상등급!$M$15,LOOKUP(H233,예상등급!$M$19:$M$27,예상등급!$N$19:$N$27),"")))</f>
        <v>6</v>
      </c>
      <c r="J233" s="110"/>
      <c r="K233" s="382" t="str">
        <f>IF(J233="","",(LOOKUP(J233,예상등급!$D$5:$D$13,예상등급!$E$5:$E$13)))</f>
        <v/>
      </c>
      <c r="L233" s="301">
        <f>SUM(E233,H233,J233)</f>
        <v>41</v>
      </c>
      <c r="M233" s="398">
        <f>RANK(L233,$L$4:$L$491)</f>
        <v>230</v>
      </c>
      <c r="N233" s="110"/>
      <c r="O233" s="71">
        <v>0</v>
      </c>
      <c r="P233" s="385" t="str">
        <f>IF(N233=예상등급!$G$1,LOOKUP(O233,예상등급!$G$5:$G$13,예상등급!$H$5:$H$13),IF(N233=예상등급!$J$1,LOOKUP(O233,예상등급!$J$5:$J$13,예상등급!$K$5:$K$13),IF(N233=예상등급!$M$1,LOOKUP(O233,예상등급!$M$5:$M$13,예상등급!$N$5:$N$13),IF(N233=예상등급!$P$1,LOOKUP(O233,예상등급!$P$5:$P$13,예상등급!$Q$5:$Q$13),IF(N233=예상등급!$S$1,LOOKUP(O233,예상등급!$S$5:$S$13,예상등급!$T$5:$T$13),IF(N233=예상등급!$V$1,LOOKUP(O233,예상등급!$V$5:$V$13,예상등급!$W$5:$W$13),IF(N233=예상등급!$Y$1,LOOKUP(O233,예상등급!$Y$5:$Y$13,예상등급!$Z$5:$Z$13),IF(N233=예상등급!$AB$1,LOOKUP(O233,예상등급!$AB$5:$AB$13,예상등급!$AC$5:$AC$13),IF(N233=예상등급!$AE$1,LOOKUP(O233,예상등급!$AE$5:$AE$13,예상등급!$AF$5:$AF$13),IF(N233=예상등급!$AH$1,LOOKUP(O233,예상등급!$AH$5:$AH$13,예상등급!$AI$5:$AI$13),IF(N233=예상등급!$AK$1,LOOKUP(O233,예상등급!$AK$5:$AK$13,예상등급!$AL$5:$AL$13),IF(N233=예상등급!$AN$1,LOOKUP(O233,예상등급!$AN$5:$AN$13,예상등급!$AO$5:$AO$13),IF(N233=예상등급!$AQ$1,LOOKUP(O233,예상등급!$AQ$5:$AQ$13,예상등급!$AR$5:$AR$13),IF(N233=예상등급!$AH$15,LOOKUP(O233,예상등급!$AH$19:$AH$27,예상등급!$AI$19:$AI$27),IF(N233=예상등급!$AK$15,LOOKUP(O233,예상등급!$AK$19:$AK$27,예상등급!$AL$19:$AL$27),IF(N233=예상등급!$AN$15,LOOKUP(O233,예상등급!$AN$19:$AN$27,예상등급!$AO$19:$AO$27),IF(N233=예상등급!$AQ$15,LOOKUP(O233,예상등급!$AQ$19:$AQ$27,예상등급!$AR$19:$AR$27),"")))))))))))))))))</f>
        <v/>
      </c>
      <c r="Q233" s="110"/>
      <c r="R233" s="71">
        <v>0</v>
      </c>
      <c r="S233" s="385" t="str">
        <f>IF(Q233=예상등급!$G$1,LOOKUP(R233,예상등급!$G$5:$G$13,예상등급!$H$5:$H$13),IF(Q233=예상등급!$J$1,LOOKUP(R233,예상등급!$J$5:$J$13,예상등급!$K$5:$K$13),IF(Q233=예상등급!$M$1,LOOKUP(R233,예상등급!$M$5:$M$13,예상등급!$N$5:$N$13),IF(Q233=예상등급!$P$1,LOOKUP(R233,예상등급!$P$5:$P$13,예상등급!$Q$5:$Q$13),IF(Q233=예상등급!$S$1,LOOKUP(R233,예상등급!$S$5:$S$13,예상등급!$T$5:$T$13),IF(Q233=예상등급!$V$1,LOOKUP(R233,예상등급!$V$5:$V$13,예상등급!$W$5:$W$13),IF(Q233=예상등급!$Y$1,LOOKUP(R233,예상등급!$Y$5:$Y$13,예상등급!$Z$5:$Z$13),IF(Q233=예상등급!$AB$1,LOOKUP(R233,예상등급!$AB$5:$AB$13,예상등급!$AC$5:$AC$13),IF(Q233=예상등급!$AE$1,LOOKUP(R233,예상등급!$AE$5:$AE$13,예상등급!$AF$5:$AF$13),IF(Q233=예상등급!$AH$1,LOOKUP(R233,예상등급!$AH$5:$AH$13,예상등급!$AI$5:$AI$13),IF(Q233=예상등급!$AK$1,LOOKUP(R233,예상등급!$AK$5:$AK$13,예상등급!$AL$5:$AL$13),IF(Q233=예상등급!$AN$1,LOOKUP(R233,예상등급!$AN$5:$AN$13,예상등급!$AO$5:$AO$13),IF(Q233=예상등급!$AQ$1,LOOKUP(R233,예상등급!$AQ$5:$AQ$13,예상등급!$AR$5:$AR$13),IF(Q233=예상등급!$AH$15,LOOKUP(R233,예상등급!$AH$19:$AH$27,예상등급!$AI$19:$AI$27),IF(Q233=예상등급!$AK$15,LOOKUP(R233,예상등급!$AK$19:$AK$27,예상등급!$AL$19:$AL$27),IF(Q233=예상등급!$AN$15,LOOKUP(R233,예상등급!$AN$19:$AN$27,예상등급!$AO$19:$AO$27),IF(Q233=예상등급!$AQ$15,LOOKUP(R233,예상등급!$AQ$19:$AQ$27,예상등급!$AR$19:$AR$27),"")))))))))))))))))</f>
        <v/>
      </c>
      <c r="T233" s="110"/>
      <c r="U233" s="382" t="str">
        <f>IF(T233="","",LOOKUP(T233,예상등급!$D$19:$D$27,예상등급!$E$19:$E$27))</f>
        <v/>
      </c>
      <c r="V233" s="402">
        <f>SUM(L233,T233,R233,O233)</f>
        <v>41</v>
      </c>
      <c r="W233" s="278">
        <f>RANK(V233,$V$4:$V$491)</f>
        <v>230</v>
      </c>
    </row>
    <row r="234" spans="1:26" ht="24.95" customHeight="1" x14ac:dyDescent="0.15">
      <c r="A234" s="110">
        <v>9</v>
      </c>
      <c r="B234" s="71">
        <v>5</v>
      </c>
      <c r="C234" s="100" t="s">
        <v>964</v>
      </c>
      <c r="D234" s="110" t="s">
        <v>779</v>
      </c>
      <c r="E234" s="71">
        <v>17</v>
      </c>
      <c r="F234" s="382">
        <f>IF(D234=예상등급!$A$1,LOOKUP(E234,예상등급!$A$5:$A$13,예상등급!$B$5:$B$13),IF(D234=예상등급!$A$15,LOOKUP(E234,예상등급!$A$19:$A$27,예상등급!$B$19:$B$27),""))</f>
        <v>8</v>
      </c>
      <c r="G234" s="110" t="s">
        <v>780</v>
      </c>
      <c r="H234" s="71">
        <v>22</v>
      </c>
      <c r="I234" s="382">
        <f>IF(G234=예상등급!$G$15,LOOKUP(H234,예상등급!$G$19:$G$27,예상등급!$H$19:$H$27),IF(G234=예상등급!$J$15,LOOKUP(H234,예상등급!$J$19:$J$27,예상등급!$K$19:$K$27),IF(G234=예상등급!$M$15,LOOKUP(H234,예상등급!$M$19:$M$27,예상등급!$N$19:$N$27),"")))</f>
        <v>7</v>
      </c>
      <c r="J234" s="110"/>
      <c r="K234" s="382" t="str">
        <f>IF(J234="","",(LOOKUP(J234,예상등급!$D$5:$D$13,예상등급!$E$5:$E$13)))</f>
        <v/>
      </c>
      <c r="L234" s="301">
        <f>SUM(E234,H234,J234)</f>
        <v>39</v>
      </c>
      <c r="M234" s="398">
        <f>RANK(L234,$L$4:$L$491)</f>
        <v>231</v>
      </c>
      <c r="N234" s="110"/>
      <c r="O234" s="71">
        <v>0</v>
      </c>
      <c r="P234" s="385" t="str">
        <f>IF(N234=예상등급!$G$1,LOOKUP(O234,예상등급!$G$5:$G$13,예상등급!$H$5:$H$13),IF(N234=예상등급!$J$1,LOOKUP(O234,예상등급!$J$5:$J$13,예상등급!$K$5:$K$13),IF(N234=예상등급!$M$1,LOOKUP(O234,예상등급!$M$5:$M$13,예상등급!$N$5:$N$13),IF(N234=예상등급!$P$1,LOOKUP(O234,예상등급!$P$5:$P$13,예상등급!$Q$5:$Q$13),IF(N234=예상등급!$S$1,LOOKUP(O234,예상등급!$S$5:$S$13,예상등급!$T$5:$T$13),IF(N234=예상등급!$V$1,LOOKUP(O234,예상등급!$V$5:$V$13,예상등급!$W$5:$W$13),IF(N234=예상등급!$Y$1,LOOKUP(O234,예상등급!$Y$5:$Y$13,예상등급!$Z$5:$Z$13),IF(N234=예상등급!$AB$1,LOOKUP(O234,예상등급!$AB$5:$AB$13,예상등급!$AC$5:$AC$13),IF(N234=예상등급!$AE$1,LOOKUP(O234,예상등급!$AE$5:$AE$13,예상등급!$AF$5:$AF$13),IF(N234=예상등급!$AH$1,LOOKUP(O234,예상등급!$AH$5:$AH$13,예상등급!$AI$5:$AI$13),IF(N234=예상등급!$AK$1,LOOKUP(O234,예상등급!$AK$5:$AK$13,예상등급!$AL$5:$AL$13),IF(N234=예상등급!$AN$1,LOOKUP(O234,예상등급!$AN$5:$AN$13,예상등급!$AO$5:$AO$13),IF(N234=예상등급!$AQ$1,LOOKUP(O234,예상등급!$AQ$5:$AQ$13,예상등급!$AR$5:$AR$13),IF(N234=예상등급!$AH$15,LOOKUP(O234,예상등급!$AH$19:$AH$27,예상등급!$AI$19:$AI$27),IF(N234=예상등급!$AK$15,LOOKUP(O234,예상등급!$AK$19:$AK$27,예상등급!$AL$19:$AL$27),IF(N234=예상등급!$AN$15,LOOKUP(O234,예상등급!$AN$19:$AN$27,예상등급!$AO$19:$AO$27),IF(N234=예상등급!$AQ$15,LOOKUP(O234,예상등급!$AQ$19:$AQ$27,예상등급!$AR$19:$AR$27),"")))))))))))))))))</f>
        <v/>
      </c>
      <c r="Q234" s="110"/>
      <c r="R234" s="71">
        <v>0</v>
      </c>
      <c r="S234" s="385" t="str">
        <f>IF(Q234=예상등급!$G$1,LOOKUP(R234,예상등급!$G$5:$G$13,예상등급!$H$5:$H$13),IF(Q234=예상등급!$J$1,LOOKUP(R234,예상등급!$J$5:$J$13,예상등급!$K$5:$K$13),IF(Q234=예상등급!$M$1,LOOKUP(R234,예상등급!$M$5:$M$13,예상등급!$N$5:$N$13),IF(Q234=예상등급!$P$1,LOOKUP(R234,예상등급!$P$5:$P$13,예상등급!$Q$5:$Q$13),IF(Q234=예상등급!$S$1,LOOKUP(R234,예상등급!$S$5:$S$13,예상등급!$T$5:$T$13),IF(Q234=예상등급!$V$1,LOOKUP(R234,예상등급!$V$5:$V$13,예상등급!$W$5:$W$13),IF(Q234=예상등급!$Y$1,LOOKUP(R234,예상등급!$Y$5:$Y$13,예상등급!$Z$5:$Z$13),IF(Q234=예상등급!$AB$1,LOOKUP(R234,예상등급!$AB$5:$AB$13,예상등급!$AC$5:$AC$13),IF(Q234=예상등급!$AE$1,LOOKUP(R234,예상등급!$AE$5:$AE$13,예상등급!$AF$5:$AF$13),IF(Q234=예상등급!$AH$1,LOOKUP(R234,예상등급!$AH$5:$AH$13,예상등급!$AI$5:$AI$13),IF(Q234=예상등급!$AK$1,LOOKUP(R234,예상등급!$AK$5:$AK$13,예상등급!$AL$5:$AL$13),IF(Q234=예상등급!$AN$1,LOOKUP(R234,예상등급!$AN$5:$AN$13,예상등급!$AO$5:$AO$13),IF(Q234=예상등급!$AQ$1,LOOKUP(R234,예상등급!$AQ$5:$AQ$13,예상등급!$AR$5:$AR$13),IF(Q234=예상등급!$AH$15,LOOKUP(R234,예상등급!$AH$19:$AH$27,예상등급!$AI$19:$AI$27),IF(Q234=예상등급!$AK$15,LOOKUP(R234,예상등급!$AK$19:$AK$27,예상등급!$AL$19:$AL$27),IF(Q234=예상등급!$AN$15,LOOKUP(R234,예상등급!$AN$19:$AN$27,예상등급!$AO$19:$AO$27),IF(Q234=예상등급!$AQ$15,LOOKUP(R234,예상등급!$AQ$19:$AQ$27,예상등급!$AR$19:$AR$27),"")))))))))))))))))</f>
        <v/>
      </c>
      <c r="T234" s="110"/>
      <c r="U234" s="382" t="str">
        <f>IF(T234="","",LOOKUP(T234,예상등급!$D$19:$D$27,예상등급!$E$19:$E$27))</f>
        <v/>
      </c>
      <c r="V234" s="402">
        <f>SUM(L234,T234,R234,O234)</f>
        <v>39</v>
      </c>
      <c r="W234" s="278">
        <f>RANK(V234,$V$4:$V$491)</f>
        <v>231</v>
      </c>
    </row>
    <row r="235" spans="1:26" ht="24.95" customHeight="1" x14ac:dyDescent="0.15">
      <c r="A235" s="110">
        <v>2</v>
      </c>
      <c r="B235" s="71">
        <v>11</v>
      </c>
      <c r="C235" s="100" t="s">
        <v>829</v>
      </c>
      <c r="D235" s="110"/>
      <c r="E235" s="71"/>
      <c r="F235" s="382" t="str">
        <f>IF(D235=예상등급!$A$1,LOOKUP(E235,예상등급!$A$5:$A$13,예상등급!$B$5:$B$13),IF(D235=예상등급!$A$15,LOOKUP(E235,예상등급!$A$19:$A$27,예상등급!$B$19:$B$27),""))</f>
        <v/>
      </c>
      <c r="G235" s="110"/>
      <c r="H235" s="71"/>
      <c r="I235" s="382" t="str">
        <f>IF(G235=예상등급!$G$15,LOOKUP(H235,예상등급!$G$19:$G$27,예상등급!$H$19:$H$27),IF(G235=예상등급!$J$15,LOOKUP(H235,예상등급!$J$19:$J$27,예상등급!$K$19:$K$27),IF(G235=예상등급!$M$15,LOOKUP(H235,예상등급!$M$19:$M$27,예상등급!$N$19:$N$27),"")))</f>
        <v/>
      </c>
      <c r="J235" s="110"/>
      <c r="K235" s="382" t="str">
        <f>IF(J235="","",(LOOKUP(J235,예상등급!$D$5:$D$13,예상등급!$E$5:$E$13)))</f>
        <v/>
      </c>
      <c r="L235" s="301">
        <f>SUM(E235,H235,J235)</f>
        <v>0</v>
      </c>
      <c r="M235" s="398">
        <f>RANK(L235,$L$4:$L$491)</f>
        <v>232</v>
      </c>
      <c r="N235" s="110"/>
      <c r="O235" s="71">
        <v>0</v>
      </c>
      <c r="P235" s="385" t="str">
        <f>IF(N235=예상등급!$G$1,LOOKUP(O235,예상등급!$G$5:$G$13,예상등급!$H$5:$H$13),IF(N235=예상등급!$J$1,LOOKUP(O235,예상등급!$J$5:$J$13,예상등급!$K$5:$K$13),IF(N235=예상등급!$M$1,LOOKUP(O235,예상등급!$M$5:$M$13,예상등급!$N$5:$N$13),IF(N235=예상등급!$P$1,LOOKUP(O235,예상등급!$P$5:$P$13,예상등급!$Q$5:$Q$13),IF(N235=예상등급!$S$1,LOOKUP(O235,예상등급!$S$5:$S$13,예상등급!$T$5:$T$13),IF(N235=예상등급!$V$1,LOOKUP(O235,예상등급!$V$5:$V$13,예상등급!$W$5:$W$13),IF(N235=예상등급!$Y$1,LOOKUP(O235,예상등급!$Y$5:$Y$13,예상등급!$Z$5:$Z$13),IF(N235=예상등급!$AB$1,LOOKUP(O235,예상등급!$AB$5:$AB$13,예상등급!$AC$5:$AC$13),IF(N235=예상등급!$AE$1,LOOKUP(O235,예상등급!$AE$5:$AE$13,예상등급!$AF$5:$AF$13),IF(N235=예상등급!$AH$1,LOOKUP(O235,예상등급!$AH$5:$AH$13,예상등급!$AI$5:$AI$13),IF(N235=예상등급!$AK$1,LOOKUP(O235,예상등급!$AK$5:$AK$13,예상등급!$AL$5:$AL$13),IF(N235=예상등급!$AN$1,LOOKUP(O235,예상등급!$AN$5:$AN$13,예상등급!$AO$5:$AO$13),IF(N235=예상등급!$AQ$1,LOOKUP(O235,예상등급!$AQ$5:$AQ$13,예상등급!$AR$5:$AR$13),IF(N235=예상등급!$AH$15,LOOKUP(O235,예상등급!$AH$19:$AH$27,예상등급!$AI$19:$AI$27),IF(N235=예상등급!$AK$15,LOOKUP(O235,예상등급!$AK$19:$AK$27,예상등급!$AL$19:$AL$27),IF(N235=예상등급!$AN$15,LOOKUP(O235,예상등급!$AN$19:$AN$27,예상등급!$AO$19:$AO$27),IF(N235=예상등급!$AQ$15,LOOKUP(O235,예상등급!$AQ$19:$AQ$27,예상등급!$AR$19:$AR$27),"")))))))))))))))))</f>
        <v/>
      </c>
      <c r="Q235" s="110"/>
      <c r="R235" s="71">
        <v>0</v>
      </c>
      <c r="S235" s="385" t="str">
        <f>IF(Q235=예상등급!$G$1,LOOKUP(R235,예상등급!$G$5:$G$13,예상등급!$H$5:$H$13),IF(Q235=예상등급!$J$1,LOOKUP(R235,예상등급!$J$5:$J$13,예상등급!$K$5:$K$13),IF(Q235=예상등급!$M$1,LOOKUP(R235,예상등급!$M$5:$M$13,예상등급!$N$5:$N$13),IF(Q235=예상등급!$P$1,LOOKUP(R235,예상등급!$P$5:$P$13,예상등급!$Q$5:$Q$13),IF(Q235=예상등급!$S$1,LOOKUP(R235,예상등급!$S$5:$S$13,예상등급!$T$5:$T$13),IF(Q235=예상등급!$V$1,LOOKUP(R235,예상등급!$V$5:$V$13,예상등급!$W$5:$W$13),IF(Q235=예상등급!$Y$1,LOOKUP(R235,예상등급!$Y$5:$Y$13,예상등급!$Z$5:$Z$13),IF(Q235=예상등급!$AB$1,LOOKUP(R235,예상등급!$AB$5:$AB$13,예상등급!$AC$5:$AC$13),IF(Q235=예상등급!$AE$1,LOOKUP(R235,예상등급!$AE$5:$AE$13,예상등급!$AF$5:$AF$13),IF(Q235=예상등급!$AH$1,LOOKUP(R235,예상등급!$AH$5:$AH$13,예상등급!$AI$5:$AI$13),IF(Q235=예상등급!$AK$1,LOOKUP(R235,예상등급!$AK$5:$AK$13,예상등급!$AL$5:$AL$13),IF(Q235=예상등급!$AN$1,LOOKUP(R235,예상등급!$AN$5:$AN$13,예상등급!$AO$5:$AO$13),IF(Q235=예상등급!$AQ$1,LOOKUP(R235,예상등급!$AQ$5:$AQ$13,예상등급!$AR$5:$AR$13),IF(Q235=예상등급!$AH$15,LOOKUP(R235,예상등급!$AH$19:$AH$27,예상등급!$AI$19:$AI$27),IF(Q235=예상등급!$AK$15,LOOKUP(R235,예상등급!$AK$19:$AK$27,예상등급!$AL$19:$AL$27),IF(Q235=예상등급!$AN$15,LOOKUP(R235,예상등급!$AN$19:$AN$27,예상등급!$AO$19:$AO$27),IF(Q235=예상등급!$AQ$15,LOOKUP(R235,예상등급!$AQ$19:$AQ$27,예상등급!$AR$19:$AR$27),"")))))))))))))))))</f>
        <v/>
      </c>
      <c r="T235" s="110"/>
      <c r="U235" s="382" t="str">
        <f>IF(T235="","",LOOKUP(T235,예상등급!$D$19:$D$27,예상등급!$E$19:$E$27))</f>
        <v/>
      </c>
      <c r="V235" s="402">
        <f>SUM(L235,T235,R235,O235)</f>
        <v>0</v>
      </c>
      <c r="W235" s="278">
        <f>RANK(V235,$V$4:$V$491)</f>
        <v>232</v>
      </c>
    </row>
    <row r="236" spans="1:26" ht="24.95" customHeight="1" thickBot="1" x14ac:dyDescent="0.2">
      <c r="A236" s="201">
        <v>2</v>
      </c>
      <c r="B236" s="303">
        <v>16</v>
      </c>
      <c r="C236" s="119" t="s">
        <v>833</v>
      </c>
      <c r="D236" s="201"/>
      <c r="E236" s="303"/>
      <c r="F236" s="382" t="str">
        <f>IF(D236=예상등급!$A$1,LOOKUP(E236,예상등급!$A$5:$A$13,예상등급!$B$5:$B$13),IF(D236=예상등급!$A$15,LOOKUP(E236,예상등급!$A$19:$A$27,예상등급!$B$19:$B$27),""))</f>
        <v/>
      </c>
      <c r="G236" s="201"/>
      <c r="H236" s="303"/>
      <c r="I236" s="382" t="str">
        <f>IF(G236=예상등급!$G$15,LOOKUP(H236,예상등급!$G$19:$G$27,예상등급!$H$19:$H$27),IF(G236=예상등급!$J$15,LOOKUP(H236,예상등급!$J$19:$J$27,예상등급!$K$19:$K$27),IF(G236=예상등급!$M$15,LOOKUP(H236,예상등급!$M$19:$M$27,예상등급!$N$19:$N$27),"")))</f>
        <v/>
      </c>
      <c r="J236" s="201"/>
      <c r="K236" s="397" t="str">
        <f>IF(J236="","",(LOOKUP(J236,예상등급!$D$5:$D$13,예상등급!$E$5:$E$13)))</f>
        <v/>
      </c>
      <c r="L236" s="302">
        <f>SUM(E236,H236,J236)</f>
        <v>0</v>
      </c>
      <c r="M236" s="399">
        <f>RANK(L236,$L$4:$L$491)</f>
        <v>232</v>
      </c>
      <c r="N236" s="201"/>
      <c r="O236" s="303">
        <v>0</v>
      </c>
      <c r="P236" s="400" t="str">
        <f>IF(N236=예상등급!$G$1,LOOKUP(O236,예상등급!$G$5:$G$13,예상등급!$H$5:$H$13),IF(N236=예상등급!$J$1,LOOKUP(O236,예상등급!$J$5:$J$13,예상등급!$K$5:$K$13),IF(N236=예상등급!$M$1,LOOKUP(O236,예상등급!$M$5:$M$13,예상등급!$N$5:$N$13),IF(N236=예상등급!$P$1,LOOKUP(O236,예상등급!$P$5:$P$13,예상등급!$Q$5:$Q$13),IF(N236=예상등급!$S$1,LOOKUP(O236,예상등급!$S$5:$S$13,예상등급!$T$5:$T$13),IF(N236=예상등급!$V$1,LOOKUP(O236,예상등급!$V$5:$V$13,예상등급!$W$5:$W$13),IF(N236=예상등급!$Y$1,LOOKUP(O236,예상등급!$Y$5:$Y$13,예상등급!$Z$5:$Z$13),IF(N236=예상등급!$AB$1,LOOKUP(O236,예상등급!$AB$5:$AB$13,예상등급!$AC$5:$AC$13),IF(N236=예상등급!$AE$1,LOOKUP(O236,예상등급!$AE$5:$AE$13,예상등급!$AF$5:$AF$13),IF(N236=예상등급!$AH$1,LOOKUP(O236,예상등급!$AH$5:$AH$13,예상등급!$AI$5:$AI$13),IF(N236=예상등급!$AK$1,LOOKUP(O236,예상등급!$AK$5:$AK$13,예상등급!$AL$5:$AL$13),IF(N236=예상등급!$AN$1,LOOKUP(O236,예상등급!$AN$5:$AN$13,예상등급!$AO$5:$AO$13),IF(N236=예상등급!$AQ$1,LOOKUP(O236,예상등급!$AQ$5:$AQ$13,예상등급!$AR$5:$AR$13),IF(N236=예상등급!$AH$15,LOOKUP(O236,예상등급!$AH$19:$AH$27,예상등급!$AI$19:$AI$27),IF(N236=예상등급!$AK$15,LOOKUP(O236,예상등급!$AK$19:$AK$27,예상등급!$AL$19:$AL$27),IF(N236=예상등급!$AN$15,LOOKUP(O236,예상등급!$AN$19:$AN$27,예상등급!$AO$19:$AO$27),IF(N236=예상등급!$AQ$15,LOOKUP(O236,예상등급!$AQ$19:$AQ$27,예상등급!$AR$19:$AR$27),"")))))))))))))))))</f>
        <v/>
      </c>
      <c r="Q236" s="201"/>
      <c r="R236" s="303">
        <v>0</v>
      </c>
      <c r="S236" s="400" t="str">
        <f>IF(Q236=예상등급!$G$1,LOOKUP(R236,예상등급!$G$5:$G$13,예상등급!$H$5:$H$13),IF(Q236=예상등급!$J$1,LOOKUP(R236,예상등급!$J$5:$J$13,예상등급!$K$5:$K$13),IF(Q236=예상등급!$M$1,LOOKUP(R236,예상등급!$M$5:$M$13,예상등급!$N$5:$N$13),IF(Q236=예상등급!$P$1,LOOKUP(R236,예상등급!$P$5:$P$13,예상등급!$Q$5:$Q$13),IF(Q236=예상등급!$S$1,LOOKUP(R236,예상등급!$S$5:$S$13,예상등급!$T$5:$T$13),IF(Q236=예상등급!$V$1,LOOKUP(R236,예상등급!$V$5:$V$13,예상등급!$W$5:$W$13),IF(Q236=예상등급!$Y$1,LOOKUP(R236,예상등급!$Y$5:$Y$13,예상등급!$Z$5:$Z$13),IF(Q236=예상등급!$AB$1,LOOKUP(R236,예상등급!$AB$5:$AB$13,예상등급!$AC$5:$AC$13),IF(Q236=예상등급!$AE$1,LOOKUP(R236,예상등급!$AE$5:$AE$13,예상등급!$AF$5:$AF$13),IF(Q236=예상등급!$AH$1,LOOKUP(R236,예상등급!$AH$5:$AH$13,예상등급!$AI$5:$AI$13),IF(Q236=예상등급!$AK$1,LOOKUP(R236,예상등급!$AK$5:$AK$13,예상등급!$AL$5:$AL$13),IF(Q236=예상등급!$AN$1,LOOKUP(R236,예상등급!$AN$5:$AN$13,예상등급!$AO$5:$AO$13),IF(Q236=예상등급!$AQ$1,LOOKUP(R236,예상등급!$AQ$5:$AQ$13,예상등급!$AR$5:$AR$13),IF(Q236=예상등급!$AH$15,LOOKUP(R236,예상등급!$AH$19:$AH$27,예상등급!$AI$19:$AI$27),IF(Q236=예상등급!$AK$15,LOOKUP(R236,예상등급!$AK$19:$AK$27,예상등급!$AL$19:$AL$27),IF(Q236=예상등급!$AN$15,LOOKUP(R236,예상등급!$AN$19:$AN$27,예상등급!$AO$19:$AO$27),IF(Q236=예상등급!$AQ$15,LOOKUP(R236,예상등급!$AQ$19:$AQ$27,예상등급!$AR$19:$AR$27),"")))))))))))))))))</f>
        <v/>
      </c>
      <c r="T236" s="201"/>
      <c r="U236" s="397" t="str">
        <f>IF(T236="","",LOOKUP(T236,예상등급!$D$19:$D$27,예상등급!$E$19:$E$27))</f>
        <v/>
      </c>
      <c r="V236" s="403">
        <f>SUM(L236,T236,R236,O236)</f>
        <v>0</v>
      </c>
      <c r="W236" s="300">
        <f>RANK(V236,$V$4:$V$491)</f>
        <v>232</v>
      </c>
    </row>
  </sheetData>
  <autoFilter ref="A3:W236" xr:uid="{00000000-0009-0000-0000-000006000000}">
    <sortState ref="A4:W236">
      <sortCondition ref="W2"/>
    </sortState>
  </autoFilter>
  <mergeCells count="23">
    <mergeCell ref="AT14:AW14"/>
    <mergeCell ref="AG14:AI14"/>
    <mergeCell ref="AJ13:AJ14"/>
    <mergeCell ref="AK13:AK14"/>
    <mergeCell ref="AE27:AM27"/>
    <mergeCell ref="AP14:AS14"/>
    <mergeCell ref="AL14:AO14"/>
    <mergeCell ref="AE14:AF14"/>
    <mergeCell ref="AC3:AD3"/>
    <mergeCell ref="Y42:Z42"/>
    <mergeCell ref="Y41:Z41"/>
    <mergeCell ref="A1:W1"/>
    <mergeCell ref="Y3:Z3"/>
    <mergeCell ref="A2:H2"/>
    <mergeCell ref="Y39:Z39"/>
    <mergeCell ref="Y40:Z40"/>
    <mergeCell ref="N3:P3"/>
    <mergeCell ref="Q3:S3"/>
    <mergeCell ref="D3:E3"/>
    <mergeCell ref="G3:H3"/>
    <mergeCell ref="AC13:AD14"/>
    <mergeCell ref="AC16:AD16"/>
    <mergeCell ref="AC26:AD27"/>
  </mergeCells>
  <phoneticPr fontId="3" type="noConversion"/>
  <conditionalFormatting sqref="F1:F1048576 I1:I1048576 K1:K1048576 P1:P1048576 S1:S1048576 U1:U1048576">
    <cfRule type="cellIs" dxfId="0" priority="1" operator="equal">
      <formula>1</formula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0"/>
  <sheetViews>
    <sheetView workbookViewId="0">
      <selection activeCell="N139" sqref="N139"/>
    </sheetView>
  </sheetViews>
  <sheetFormatPr defaultRowHeight="16.5" x14ac:dyDescent="0.15"/>
  <cols>
    <col min="1" max="16384" width="8.88671875" style="227"/>
  </cols>
  <sheetData>
    <row r="1" spans="1:13" x14ac:dyDescent="0.15">
      <c r="A1" s="227" t="s">
        <v>745</v>
      </c>
      <c r="B1" s="227" t="s">
        <v>746</v>
      </c>
      <c r="C1" s="227" t="s">
        <v>747</v>
      </c>
      <c r="D1" s="227" t="s">
        <v>748</v>
      </c>
      <c r="E1" s="227" t="s">
        <v>749</v>
      </c>
      <c r="F1" s="227" t="s">
        <v>750</v>
      </c>
      <c r="G1" s="357" t="s">
        <v>741</v>
      </c>
      <c r="H1" s="357"/>
      <c r="I1" s="357" t="s">
        <v>743</v>
      </c>
      <c r="J1" s="357"/>
      <c r="K1" s="227" t="s">
        <v>751</v>
      </c>
      <c r="L1" s="227" t="s">
        <v>752</v>
      </c>
      <c r="M1" s="227" t="s">
        <v>753</v>
      </c>
    </row>
    <row r="2" spans="1:13" x14ac:dyDescent="0.15">
      <c r="A2" s="227">
        <v>20101</v>
      </c>
      <c r="B2" s="227" t="s">
        <v>481</v>
      </c>
      <c r="C2" s="227">
        <v>19</v>
      </c>
      <c r="D2" s="227">
        <v>17</v>
      </c>
      <c r="E2" s="227">
        <v>16</v>
      </c>
      <c r="F2" s="227">
        <v>5</v>
      </c>
      <c r="G2" s="227" t="s">
        <v>760</v>
      </c>
      <c r="H2" s="227">
        <v>16</v>
      </c>
      <c r="I2" s="227" t="s">
        <v>762</v>
      </c>
      <c r="K2" s="227">
        <v>325</v>
      </c>
      <c r="L2" s="227">
        <v>33</v>
      </c>
      <c r="M2" s="227">
        <v>73</v>
      </c>
    </row>
    <row r="3" spans="1:13" x14ac:dyDescent="0.15">
      <c r="A3" s="227">
        <v>20102</v>
      </c>
      <c r="B3" s="227" t="s">
        <v>541</v>
      </c>
      <c r="C3" s="227">
        <v>58</v>
      </c>
      <c r="D3" s="227">
        <v>52</v>
      </c>
      <c r="E3" s="227">
        <v>56</v>
      </c>
      <c r="F3" s="227">
        <v>34</v>
      </c>
      <c r="G3" s="227" t="s">
        <v>760</v>
      </c>
      <c r="H3" s="227">
        <v>34</v>
      </c>
      <c r="I3" s="227" t="s">
        <v>762</v>
      </c>
      <c r="J3" s="227">
        <v>43</v>
      </c>
      <c r="K3" s="227">
        <v>114</v>
      </c>
      <c r="L3" s="227">
        <v>9</v>
      </c>
      <c r="M3" s="227">
        <v>277</v>
      </c>
    </row>
    <row r="4" spans="1:13" x14ac:dyDescent="0.15">
      <c r="A4" s="227">
        <v>20103</v>
      </c>
      <c r="B4" s="227" t="s">
        <v>482</v>
      </c>
      <c r="C4" s="227">
        <v>50</v>
      </c>
      <c r="D4" s="227">
        <v>37</v>
      </c>
      <c r="E4" s="227">
        <v>35</v>
      </c>
      <c r="F4" s="227">
        <v>16</v>
      </c>
      <c r="G4" s="227" t="s">
        <v>760</v>
      </c>
      <c r="H4" s="227">
        <v>16</v>
      </c>
      <c r="I4" s="227" t="s">
        <v>762</v>
      </c>
      <c r="J4" s="227">
        <v>38</v>
      </c>
      <c r="K4" s="227">
        <v>216</v>
      </c>
      <c r="L4" s="227">
        <v>18</v>
      </c>
      <c r="M4" s="227">
        <v>192</v>
      </c>
    </row>
    <row r="5" spans="1:13" x14ac:dyDescent="0.15">
      <c r="A5" s="227">
        <v>20104</v>
      </c>
      <c r="B5" s="227" t="s">
        <v>729</v>
      </c>
      <c r="C5" s="227">
        <v>15</v>
      </c>
      <c r="D5" s="227">
        <v>14</v>
      </c>
      <c r="E5" s="227">
        <v>4</v>
      </c>
      <c r="F5" s="227">
        <v>13</v>
      </c>
      <c r="G5" s="227" t="s">
        <v>761</v>
      </c>
      <c r="H5" s="227">
        <v>7</v>
      </c>
      <c r="I5" s="227" t="s">
        <v>772</v>
      </c>
      <c r="J5" s="227">
        <v>7</v>
      </c>
      <c r="K5" s="227">
        <v>327</v>
      </c>
      <c r="L5" s="227">
        <v>34</v>
      </c>
      <c r="M5" s="227">
        <v>60</v>
      </c>
    </row>
    <row r="6" spans="1:13" x14ac:dyDescent="0.15">
      <c r="A6" s="227">
        <v>20105</v>
      </c>
      <c r="B6" s="227" t="s">
        <v>577</v>
      </c>
      <c r="C6" s="227">
        <v>68</v>
      </c>
      <c r="D6" s="227">
        <v>8</v>
      </c>
      <c r="E6" s="227">
        <v>44</v>
      </c>
      <c r="F6" s="227">
        <v>27</v>
      </c>
      <c r="G6" s="227" t="s">
        <v>760</v>
      </c>
      <c r="H6" s="227">
        <v>22</v>
      </c>
      <c r="I6" s="227" t="s">
        <v>762</v>
      </c>
      <c r="J6" s="227">
        <v>7</v>
      </c>
      <c r="K6" s="227">
        <v>238</v>
      </c>
      <c r="L6" s="227">
        <v>20</v>
      </c>
      <c r="M6" s="227">
        <v>176</v>
      </c>
    </row>
    <row r="7" spans="1:13" x14ac:dyDescent="0.15">
      <c r="A7" s="227">
        <v>20106</v>
      </c>
      <c r="B7" s="227" t="s">
        <v>362</v>
      </c>
      <c r="C7" s="227">
        <v>25</v>
      </c>
      <c r="D7" s="227">
        <v>19</v>
      </c>
      <c r="E7" s="227">
        <v>7</v>
      </c>
      <c r="F7" s="227">
        <v>5</v>
      </c>
      <c r="G7" s="227" t="s">
        <v>760</v>
      </c>
      <c r="H7" s="227">
        <v>10</v>
      </c>
      <c r="I7" s="227" t="s">
        <v>762</v>
      </c>
      <c r="J7" s="227">
        <v>10</v>
      </c>
      <c r="K7" s="227">
        <v>323</v>
      </c>
      <c r="L7" s="227">
        <v>32</v>
      </c>
      <c r="M7" s="227">
        <v>76</v>
      </c>
    </row>
    <row r="8" spans="1:13" x14ac:dyDescent="0.15">
      <c r="A8" s="227">
        <v>20107</v>
      </c>
      <c r="B8" s="227" t="s">
        <v>299</v>
      </c>
      <c r="C8" s="227">
        <v>57</v>
      </c>
      <c r="D8" s="227">
        <v>44</v>
      </c>
      <c r="E8" s="227">
        <v>59</v>
      </c>
      <c r="F8" s="227">
        <v>34</v>
      </c>
      <c r="G8" s="227" t="s">
        <v>760</v>
      </c>
      <c r="H8" s="227">
        <v>26</v>
      </c>
      <c r="I8" s="227" t="s">
        <v>762</v>
      </c>
      <c r="J8" s="227">
        <v>37</v>
      </c>
      <c r="K8" s="227">
        <v>135</v>
      </c>
      <c r="L8" s="227">
        <v>11</v>
      </c>
      <c r="M8" s="227">
        <v>257</v>
      </c>
    </row>
    <row r="9" spans="1:13" x14ac:dyDescent="0.15">
      <c r="A9" s="227">
        <v>20108</v>
      </c>
      <c r="B9" s="227" t="s">
        <v>155</v>
      </c>
      <c r="C9" s="227">
        <v>51</v>
      </c>
      <c r="D9" s="227">
        <v>11</v>
      </c>
      <c r="E9" s="227">
        <v>45</v>
      </c>
      <c r="F9" s="227">
        <v>7</v>
      </c>
      <c r="G9" s="227" t="s">
        <v>762</v>
      </c>
      <c r="H9" s="227">
        <v>19</v>
      </c>
      <c r="I9" s="227" t="s">
        <v>760</v>
      </c>
      <c r="J9" s="227">
        <v>4</v>
      </c>
      <c r="K9" s="227">
        <v>277</v>
      </c>
      <c r="L9" s="227">
        <v>26</v>
      </c>
      <c r="M9" s="227">
        <v>137</v>
      </c>
    </row>
    <row r="10" spans="1:13" x14ac:dyDescent="0.15">
      <c r="A10" s="227">
        <v>20109</v>
      </c>
      <c r="B10" s="227" t="s">
        <v>395</v>
      </c>
      <c r="C10" s="227">
        <v>8</v>
      </c>
      <c r="D10" s="227">
        <v>35</v>
      </c>
      <c r="E10" s="227">
        <v>35</v>
      </c>
      <c r="F10" s="227">
        <v>24</v>
      </c>
      <c r="G10" s="227" t="s">
        <v>760</v>
      </c>
      <c r="H10" s="227">
        <v>18</v>
      </c>
      <c r="I10" s="227" t="s">
        <v>762</v>
      </c>
      <c r="J10" s="227">
        <v>17</v>
      </c>
      <c r="K10" s="227">
        <v>277</v>
      </c>
      <c r="L10" s="227">
        <v>26</v>
      </c>
      <c r="M10" s="227">
        <v>137</v>
      </c>
    </row>
    <row r="11" spans="1:13" x14ac:dyDescent="0.15">
      <c r="A11" s="227">
        <v>20110</v>
      </c>
      <c r="B11" s="227" t="s">
        <v>546</v>
      </c>
      <c r="C11" s="227">
        <v>25</v>
      </c>
      <c r="D11" s="227">
        <v>15</v>
      </c>
      <c r="E11" s="227">
        <v>39</v>
      </c>
      <c r="F11" s="227">
        <v>30</v>
      </c>
      <c r="G11" s="227" t="s">
        <v>760</v>
      </c>
      <c r="H11" s="227">
        <v>31</v>
      </c>
      <c r="I11" s="227" t="s">
        <v>762</v>
      </c>
      <c r="J11" s="227">
        <v>18</v>
      </c>
      <c r="K11" s="227">
        <v>260</v>
      </c>
      <c r="L11" s="227">
        <v>23</v>
      </c>
      <c r="M11" s="227">
        <v>158</v>
      </c>
    </row>
    <row r="12" spans="1:13" x14ac:dyDescent="0.15">
      <c r="A12" s="227">
        <v>20111</v>
      </c>
      <c r="B12" s="227" t="s">
        <v>736</v>
      </c>
      <c r="C12" s="227">
        <v>31</v>
      </c>
      <c r="D12" s="227">
        <v>23</v>
      </c>
      <c r="E12" s="227">
        <v>33</v>
      </c>
      <c r="F12" s="227">
        <v>23</v>
      </c>
      <c r="G12" s="227" t="s">
        <v>760</v>
      </c>
      <c r="H12" s="227">
        <v>17</v>
      </c>
      <c r="I12" s="227" t="s">
        <v>762</v>
      </c>
      <c r="J12" s="227">
        <v>8</v>
      </c>
      <c r="K12" s="227">
        <v>281</v>
      </c>
      <c r="L12" s="227">
        <v>28</v>
      </c>
      <c r="M12" s="227">
        <v>135</v>
      </c>
    </row>
    <row r="13" spans="1:13" x14ac:dyDescent="0.15">
      <c r="A13" s="227">
        <v>20112</v>
      </c>
      <c r="B13" s="227" t="s">
        <v>737</v>
      </c>
      <c r="C13" s="227">
        <v>83</v>
      </c>
      <c r="D13" s="227">
        <v>72</v>
      </c>
      <c r="E13" s="227">
        <v>75</v>
      </c>
      <c r="F13" s="227">
        <v>37</v>
      </c>
      <c r="G13" s="227" t="s">
        <v>760</v>
      </c>
      <c r="H13" s="227">
        <v>34</v>
      </c>
      <c r="I13" s="227" t="s">
        <v>762</v>
      </c>
      <c r="J13" s="227">
        <v>41</v>
      </c>
      <c r="K13" s="227">
        <v>37</v>
      </c>
      <c r="L13" s="227">
        <v>2</v>
      </c>
      <c r="M13" s="227">
        <v>342</v>
      </c>
    </row>
    <row r="14" spans="1:13" x14ac:dyDescent="0.15">
      <c r="A14" s="227">
        <v>20113</v>
      </c>
      <c r="B14" s="227" t="s">
        <v>519</v>
      </c>
      <c r="C14" s="227">
        <v>65</v>
      </c>
      <c r="D14" s="227">
        <v>17</v>
      </c>
      <c r="E14" s="227">
        <v>47</v>
      </c>
      <c r="F14" s="227">
        <v>39</v>
      </c>
      <c r="G14" s="227" t="s">
        <v>762</v>
      </c>
      <c r="H14" s="227">
        <v>46</v>
      </c>
      <c r="I14" s="227" t="s">
        <v>760</v>
      </c>
      <c r="J14" s="227">
        <v>25</v>
      </c>
      <c r="K14" s="227">
        <v>152</v>
      </c>
      <c r="L14" s="227">
        <v>14</v>
      </c>
      <c r="M14" s="227">
        <v>239</v>
      </c>
    </row>
    <row r="15" spans="1:13" x14ac:dyDescent="0.15">
      <c r="A15" s="227">
        <v>20114</v>
      </c>
      <c r="B15" s="227" t="s">
        <v>727</v>
      </c>
      <c r="C15" s="227">
        <v>0</v>
      </c>
      <c r="D15" s="227">
        <v>0</v>
      </c>
      <c r="E15" s="227">
        <v>20</v>
      </c>
      <c r="F15" s="227">
        <v>10</v>
      </c>
      <c r="G15" s="227" t="s">
        <v>761</v>
      </c>
      <c r="H15" s="227">
        <v>8</v>
      </c>
      <c r="I15" s="227" t="s">
        <v>760</v>
      </c>
      <c r="J15" s="227">
        <v>9</v>
      </c>
      <c r="K15" s="227">
        <v>329</v>
      </c>
      <c r="L15" s="227">
        <v>35</v>
      </c>
      <c r="M15" s="227">
        <v>47</v>
      </c>
    </row>
    <row r="16" spans="1:13" x14ac:dyDescent="0.15">
      <c r="A16" s="227">
        <v>20115</v>
      </c>
      <c r="B16" s="227" t="s">
        <v>645</v>
      </c>
      <c r="C16" s="227">
        <v>49</v>
      </c>
      <c r="D16" s="227">
        <v>18</v>
      </c>
      <c r="E16" s="227">
        <v>61</v>
      </c>
      <c r="F16" s="227">
        <v>40</v>
      </c>
      <c r="G16" s="227" t="s">
        <v>760</v>
      </c>
      <c r="H16" s="227">
        <v>24</v>
      </c>
      <c r="I16" s="227" t="s">
        <v>762</v>
      </c>
      <c r="J16" s="227">
        <v>28</v>
      </c>
      <c r="K16" s="227">
        <v>167</v>
      </c>
      <c r="L16" s="227">
        <v>15</v>
      </c>
      <c r="M16" s="227">
        <v>220</v>
      </c>
    </row>
    <row r="17" spans="1:13" x14ac:dyDescent="0.15">
      <c r="A17" s="227">
        <v>20116</v>
      </c>
      <c r="B17" s="227" t="s">
        <v>587</v>
      </c>
      <c r="C17" s="227">
        <v>74</v>
      </c>
      <c r="D17" s="227">
        <v>44</v>
      </c>
      <c r="E17" s="227">
        <v>67</v>
      </c>
      <c r="F17" s="227">
        <v>39</v>
      </c>
      <c r="G17" s="227" t="s">
        <v>760</v>
      </c>
      <c r="H17" s="227">
        <v>25</v>
      </c>
      <c r="I17" s="227" t="s">
        <v>762</v>
      </c>
      <c r="J17" s="227">
        <v>37</v>
      </c>
      <c r="K17" s="227">
        <v>103</v>
      </c>
      <c r="L17" s="227">
        <v>6</v>
      </c>
      <c r="M17" s="227">
        <v>286</v>
      </c>
    </row>
    <row r="18" spans="1:13" x14ac:dyDescent="0.15">
      <c r="A18" s="227">
        <v>20117</v>
      </c>
      <c r="B18" s="227" t="s">
        <v>58</v>
      </c>
      <c r="C18" s="227">
        <v>68</v>
      </c>
      <c r="D18" s="227">
        <v>62</v>
      </c>
      <c r="E18" s="227">
        <v>89</v>
      </c>
      <c r="F18" s="227">
        <v>37</v>
      </c>
      <c r="G18" s="227" t="s">
        <v>762</v>
      </c>
      <c r="H18" s="227">
        <v>38</v>
      </c>
      <c r="I18" s="227" t="s">
        <v>760</v>
      </c>
      <c r="J18" s="227">
        <v>22</v>
      </c>
      <c r="K18" s="227">
        <v>69</v>
      </c>
      <c r="L18" s="227">
        <v>4</v>
      </c>
      <c r="M18" s="227">
        <v>316</v>
      </c>
    </row>
    <row r="19" spans="1:13" x14ac:dyDescent="0.15">
      <c r="A19" s="227">
        <v>20118</v>
      </c>
      <c r="B19" s="227" t="s">
        <v>432</v>
      </c>
      <c r="C19" s="227">
        <v>88</v>
      </c>
      <c r="D19" s="227">
        <v>72</v>
      </c>
      <c r="E19" s="227">
        <v>75</v>
      </c>
      <c r="F19" s="227">
        <v>50</v>
      </c>
      <c r="G19" s="227" t="s">
        <v>760</v>
      </c>
      <c r="H19" s="227">
        <v>50</v>
      </c>
      <c r="I19" s="227" t="s">
        <v>762</v>
      </c>
      <c r="J19" s="227">
        <v>48</v>
      </c>
      <c r="K19" s="227">
        <v>12</v>
      </c>
      <c r="L19" s="227">
        <v>1</v>
      </c>
      <c r="M19" s="227">
        <v>383</v>
      </c>
    </row>
    <row r="20" spans="1:13" x14ac:dyDescent="0.15">
      <c r="A20" s="227">
        <v>20119</v>
      </c>
      <c r="B20" s="227" t="s">
        <v>726</v>
      </c>
      <c r="C20" s="227">
        <v>25</v>
      </c>
      <c r="D20" s="227">
        <v>39</v>
      </c>
      <c r="E20" s="227">
        <v>54</v>
      </c>
      <c r="F20" s="227">
        <v>23</v>
      </c>
      <c r="G20" s="227" t="s">
        <v>760</v>
      </c>
      <c r="H20" s="227">
        <v>5</v>
      </c>
      <c r="I20" s="227" t="s">
        <v>762</v>
      </c>
      <c r="J20" s="227">
        <v>14</v>
      </c>
      <c r="K20" s="227">
        <v>256</v>
      </c>
      <c r="L20" s="227">
        <v>22</v>
      </c>
      <c r="M20" s="227">
        <v>160</v>
      </c>
    </row>
    <row r="21" spans="1:13" x14ac:dyDescent="0.15">
      <c r="A21" s="227">
        <v>20120</v>
      </c>
      <c r="B21" s="227" t="s">
        <v>649</v>
      </c>
      <c r="C21" s="227">
        <v>32</v>
      </c>
      <c r="D21" s="227">
        <v>14</v>
      </c>
      <c r="E21" s="227">
        <v>33</v>
      </c>
      <c r="F21" s="227">
        <v>28</v>
      </c>
      <c r="G21" s="227" t="s">
        <v>762</v>
      </c>
      <c r="H21" s="227">
        <v>18</v>
      </c>
      <c r="I21" s="227" t="s">
        <v>760</v>
      </c>
      <c r="J21" s="227">
        <v>15</v>
      </c>
      <c r="K21" s="227">
        <v>275</v>
      </c>
      <c r="L21" s="227">
        <v>25</v>
      </c>
      <c r="M21" s="227">
        <v>140</v>
      </c>
    </row>
    <row r="22" spans="1:13" x14ac:dyDescent="0.15">
      <c r="A22" s="227">
        <v>20121</v>
      </c>
      <c r="B22" s="227" t="s">
        <v>496</v>
      </c>
      <c r="C22" s="227">
        <v>33</v>
      </c>
      <c r="D22" s="227">
        <v>9</v>
      </c>
      <c r="E22" s="227">
        <v>41</v>
      </c>
      <c r="F22" s="227">
        <v>27</v>
      </c>
      <c r="G22" s="227" t="s">
        <v>762</v>
      </c>
      <c r="H22" s="227">
        <v>23</v>
      </c>
      <c r="I22" s="227" t="s">
        <v>760</v>
      </c>
      <c r="J22" s="227">
        <v>10</v>
      </c>
      <c r="K22" s="227">
        <v>273</v>
      </c>
      <c r="L22" s="227">
        <v>24</v>
      </c>
      <c r="M22" s="227">
        <v>143</v>
      </c>
    </row>
    <row r="23" spans="1:13" x14ac:dyDescent="0.15">
      <c r="A23" s="227">
        <v>20122</v>
      </c>
      <c r="B23" s="227" t="s">
        <v>373</v>
      </c>
      <c r="C23" s="227">
        <v>48</v>
      </c>
      <c r="D23" s="227">
        <v>45</v>
      </c>
      <c r="E23" s="227">
        <v>48</v>
      </c>
      <c r="F23" s="227">
        <v>23</v>
      </c>
      <c r="G23" s="227" t="s">
        <v>760</v>
      </c>
      <c r="H23" s="227">
        <v>17</v>
      </c>
      <c r="I23" s="227" t="s">
        <v>762</v>
      </c>
      <c r="J23" s="227">
        <v>10</v>
      </c>
      <c r="K23" s="227">
        <v>217</v>
      </c>
      <c r="L23" s="227">
        <v>19</v>
      </c>
      <c r="M23" s="227">
        <v>191</v>
      </c>
    </row>
    <row r="24" spans="1:13" x14ac:dyDescent="0.15">
      <c r="A24" s="227">
        <v>20124</v>
      </c>
      <c r="B24" s="227" t="s">
        <v>652</v>
      </c>
      <c r="C24" s="227">
        <v>16</v>
      </c>
      <c r="D24" s="227">
        <v>41</v>
      </c>
      <c r="E24" s="227">
        <v>75</v>
      </c>
      <c r="F24" s="227">
        <v>16</v>
      </c>
      <c r="G24" s="227" t="s">
        <v>760</v>
      </c>
      <c r="H24" s="227">
        <v>15</v>
      </c>
      <c r="I24" s="227" t="s">
        <v>762</v>
      </c>
      <c r="J24" s="227">
        <v>9</v>
      </c>
      <c r="K24" s="227">
        <v>242</v>
      </c>
      <c r="L24" s="227">
        <v>21</v>
      </c>
      <c r="M24" s="227">
        <v>172</v>
      </c>
    </row>
    <row r="25" spans="1:13" x14ac:dyDescent="0.15">
      <c r="A25" s="227">
        <v>20125</v>
      </c>
      <c r="B25" s="227" t="s">
        <v>530</v>
      </c>
      <c r="C25" s="227">
        <v>40</v>
      </c>
      <c r="D25" s="227">
        <v>7</v>
      </c>
      <c r="E25" s="227">
        <v>15</v>
      </c>
      <c r="F25" s="227">
        <v>12</v>
      </c>
      <c r="G25" s="227" t="s">
        <v>760</v>
      </c>
      <c r="H25" s="227">
        <v>11</v>
      </c>
      <c r="I25" s="227" t="s">
        <v>762</v>
      </c>
      <c r="J25" s="227">
        <v>7</v>
      </c>
      <c r="K25" s="227">
        <v>309</v>
      </c>
      <c r="L25" s="227">
        <v>30</v>
      </c>
      <c r="M25" s="227">
        <v>92</v>
      </c>
    </row>
    <row r="26" spans="1:13" x14ac:dyDescent="0.15">
      <c r="A26" s="227">
        <v>20126</v>
      </c>
      <c r="B26" s="227" t="s">
        <v>320</v>
      </c>
      <c r="C26" s="227">
        <v>65</v>
      </c>
      <c r="D26" s="227">
        <v>51</v>
      </c>
      <c r="E26" s="227">
        <v>61</v>
      </c>
      <c r="F26" s="227">
        <v>29</v>
      </c>
      <c r="G26" s="227" t="s">
        <v>760</v>
      </c>
      <c r="H26" s="227">
        <v>24</v>
      </c>
      <c r="I26" s="227" t="s">
        <v>762</v>
      </c>
      <c r="J26" s="227">
        <v>27</v>
      </c>
      <c r="K26" s="227">
        <v>135</v>
      </c>
      <c r="L26" s="227">
        <v>11</v>
      </c>
      <c r="M26" s="227">
        <v>257</v>
      </c>
    </row>
    <row r="27" spans="1:13" x14ac:dyDescent="0.15">
      <c r="A27" s="227">
        <v>20127</v>
      </c>
      <c r="B27" s="227" t="s">
        <v>501</v>
      </c>
      <c r="C27" s="227">
        <v>65</v>
      </c>
      <c r="D27" s="227">
        <v>52</v>
      </c>
      <c r="E27" s="227">
        <v>65</v>
      </c>
      <c r="F27" s="227">
        <v>32</v>
      </c>
      <c r="G27" s="227" t="s">
        <v>760</v>
      </c>
      <c r="H27" s="227">
        <v>26</v>
      </c>
      <c r="I27" s="227" t="s">
        <v>762</v>
      </c>
      <c r="J27" s="227">
        <v>39</v>
      </c>
      <c r="K27" s="227">
        <v>113</v>
      </c>
      <c r="L27" s="227">
        <v>8</v>
      </c>
      <c r="M27" s="227">
        <v>279</v>
      </c>
    </row>
    <row r="28" spans="1:13" x14ac:dyDescent="0.15">
      <c r="A28" s="227">
        <v>20128</v>
      </c>
      <c r="B28" s="227" t="s">
        <v>537</v>
      </c>
      <c r="C28" s="227">
        <v>32</v>
      </c>
      <c r="D28" s="227">
        <v>18</v>
      </c>
      <c r="E28" s="227">
        <v>41</v>
      </c>
      <c r="F28" s="227">
        <v>23</v>
      </c>
      <c r="G28" s="227" t="s">
        <v>762</v>
      </c>
      <c r="H28" s="227">
        <v>7</v>
      </c>
      <c r="I28" s="227" t="s">
        <v>760</v>
      </c>
      <c r="J28" s="227">
        <v>9</v>
      </c>
      <c r="K28" s="227">
        <v>284</v>
      </c>
      <c r="L28" s="227">
        <v>29</v>
      </c>
      <c r="M28" s="227">
        <v>130</v>
      </c>
    </row>
    <row r="29" spans="1:13" x14ac:dyDescent="0.15">
      <c r="A29" s="227">
        <v>20129</v>
      </c>
      <c r="B29" s="227" t="s">
        <v>627</v>
      </c>
      <c r="C29" s="227">
        <v>70</v>
      </c>
      <c r="D29" s="227">
        <v>66</v>
      </c>
      <c r="E29" s="227">
        <v>70</v>
      </c>
      <c r="F29" s="227">
        <v>38</v>
      </c>
      <c r="G29" s="227" t="s">
        <v>760</v>
      </c>
      <c r="H29" s="227">
        <v>32</v>
      </c>
      <c r="I29" s="227" t="s">
        <v>762</v>
      </c>
      <c r="J29" s="227">
        <v>40</v>
      </c>
      <c r="K29" s="227">
        <v>69</v>
      </c>
      <c r="L29" s="227">
        <v>4</v>
      </c>
      <c r="M29" s="227">
        <v>316</v>
      </c>
    </row>
    <row r="30" spans="1:13" x14ac:dyDescent="0.15">
      <c r="A30" s="227">
        <v>20130</v>
      </c>
      <c r="B30" s="227" t="s">
        <v>449</v>
      </c>
      <c r="C30" s="227">
        <v>73</v>
      </c>
      <c r="D30" s="227">
        <v>62</v>
      </c>
      <c r="E30" s="227">
        <v>64</v>
      </c>
      <c r="F30" s="227">
        <v>36</v>
      </c>
      <c r="G30" s="227" t="s">
        <v>762</v>
      </c>
      <c r="H30" s="227">
        <v>37</v>
      </c>
      <c r="I30" s="227" t="s">
        <v>760</v>
      </c>
      <c r="J30" s="227">
        <v>11</v>
      </c>
      <c r="K30" s="227">
        <v>107</v>
      </c>
      <c r="L30" s="227">
        <v>7</v>
      </c>
      <c r="M30" s="227">
        <v>283</v>
      </c>
    </row>
    <row r="31" spans="1:13" x14ac:dyDescent="0.15">
      <c r="A31" s="227">
        <v>20131</v>
      </c>
      <c r="B31" s="227" t="s">
        <v>416</v>
      </c>
      <c r="C31" s="227">
        <v>86</v>
      </c>
      <c r="D31" s="227">
        <v>68</v>
      </c>
      <c r="E31" s="227">
        <v>98</v>
      </c>
      <c r="F31" s="227">
        <v>29</v>
      </c>
      <c r="G31" s="227" t="s">
        <v>760</v>
      </c>
      <c r="H31" s="227">
        <v>35</v>
      </c>
      <c r="I31" s="227" t="s">
        <v>762</v>
      </c>
      <c r="J31" s="227">
        <v>10</v>
      </c>
      <c r="K31" s="227">
        <v>53</v>
      </c>
      <c r="L31" s="227">
        <v>3</v>
      </c>
      <c r="M31" s="227">
        <v>326</v>
      </c>
    </row>
    <row r="32" spans="1:13" x14ac:dyDescent="0.15">
      <c r="A32" s="227">
        <v>20132</v>
      </c>
      <c r="B32" s="227" t="s">
        <v>417</v>
      </c>
      <c r="C32" s="227">
        <v>48</v>
      </c>
      <c r="D32" s="227">
        <v>45</v>
      </c>
      <c r="E32" s="227">
        <v>56</v>
      </c>
      <c r="F32" s="227">
        <v>21</v>
      </c>
      <c r="G32" s="227" t="s">
        <v>760</v>
      </c>
      <c r="H32" s="227">
        <v>10</v>
      </c>
      <c r="I32" s="227" t="s">
        <v>762</v>
      </c>
      <c r="J32" s="227">
        <v>16</v>
      </c>
      <c r="K32" s="227">
        <v>206</v>
      </c>
      <c r="L32" s="227">
        <v>17</v>
      </c>
      <c r="M32" s="227">
        <v>196</v>
      </c>
    </row>
    <row r="33" spans="1:13" x14ac:dyDescent="0.15">
      <c r="A33" s="227">
        <v>20133</v>
      </c>
      <c r="B33" s="227" t="s">
        <v>418</v>
      </c>
      <c r="C33" s="227">
        <v>77</v>
      </c>
      <c r="D33" s="227">
        <v>17</v>
      </c>
      <c r="E33" s="227">
        <v>57</v>
      </c>
      <c r="F33" s="227">
        <v>21</v>
      </c>
      <c r="G33" s="227" t="s">
        <v>762</v>
      </c>
      <c r="H33" s="227">
        <v>46</v>
      </c>
      <c r="I33" s="227" t="s">
        <v>760</v>
      </c>
      <c r="J33" s="227">
        <v>27</v>
      </c>
      <c r="K33" s="227">
        <v>150</v>
      </c>
      <c r="L33" s="227">
        <v>13</v>
      </c>
      <c r="M33" s="227">
        <v>245</v>
      </c>
    </row>
    <row r="34" spans="1:13" x14ac:dyDescent="0.15">
      <c r="A34" s="227">
        <v>20134</v>
      </c>
      <c r="B34" s="227" t="s">
        <v>478</v>
      </c>
      <c r="C34" s="227">
        <v>83</v>
      </c>
      <c r="D34" s="227">
        <v>43</v>
      </c>
      <c r="E34" s="227">
        <v>67</v>
      </c>
      <c r="F34" s="227">
        <v>21</v>
      </c>
      <c r="G34" s="227" t="s">
        <v>760</v>
      </c>
      <c r="H34" s="227">
        <v>9</v>
      </c>
      <c r="I34" s="227" t="s">
        <v>762</v>
      </c>
      <c r="J34" s="227">
        <v>43</v>
      </c>
      <c r="K34" s="227">
        <v>123</v>
      </c>
      <c r="L34" s="227">
        <v>10</v>
      </c>
      <c r="M34" s="227">
        <v>266</v>
      </c>
    </row>
    <row r="35" spans="1:13" x14ac:dyDescent="0.15">
      <c r="A35" s="227">
        <v>20135</v>
      </c>
      <c r="B35" s="227" t="s">
        <v>540</v>
      </c>
      <c r="C35" s="227">
        <v>48</v>
      </c>
      <c r="D35" s="227">
        <v>21</v>
      </c>
      <c r="E35" s="227">
        <v>66</v>
      </c>
      <c r="F35" s="227">
        <v>34</v>
      </c>
      <c r="G35" s="227" t="s">
        <v>760</v>
      </c>
      <c r="H35" s="227">
        <v>23</v>
      </c>
      <c r="I35" s="227" t="s">
        <v>762</v>
      </c>
      <c r="J35" s="227">
        <v>27</v>
      </c>
      <c r="K35" s="227">
        <v>169</v>
      </c>
      <c r="L35" s="227">
        <v>16</v>
      </c>
      <c r="M35" s="227">
        <v>219</v>
      </c>
    </row>
    <row r="36" spans="1:13" x14ac:dyDescent="0.15">
      <c r="A36" s="227">
        <v>20136</v>
      </c>
      <c r="B36" s="227" t="s">
        <v>738</v>
      </c>
      <c r="C36" s="227">
        <v>18</v>
      </c>
      <c r="D36" s="227">
        <v>14</v>
      </c>
      <c r="E36" s="227">
        <v>21</v>
      </c>
      <c r="F36" s="227">
        <v>14</v>
      </c>
      <c r="G36" s="227" t="s">
        <v>760</v>
      </c>
      <c r="H36" s="227">
        <v>7</v>
      </c>
      <c r="I36" s="227" t="s">
        <v>762</v>
      </c>
      <c r="J36" s="227">
        <v>13</v>
      </c>
      <c r="K36" s="227">
        <v>315</v>
      </c>
      <c r="L36" s="227">
        <v>31</v>
      </c>
      <c r="M36" s="227">
        <v>87</v>
      </c>
    </row>
    <row r="37" spans="1:13" x14ac:dyDescent="0.15">
      <c r="A37" s="227">
        <v>20201</v>
      </c>
      <c r="B37" s="227" t="s">
        <v>454</v>
      </c>
      <c r="C37" s="227">
        <v>30</v>
      </c>
      <c r="D37" s="227">
        <v>18</v>
      </c>
      <c r="E37" s="227">
        <v>40</v>
      </c>
      <c r="F37" s="227">
        <v>36</v>
      </c>
      <c r="G37" s="227" t="s">
        <v>763</v>
      </c>
      <c r="H37" s="227">
        <v>15</v>
      </c>
      <c r="I37" s="227" t="s">
        <v>762</v>
      </c>
      <c r="J37" s="227">
        <v>22</v>
      </c>
      <c r="K37" s="227">
        <v>254</v>
      </c>
      <c r="L37" s="227">
        <v>21</v>
      </c>
      <c r="M37" s="227">
        <v>161</v>
      </c>
    </row>
    <row r="38" spans="1:13" x14ac:dyDescent="0.15">
      <c r="A38" s="227">
        <v>20202</v>
      </c>
      <c r="B38" s="227" t="s">
        <v>361</v>
      </c>
      <c r="C38" s="227">
        <v>42</v>
      </c>
      <c r="D38" s="227">
        <v>44</v>
      </c>
      <c r="E38" s="227">
        <v>59</v>
      </c>
      <c r="F38" s="227">
        <v>37</v>
      </c>
      <c r="G38" s="227" t="s">
        <v>761</v>
      </c>
      <c r="H38" s="227">
        <v>22</v>
      </c>
      <c r="I38" s="227" t="s">
        <v>762</v>
      </c>
      <c r="J38" s="227">
        <v>31</v>
      </c>
      <c r="K38" s="227">
        <v>154</v>
      </c>
      <c r="L38" s="227">
        <v>12</v>
      </c>
      <c r="M38" s="227">
        <v>235</v>
      </c>
    </row>
    <row r="39" spans="1:13" x14ac:dyDescent="0.15">
      <c r="A39" s="227">
        <v>20203</v>
      </c>
      <c r="B39" s="227" t="s">
        <v>579</v>
      </c>
      <c r="C39" s="227">
        <v>50</v>
      </c>
      <c r="D39" s="227">
        <v>29</v>
      </c>
      <c r="E39" s="227">
        <v>36</v>
      </c>
      <c r="F39" s="227">
        <v>16</v>
      </c>
      <c r="G39" s="227" t="s">
        <v>760</v>
      </c>
      <c r="H39" s="227">
        <v>16</v>
      </c>
      <c r="I39" s="227" t="s">
        <v>762</v>
      </c>
      <c r="J39" s="227">
        <v>16</v>
      </c>
      <c r="K39" s="227">
        <v>250</v>
      </c>
      <c r="L39" s="227">
        <v>20</v>
      </c>
      <c r="M39" s="227">
        <v>163</v>
      </c>
    </row>
    <row r="40" spans="1:13" x14ac:dyDescent="0.15">
      <c r="A40" s="227">
        <v>20204</v>
      </c>
      <c r="B40" s="227" t="s">
        <v>543</v>
      </c>
      <c r="C40" s="227">
        <v>85</v>
      </c>
      <c r="D40" s="227">
        <v>61</v>
      </c>
      <c r="E40" s="227">
        <v>74</v>
      </c>
      <c r="F40" s="227">
        <v>50</v>
      </c>
      <c r="G40" s="227" t="s">
        <v>760</v>
      </c>
      <c r="H40" s="227">
        <v>50</v>
      </c>
      <c r="I40" s="227" t="s">
        <v>762</v>
      </c>
      <c r="J40" s="227">
        <v>43</v>
      </c>
      <c r="K40" s="227">
        <v>24</v>
      </c>
      <c r="L40" s="227">
        <v>3</v>
      </c>
      <c r="M40" s="227">
        <v>363</v>
      </c>
    </row>
    <row r="41" spans="1:13" x14ac:dyDescent="0.15">
      <c r="A41" s="227">
        <v>20205</v>
      </c>
      <c r="B41" s="227" t="s">
        <v>580</v>
      </c>
      <c r="C41" s="227">
        <v>18</v>
      </c>
      <c r="D41" s="227">
        <v>8</v>
      </c>
      <c r="E41" s="227">
        <v>21</v>
      </c>
      <c r="F41" s="227">
        <v>7</v>
      </c>
      <c r="G41" s="227" t="s">
        <v>760</v>
      </c>
      <c r="H41" s="227">
        <v>11</v>
      </c>
      <c r="I41" s="227" t="s">
        <v>762</v>
      </c>
      <c r="J41" s="227">
        <v>7</v>
      </c>
      <c r="K41" s="227">
        <v>326</v>
      </c>
      <c r="L41" s="227">
        <v>33</v>
      </c>
      <c r="M41" s="227">
        <v>72</v>
      </c>
    </row>
    <row r="42" spans="1:13" x14ac:dyDescent="0.15">
      <c r="A42" s="227">
        <v>20206</v>
      </c>
      <c r="B42" s="227" t="s">
        <v>362</v>
      </c>
      <c r="C42" s="227">
        <v>41</v>
      </c>
      <c r="D42" s="227">
        <v>37</v>
      </c>
      <c r="E42" s="227">
        <v>38</v>
      </c>
      <c r="F42" s="227">
        <v>32</v>
      </c>
      <c r="G42" s="227" t="s">
        <v>760</v>
      </c>
      <c r="H42" s="227">
        <v>26</v>
      </c>
      <c r="I42" s="227" t="s">
        <v>762</v>
      </c>
      <c r="J42" s="227">
        <v>37</v>
      </c>
      <c r="K42" s="227">
        <v>183</v>
      </c>
      <c r="L42" s="227">
        <v>17</v>
      </c>
      <c r="M42" s="227">
        <v>211</v>
      </c>
    </row>
    <row r="43" spans="1:13" x14ac:dyDescent="0.15">
      <c r="A43" s="227">
        <v>20207</v>
      </c>
      <c r="B43" s="227" t="s">
        <v>608</v>
      </c>
      <c r="C43" s="227">
        <v>44</v>
      </c>
      <c r="D43" s="227">
        <v>50</v>
      </c>
      <c r="E43" s="227">
        <v>59</v>
      </c>
      <c r="F43" s="227">
        <v>47</v>
      </c>
      <c r="G43" s="227" t="s">
        <v>764</v>
      </c>
      <c r="H43" s="227">
        <v>28</v>
      </c>
      <c r="I43" s="227" t="s">
        <v>762</v>
      </c>
      <c r="J43" s="227">
        <v>30</v>
      </c>
      <c r="K43" s="227">
        <v>132</v>
      </c>
      <c r="L43" s="227">
        <v>10</v>
      </c>
      <c r="M43" s="227">
        <v>258</v>
      </c>
    </row>
    <row r="44" spans="1:13" x14ac:dyDescent="0.15">
      <c r="A44" s="227">
        <v>20208</v>
      </c>
      <c r="B44" s="227" t="s">
        <v>582</v>
      </c>
      <c r="C44" s="227">
        <v>75</v>
      </c>
      <c r="D44" s="227">
        <v>76</v>
      </c>
      <c r="E44" s="227">
        <v>56</v>
      </c>
      <c r="F44" s="227">
        <v>44</v>
      </c>
      <c r="G44" s="227" t="s">
        <v>760</v>
      </c>
      <c r="H44" s="227">
        <v>37</v>
      </c>
      <c r="I44" s="227" t="s">
        <v>762</v>
      </c>
      <c r="J44" s="227">
        <v>43</v>
      </c>
      <c r="K44" s="227">
        <v>47</v>
      </c>
      <c r="L44" s="227">
        <v>5</v>
      </c>
      <c r="M44" s="227">
        <v>331</v>
      </c>
    </row>
    <row r="45" spans="1:13" x14ac:dyDescent="0.15">
      <c r="A45" s="227">
        <v>20209</v>
      </c>
      <c r="B45" s="227" t="s">
        <v>639</v>
      </c>
      <c r="C45" s="227">
        <v>36</v>
      </c>
      <c r="D45" s="227">
        <v>20</v>
      </c>
      <c r="E45" s="227">
        <v>33</v>
      </c>
      <c r="F45" s="227">
        <v>12</v>
      </c>
      <c r="G45" s="227" t="s">
        <v>762</v>
      </c>
      <c r="H45" s="227">
        <v>14</v>
      </c>
      <c r="I45" s="227" t="s">
        <v>761</v>
      </c>
      <c r="J45" s="227">
        <v>22</v>
      </c>
      <c r="K45" s="227">
        <v>277</v>
      </c>
      <c r="L45" s="227">
        <v>23</v>
      </c>
      <c r="M45" s="227">
        <v>137</v>
      </c>
    </row>
    <row r="46" spans="1:13" x14ac:dyDescent="0.15">
      <c r="A46" s="227">
        <v>20210</v>
      </c>
      <c r="B46" s="227" t="s">
        <v>612</v>
      </c>
      <c r="C46" s="227">
        <v>64</v>
      </c>
      <c r="D46" s="227">
        <v>29</v>
      </c>
      <c r="E46" s="227">
        <v>19</v>
      </c>
      <c r="F46" s="227">
        <v>7</v>
      </c>
      <c r="G46" s="227" t="s">
        <v>760</v>
      </c>
      <c r="H46" s="227">
        <v>21</v>
      </c>
      <c r="I46" s="227" t="s">
        <v>762</v>
      </c>
      <c r="J46" s="227">
        <v>5</v>
      </c>
      <c r="K46" s="227">
        <v>270</v>
      </c>
      <c r="L46" s="227">
        <v>22</v>
      </c>
      <c r="M46" s="227">
        <v>145</v>
      </c>
    </row>
    <row r="47" spans="1:13" x14ac:dyDescent="0.15">
      <c r="A47" s="227">
        <v>20211</v>
      </c>
      <c r="B47" s="227" t="s">
        <v>585</v>
      </c>
      <c r="C47" s="227">
        <v>70</v>
      </c>
      <c r="D47" s="227">
        <v>55</v>
      </c>
      <c r="E47" s="227">
        <v>77</v>
      </c>
      <c r="F47" s="227">
        <v>16</v>
      </c>
      <c r="G47" s="227" t="s">
        <v>760</v>
      </c>
      <c r="H47" s="227">
        <v>23</v>
      </c>
      <c r="I47" s="227" t="s">
        <v>762</v>
      </c>
      <c r="J47" s="227">
        <v>36</v>
      </c>
      <c r="K47" s="227">
        <v>114</v>
      </c>
      <c r="L47" s="227">
        <v>9</v>
      </c>
      <c r="M47" s="227">
        <v>277</v>
      </c>
    </row>
    <row r="48" spans="1:13" x14ac:dyDescent="0.15">
      <c r="A48" s="227">
        <v>20212</v>
      </c>
      <c r="B48" s="227" t="s">
        <v>402</v>
      </c>
      <c r="C48" s="227">
        <v>27</v>
      </c>
      <c r="D48" s="227">
        <v>11</v>
      </c>
      <c r="E48" s="227">
        <v>26</v>
      </c>
      <c r="F48" s="227">
        <v>15</v>
      </c>
      <c r="G48" s="227" t="s">
        <v>760</v>
      </c>
      <c r="H48" s="227">
        <v>13</v>
      </c>
      <c r="I48" s="227" t="s">
        <v>762</v>
      </c>
      <c r="J48" s="227">
        <v>17</v>
      </c>
      <c r="K48" s="227">
        <v>300</v>
      </c>
      <c r="L48" s="227">
        <v>26</v>
      </c>
      <c r="M48" s="227">
        <v>109</v>
      </c>
    </row>
    <row r="49" spans="1:13" x14ac:dyDescent="0.15">
      <c r="A49" s="227">
        <v>20213</v>
      </c>
      <c r="B49" s="227" t="s">
        <v>647</v>
      </c>
      <c r="C49" s="227">
        <v>82</v>
      </c>
      <c r="D49" s="227">
        <v>32</v>
      </c>
      <c r="E49" s="227">
        <v>69</v>
      </c>
      <c r="F49" s="227">
        <v>44</v>
      </c>
      <c r="G49" s="227" t="s">
        <v>760</v>
      </c>
      <c r="H49" s="227">
        <v>33</v>
      </c>
      <c r="I49" s="227" t="s">
        <v>762</v>
      </c>
      <c r="J49" s="227">
        <v>35</v>
      </c>
      <c r="K49" s="227">
        <v>91</v>
      </c>
      <c r="L49" s="227">
        <v>8</v>
      </c>
      <c r="M49" s="227">
        <v>295</v>
      </c>
    </row>
    <row r="50" spans="1:13" x14ac:dyDescent="0.15">
      <c r="A50" s="227">
        <v>20214</v>
      </c>
      <c r="B50" s="227" t="s">
        <v>403</v>
      </c>
      <c r="C50" s="227">
        <v>33</v>
      </c>
      <c r="D50" s="227">
        <v>7</v>
      </c>
      <c r="E50" s="227">
        <v>40</v>
      </c>
      <c r="F50" s="227">
        <v>8</v>
      </c>
      <c r="G50" s="227" t="s">
        <v>762</v>
      </c>
      <c r="H50" s="227">
        <v>7</v>
      </c>
      <c r="I50" s="227" t="s">
        <v>764</v>
      </c>
      <c r="J50" s="227">
        <v>10</v>
      </c>
      <c r="K50" s="227">
        <v>301</v>
      </c>
      <c r="L50" s="227">
        <v>27</v>
      </c>
      <c r="M50" s="227">
        <v>105</v>
      </c>
    </row>
    <row r="51" spans="1:13" x14ac:dyDescent="0.15">
      <c r="A51" s="227">
        <v>20215</v>
      </c>
      <c r="B51" s="227" t="s">
        <v>492</v>
      </c>
      <c r="C51" s="227">
        <v>85</v>
      </c>
      <c r="D51" s="227">
        <v>56</v>
      </c>
      <c r="E51" s="227">
        <v>82</v>
      </c>
      <c r="F51" s="227">
        <v>44</v>
      </c>
      <c r="G51" s="227" t="s">
        <v>760</v>
      </c>
      <c r="H51" s="227">
        <v>42</v>
      </c>
      <c r="I51" s="227" t="s">
        <v>762</v>
      </c>
      <c r="J51" s="227">
        <v>45</v>
      </c>
      <c r="K51" s="227">
        <v>29</v>
      </c>
      <c r="L51" s="227">
        <v>4</v>
      </c>
      <c r="M51" s="227">
        <v>354</v>
      </c>
    </row>
    <row r="52" spans="1:13" x14ac:dyDescent="0.15">
      <c r="A52" s="227">
        <v>20216</v>
      </c>
      <c r="B52" s="227" t="s">
        <v>650</v>
      </c>
      <c r="C52" s="227">
        <v>19</v>
      </c>
      <c r="D52" s="227">
        <v>16</v>
      </c>
      <c r="E52" s="227">
        <v>32</v>
      </c>
      <c r="F52" s="227">
        <v>7</v>
      </c>
      <c r="G52" s="227" t="s">
        <v>765</v>
      </c>
      <c r="H52" s="227">
        <v>7</v>
      </c>
      <c r="I52" s="227" t="s">
        <v>762</v>
      </c>
      <c r="J52" s="227">
        <v>5</v>
      </c>
      <c r="K52" s="227">
        <v>316</v>
      </c>
      <c r="L52" s="227">
        <v>30</v>
      </c>
      <c r="M52" s="227">
        <v>86</v>
      </c>
    </row>
    <row r="53" spans="1:13" x14ac:dyDescent="0.15">
      <c r="A53" s="227">
        <v>20217</v>
      </c>
      <c r="B53" s="227" t="s">
        <v>371</v>
      </c>
      <c r="C53" s="227">
        <v>80</v>
      </c>
      <c r="D53" s="227">
        <v>88</v>
      </c>
      <c r="E53" s="227">
        <v>96</v>
      </c>
      <c r="F53" s="227">
        <v>24</v>
      </c>
      <c r="G53" s="227" t="s">
        <v>760</v>
      </c>
      <c r="H53" s="227">
        <v>45</v>
      </c>
      <c r="I53" s="227" t="s">
        <v>762</v>
      </c>
      <c r="J53" s="227">
        <v>50</v>
      </c>
      <c r="K53" s="227">
        <v>12</v>
      </c>
      <c r="L53" s="227">
        <v>1</v>
      </c>
      <c r="M53" s="227">
        <v>383</v>
      </c>
    </row>
    <row r="54" spans="1:13" x14ac:dyDescent="0.15">
      <c r="A54" s="227">
        <v>20218</v>
      </c>
      <c r="B54" s="227" t="s">
        <v>651</v>
      </c>
      <c r="C54" s="227">
        <v>45</v>
      </c>
      <c r="D54" s="227">
        <v>34</v>
      </c>
      <c r="E54" s="227">
        <v>50</v>
      </c>
      <c r="F54" s="227">
        <v>36</v>
      </c>
      <c r="G54" s="227" t="s">
        <v>762</v>
      </c>
      <c r="H54" s="227">
        <v>36</v>
      </c>
      <c r="I54" s="227" t="s">
        <v>760</v>
      </c>
      <c r="J54" s="227">
        <v>18</v>
      </c>
      <c r="K54" s="227">
        <v>169</v>
      </c>
      <c r="L54" s="227">
        <v>13</v>
      </c>
      <c r="M54" s="227">
        <v>219</v>
      </c>
    </row>
    <row r="55" spans="1:13" x14ac:dyDescent="0.15">
      <c r="A55" s="227">
        <v>20219</v>
      </c>
      <c r="B55" s="227" t="s">
        <v>439</v>
      </c>
      <c r="C55" s="227">
        <v>85</v>
      </c>
      <c r="D55" s="227">
        <v>54</v>
      </c>
      <c r="E55" s="227">
        <v>77</v>
      </c>
      <c r="F55" s="227">
        <v>34</v>
      </c>
      <c r="G55" s="227" t="s">
        <v>760</v>
      </c>
      <c r="H55" s="227">
        <v>21</v>
      </c>
      <c r="I55" s="227" t="s">
        <v>762</v>
      </c>
      <c r="J55" s="227">
        <v>36</v>
      </c>
      <c r="K55" s="227">
        <v>84</v>
      </c>
      <c r="L55" s="227">
        <v>7</v>
      </c>
      <c r="M55" s="227">
        <v>307</v>
      </c>
    </row>
    <row r="56" spans="1:13" x14ac:dyDescent="0.15">
      <c r="A56" s="227">
        <v>20220</v>
      </c>
      <c r="B56" s="227" t="s">
        <v>591</v>
      </c>
      <c r="C56" s="227">
        <v>27</v>
      </c>
      <c r="D56" s="227">
        <v>9</v>
      </c>
      <c r="E56" s="227">
        <v>38</v>
      </c>
      <c r="F56" s="227">
        <v>13</v>
      </c>
      <c r="G56" s="227" t="s">
        <v>760</v>
      </c>
      <c r="H56" s="227">
        <v>10</v>
      </c>
      <c r="I56" s="227" t="s">
        <v>762</v>
      </c>
      <c r="J56" s="227">
        <v>15</v>
      </c>
      <c r="K56" s="227">
        <v>296</v>
      </c>
      <c r="L56" s="227">
        <v>25</v>
      </c>
      <c r="M56" s="227">
        <v>112</v>
      </c>
    </row>
    <row r="57" spans="1:13" x14ac:dyDescent="0.15">
      <c r="A57" s="227">
        <v>20221</v>
      </c>
      <c r="B57" s="227" t="s">
        <v>592</v>
      </c>
      <c r="C57" s="227">
        <v>19</v>
      </c>
      <c r="D57" s="227">
        <v>11</v>
      </c>
      <c r="E57" s="227">
        <v>33</v>
      </c>
      <c r="F57" s="227">
        <v>7</v>
      </c>
      <c r="G57" s="227" t="s">
        <v>760</v>
      </c>
      <c r="H57" s="227">
        <v>5</v>
      </c>
      <c r="I57" s="227" t="s">
        <v>762</v>
      </c>
      <c r="J57" s="227">
        <v>11</v>
      </c>
      <c r="K57" s="227">
        <v>316</v>
      </c>
      <c r="L57" s="227">
        <v>30</v>
      </c>
      <c r="M57" s="227">
        <v>86</v>
      </c>
    </row>
    <row r="58" spans="1:13" x14ac:dyDescent="0.15">
      <c r="A58" s="227">
        <v>20222</v>
      </c>
      <c r="B58" s="227" t="s">
        <v>440</v>
      </c>
      <c r="C58" s="227">
        <v>57</v>
      </c>
      <c r="D58" s="227">
        <v>17</v>
      </c>
      <c r="E58" s="227">
        <v>61</v>
      </c>
      <c r="F58" s="227">
        <v>28</v>
      </c>
      <c r="G58" s="227" t="s">
        <v>762</v>
      </c>
      <c r="H58" s="227">
        <v>33</v>
      </c>
      <c r="I58" s="227" t="s">
        <v>760</v>
      </c>
      <c r="J58" s="227">
        <v>16</v>
      </c>
      <c r="K58" s="227">
        <v>180</v>
      </c>
      <c r="L58" s="227">
        <v>16</v>
      </c>
      <c r="M58" s="227">
        <v>212</v>
      </c>
    </row>
    <row r="59" spans="1:13" x14ac:dyDescent="0.15">
      <c r="A59" s="227">
        <v>20223</v>
      </c>
      <c r="B59" s="227" t="s">
        <v>380</v>
      </c>
      <c r="C59" s="227">
        <v>18</v>
      </c>
      <c r="D59" s="227">
        <v>8</v>
      </c>
      <c r="E59" s="227">
        <v>21</v>
      </c>
      <c r="F59" s="227">
        <v>21</v>
      </c>
      <c r="G59" s="227" t="s">
        <v>760</v>
      </c>
      <c r="H59" s="227">
        <v>11</v>
      </c>
      <c r="I59" s="227" t="s">
        <v>762</v>
      </c>
      <c r="J59" s="227">
        <v>7</v>
      </c>
      <c r="K59" s="227">
        <v>316</v>
      </c>
      <c r="L59" s="227">
        <v>30</v>
      </c>
      <c r="M59" s="227">
        <v>86</v>
      </c>
    </row>
    <row r="60" spans="1:13" x14ac:dyDescent="0.15">
      <c r="A60" s="227">
        <v>20224</v>
      </c>
      <c r="B60" s="227" t="s">
        <v>473</v>
      </c>
      <c r="C60" s="227">
        <v>52</v>
      </c>
      <c r="D60" s="227">
        <v>30</v>
      </c>
      <c r="E60" s="227">
        <v>44</v>
      </c>
      <c r="F60" s="227">
        <v>30</v>
      </c>
      <c r="G60" s="227" t="s">
        <v>762</v>
      </c>
      <c r="H60" s="227">
        <v>23</v>
      </c>
      <c r="I60" s="227" t="s">
        <v>767</v>
      </c>
      <c r="J60" s="227">
        <v>12</v>
      </c>
      <c r="K60" s="227">
        <v>217</v>
      </c>
      <c r="L60" s="227">
        <v>18</v>
      </c>
      <c r="M60" s="227">
        <v>191</v>
      </c>
    </row>
    <row r="61" spans="1:13" x14ac:dyDescent="0.15">
      <c r="A61" s="227">
        <v>20225</v>
      </c>
      <c r="B61" s="227" t="s">
        <v>558</v>
      </c>
      <c r="C61" s="227">
        <v>23</v>
      </c>
      <c r="D61" s="227">
        <v>13</v>
      </c>
      <c r="E61" s="227">
        <v>25</v>
      </c>
      <c r="F61" s="227">
        <v>7</v>
      </c>
      <c r="G61" s="227" t="s">
        <v>760</v>
      </c>
      <c r="H61" s="227">
        <v>11</v>
      </c>
      <c r="I61" s="227" t="s">
        <v>762</v>
      </c>
      <c r="J61" s="227">
        <v>12</v>
      </c>
      <c r="K61" s="227">
        <v>312</v>
      </c>
      <c r="L61" s="227">
        <v>29</v>
      </c>
      <c r="M61" s="227">
        <v>91</v>
      </c>
    </row>
    <row r="62" spans="1:13" x14ac:dyDescent="0.15">
      <c r="A62" s="227">
        <v>20226</v>
      </c>
      <c r="B62" s="227" t="s">
        <v>447</v>
      </c>
      <c r="C62" s="227">
        <v>48</v>
      </c>
      <c r="D62" s="227">
        <v>34</v>
      </c>
      <c r="E62" s="227">
        <v>54</v>
      </c>
      <c r="F62" s="227">
        <v>39</v>
      </c>
      <c r="G62" s="227" t="s">
        <v>760</v>
      </c>
      <c r="H62" s="227">
        <v>12</v>
      </c>
      <c r="I62" s="227" t="s">
        <v>762</v>
      </c>
      <c r="J62" s="227">
        <v>27</v>
      </c>
      <c r="K62" s="227">
        <v>174</v>
      </c>
      <c r="L62" s="227">
        <v>15</v>
      </c>
      <c r="M62" s="227">
        <v>214</v>
      </c>
    </row>
    <row r="63" spans="1:13" x14ac:dyDescent="0.15">
      <c r="A63" s="227">
        <v>20227</v>
      </c>
      <c r="B63" s="227" t="s">
        <v>505</v>
      </c>
      <c r="C63" s="227">
        <v>37</v>
      </c>
      <c r="D63" s="227">
        <v>41</v>
      </c>
      <c r="E63" s="227">
        <v>59</v>
      </c>
      <c r="F63" s="227">
        <v>9</v>
      </c>
      <c r="G63" s="227" t="s">
        <v>762</v>
      </c>
      <c r="H63" s="227">
        <v>17</v>
      </c>
      <c r="I63" s="227" t="s">
        <v>760</v>
      </c>
      <c r="J63" s="227">
        <v>10</v>
      </c>
      <c r="K63" s="227">
        <v>239</v>
      </c>
      <c r="L63" s="227">
        <v>19</v>
      </c>
      <c r="M63" s="227">
        <v>173</v>
      </c>
    </row>
    <row r="64" spans="1:13" x14ac:dyDescent="0.15">
      <c r="A64" s="227">
        <v>20228</v>
      </c>
      <c r="B64" s="227" t="s">
        <v>415</v>
      </c>
      <c r="C64" s="227">
        <v>71</v>
      </c>
      <c r="D64" s="227">
        <v>14</v>
      </c>
      <c r="E64" s="227">
        <v>43</v>
      </c>
      <c r="F64" s="227">
        <v>25</v>
      </c>
      <c r="G64" s="227" t="s">
        <v>762</v>
      </c>
      <c r="H64" s="227">
        <v>37</v>
      </c>
      <c r="I64" s="227" t="s">
        <v>760</v>
      </c>
      <c r="J64" s="227">
        <v>26</v>
      </c>
      <c r="K64" s="227">
        <v>172</v>
      </c>
      <c r="L64" s="227">
        <v>14</v>
      </c>
      <c r="M64" s="227">
        <v>216</v>
      </c>
    </row>
    <row r="65" spans="1:13" x14ac:dyDescent="0.15">
      <c r="A65" s="227">
        <v>20229</v>
      </c>
      <c r="B65" s="227" t="s">
        <v>564</v>
      </c>
      <c r="C65" s="227">
        <v>80</v>
      </c>
      <c r="D65" s="227">
        <v>80</v>
      </c>
      <c r="E65" s="227">
        <v>77</v>
      </c>
      <c r="F65" s="227">
        <v>44</v>
      </c>
      <c r="G65" s="227" t="s">
        <v>762</v>
      </c>
      <c r="H65" s="227">
        <v>50</v>
      </c>
      <c r="I65" s="227" t="s">
        <v>760</v>
      </c>
      <c r="J65" s="227">
        <v>47</v>
      </c>
      <c r="K65" s="227">
        <v>16</v>
      </c>
      <c r="L65" s="227">
        <v>2</v>
      </c>
      <c r="M65" s="227">
        <v>378</v>
      </c>
    </row>
    <row r="66" spans="1:13" x14ac:dyDescent="0.15">
      <c r="A66" s="227">
        <v>20230</v>
      </c>
      <c r="B66" s="227" t="s">
        <v>383</v>
      </c>
      <c r="C66" s="227">
        <v>40</v>
      </c>
      <c r="D66" s="227">
        <v>14</v>
      </c>
      <c r="E66" s="227">
        <v>36</v>
      </c>
      <c r="F66" s="227">
        <v>15</v>
      </c>
      <c r="G66" s="227" t="s">
        <v>761</v>
      </c>
      <c r="H66" s="227">
        <v>19</v>
      </c>
      <c r="I66" s="227" t="s">
        <v>766</v>
      </c>
      <c r="J66" s="227">
        <v>10</v>
      </c>
      <c r="K66" s="227">
        <v>283</v>
      </c>
      <c r="L66" s="227">
        <v>24</v>
      </c>
      <c r="M66" s="227">
        <v>134</v>
      </c>
    </row>
    <row r="67" spans="1:13" x14ac:dyDescent="0.15">
      <c r="A67" s="227">
        <v>20231</v>
      </c>
      <c r="B67" s="227" t="s">
        <v>477</v>
      </c>
      <c r="C67" s="227">
        <v>64</v>
      </c>
      <c r="D67" s="227">
        <v>30</v>
      </c>
      <c r="E67" s="227">
        <v>64</v>
      </c>
      <c r="F67" s="227">
        <v>19</v>
      </c>
      <c r="G67" s="227" t="s">
        <v>762</v>
      </c>
      <c r="H67" s="227">
        <v>44</v>
      </c>
      <c r="I67" s="227" t="s">
        <v>761</v>
      </c>
      <c r="J67" s="227">
        <v>28</v>
      </c>
      <c r="K67" s="227">
        <v>145</v>
      </c>
      <c r="L67" s="227">
        <v>11</v>
      </c>
      <c r="M67" s="227">
        <v>249</v>
      </c>
    </row>
    <row r="68" spans="1:13" x14ac:dyDescent="0.15">
      <c r="A68" s="227">
        <v>20233</v>
      </c>
      <c r="B68" s="227" t="s">
        <v>453</v>
      </c>
      <c r="C68" s="227">
        <v>18</v>
      </c>
      <c r="D68" s="227">
        <v>14</v>
      </c>
      <c r="E68" s="227">
        <v>26</v>
      </c>
      <c r="F68" s="227">
        <v>13</v>
      </c>
      <c r="G68" s="227" t="s">
        <v>762</v>
      </c>
      <c r="H68" s="227">
        <v>9</v>
      </c>
      <c r="I68" s="227" t="s">
        <v>760</v>
      </c>
      <c r="J68" s="227">
        <v>22</v>
      </c>
      <c r="K68" s="227">
        <v>303</v>
      </c>
      <c r="L68" s="227">
        <v>28</v>
      </c>
      <c r="M68" s="227">
        <v>102</v>
      </c>
    </row>
    <row r="69" spans="1:13" x14ac:dyDescent="0.15">
      <c r="A69" s="227">
        <v>20235</v>
      </c>
      <c r="B69" s="227" t="s">
        <v>474</v>
      </c>
      <c r="C69" s="227">
        <v>78</v>
      </c>
      <c r="D69" s="227">
        <v>81</v>
      </c>
      <c r="E69" s="227">
        <v>47</v>
      </c>
      <c r="F69" s="227">
        <v>41</v>
      </c>
      <c r="G69" s="227" t="s">
        <v>760</v>
      </c>
      <c r="H69" s="227">
        <v>35</v>
      </c>
      <c r="I69" s="227" t="s">
        <v>762</v>
      </c>
      <c r="J69" s="227">
        <v>35</v>
      </c>
      <c r="K69" s="227">
        <v>67</v>
      </c>
      <c r="L69" s="227">
        <v>6</v>
      </c>
      <c r="M69" s="227">
        <v>317</v>
      </c>
    </row>
    <row r="70" spans="1:13" x14ac:dyDescent="0.15">
      <c r="A70" s="227">
        <v>20301</v>
      </c>
      <c r="B70" s="227" t="s">
        <v>455</v>
      </c>
      <c r="C70" s="227">
        <v>18</v>
      </c>
      <c r="D70" s="227">
        <v>14</v>
      </c>
      <c r="E70" s="227">
        <v>35</v>
      </c>
      <c r="F70" s="227">
        <v>11</v>
      </c>
      <c r="G70" s="227" t="s">
        <v>760</v>
      </c>
      <c r="H70" s="227">
        <v>17</v>
      </c>
      <c r="I70" s="227" t="s">
        <v>762</v>
      </c>
      <c r="J70" s="227">
        <v>35</v>
      </c>
      <c r="K70" s="227">
        <v>284</v>
      </c>
      <c r="L70" s="227">
        <v>25</v>
      </c>
      <c r="M70" s="227">
        <v>130</v>
      </c>
    </row>
    <row r="71" spans="1:13" x14ac:dyDescent="0.15">
      <c r="A71" s="227">
        <v>20303</v>
      </c>
      <c r="B71" s="227" t="s">
        <v>513</v>
      </c>
      <c r="C71" s="227">
        <v>53</v>
      </c>
      <c r="D71" s="227">
        <v>30</v>
      </c>
      <c r="E71" s="227">
        <v>37</v>
      </c>
      <c r="F71" s="227">
        <v>22</v>
      </c>
      <c r="G71" s="227" t="s">
        <v>762</v>
      </c>
      <c r="H71" s="227">
        <v>20</v>
      </c>
      <c r="I71" s="227" t="s">
        <v>760</v>
      </c>
      <c r="J71" s="227">
        <v>17</v>
      </c>
      <c r="K71" s="227">
        <v>234</v>
      </c>
      <c r="L71" s="227">
        <v>19</v>
      </c>
      <c r="M71" s="227">
        <v>179</v>
      </c>
    </row>
    <row r="72" spans="1:13" x14ac:dyDescent="0.15">
      <c r="A72" s="227">
        <v>20304</v>
      </c>
      <c r="B72" s="227" t="s">
        <v>364</v>
      </c>
      <c r="C72" s="227">
        <v>48</v>
      </c>
      <c r="D72" s="227">
        <v>19</v>
      </c>
      <c r="E72" s="227">
        <v>29</v>
      </c>
      <c r="F72" s="227">
        <v>41</v>
      </c>
      <c r="G72" s="227" t="s">
        <v>760</v>
      </c>
      <c r="H72" s="227">
        <v>7</v>
      </c>
      <c r="I72" s="227" t="s">
        <v>762</v>
      </c>
      <c r="J72" s="227">
        <v>7</v>
      </c>
      <c r="K72" s="227">
        <v>265</v>
      </c>
      <c r="L72" s="227">
        <v>23</v>
      </c>
      <c r="M72" s="227">
        <v>151</v>
      </c>
    </row>
    <row r="73" spans="1:13" x14ac:dyDescent="0.15">
      <c r="A73" s="227">
        <v>20305</v>
      </c>
      <c r="B73" s="227" t="s">
        <v>397</v>
      </c>
      <c r="C73" s="227">
        <v>86</v>
      </c>
      <c r="D73" s="227">
        <v>77</v>
      </c>
      <c r="E73" s="227">
        <v>76</v>
      </c>
      <c r="F73" s="227">
        <v>42</v>
      </c>
      <c r="G73" s="227" t="s">
        <v>762</v>
      </c>
      <c r="H73" s="227">
        <v>46</v>
      </c>
      <c r="I73" s="227" t="s">
        <v>760</v>
      </c>
      <c r="J73" s="227">
        <v>50</v>
      </c>
      <c r="K73" s="227">
        <v>18</v>
      </c>
      <c r="L73" s="227">
        <v>1</v>
      </c>
      <c r="M73" s="227">
        <v>377</v>
      </c>
    </row>
    <row r="74" spans="1:13" x14ac:dyDescent="0.15">
      <c r="A74" s="227">
        <v>20306</v>
      </c>
      <c r="B74" s="227" t="s">
        <v>429</v>
      </c>
      <c r="C74" s="227">
        <v>68</v>
      </c>
      <c r="D74" s="227">
        <v>69</v>
      </c>
      <c r="E74" s="227">
        <v>77</v>
      </c>
      <c r="F74" s="227">
        <v>47</v>
      </c>
      <c r="G74" s="227" t="s">
        <v>760</v>
      </c>
      <c r="H74" s="227">
        <v>40</v>
      </c>
      <c r="I74" s="227" t="s">
        <v>762</v>
      </c>
      <c r="J74" s="227">
        <v>43</v>
      </c>
      <c r="K74" s="227">
        <v>36</v>
      </c>
      <c r="L74" s="227">
        <v>3</v>
      </c>
      <c r="M74" s="227">
        <v>344</v>
      </c>
    </row>
    <row r="75" spans="1:13" x14ac:dyDescent="0.15">
      <c r="A75" s="227">
        <v>20307</v>
      </c>
      <c r="B75" s="227" t="s">
        <v>516</v>
      </c>
      <c r="C75" s="227">
        <v>61</v>
      </c>
      <c r="D75" s="227">
        <v>69</v>
      </c>
      <c r="E75" s="227">
        <v>56</v>
      </c>
      <c r="F75" s="227">
        <v>34</v>
      </c>
      <c r="G75" s="227" t="s">
        <v>762</v>
      </c>
      <c r="H75" s="227">
        <v>39</v>
      </c>
      <c r="I75" s="227" t="s">
        <v>760</v>
      </c>
      <c r="J75" s="227">
        <v>39</v>
      </c>
      <c r="K75" s="227">
        <v>90</v>
      </c>
      <c r="L75" s="227">
        <v>8</v>
      </c>
      <c r="M75" s="227">
        <v>298</v>
      </c>
    </row>
    <row r="76" spans="1:13" x14ac:dyDescent="0.15">
      <c r="A76" s="227">
        <v>20308</v>
      </c>
      <c r="B76" s="227" t="s">
        <v>460</v>
      </c>
      <c r="C76" s="227">
        <v>27</v>
      </c>
      <c r="D76" s="227">
        <v>14</v>
      </c>
      <c r="E76" s="227">
        <v>28</v>
      </c>
      <c r="F76" s="227">
        <v>12</v>
      </c>
      <c r="G76" s="227" t="s">
        <v>766</v>
      </c>
      <c r="H76" s="227">
        <v>7</v>
      </c>
      <c r="I76" s="227" t="s">
        <v>762</v>
      </c>
      <c r="J76" s="227">
        <v>3</v>
      </c>
      <c r="K76" s="227">
        <v>312</v>
      </c>
      <c r="L76" s="227">
        <v>31</v>
      </c>
      <c r="M76" s="227">
        <v>91</v>
      </c>
    </row>
    <row r="77" spans="1:13" x14ac:dyDescent="0.15">
      <c r="A77" s="227">
        <v>20309</v>
      </c>
      <c r="B77" s="227" t="s">
        <v>548</v>
      </c>
      <c r="C77" s="227">
        <v>16</v>
      </c>
      <c r="D77" s="227">
        <v>14</v>
      </c>
      <c r="E77" s="227">
        <v>31</v>
      </c>
      <c r="F77" s="227">
        <v>10</v>
      </c>
      <c r="G77" s="227" t="s">
        <v>760</v>
      </c>
      <c r="H77" s="227">
        <v>11</v>
      </c>
      <c r="I77" s="227" t="s">
        <v>762</v>
      </c>
      <c r="J77" s="227">
        <v>9</v>
      </c>
      <c r="K77" s="227">
        <v>312</v>
      </c>
      <c r="L77" s="227">
        <v>31</v>
      </c>
      <c r="M77" s="227">
        <v>91</v>
      </c>
    </row>
    <row r="78" spans="1:13" x14ac:dyDescent="0.15">
      <c r="A78" s="227">
        <v>20310</v>
      </c>
      <c r="B78" s="227" t="s">
        <v>709</v>
      </c>
      <c r="C78" s="227">
        <v>26</v>
      </c>
      <c r="D78" s="227">
        <v>14</v>
      </c>
      <c r="E78" s="227">
        <v>20</v>
      </c>
      <c r="F78" s="227">
        <v>18</v>
      </c>
      <c r="G78" s="227" t="s">
        <v>767</v>
      </c>
      <c r="H78" s="227">
        <v>13</v>
      </c>
      <c r="I78" s="227" t="s">
        <v>760</v>
      </c>
      <c r="J78" s="227">
        <v>13</v>
      </c>
      <c r="K78" s="227">
        <v>302</v>
      </c>
      <c r="L78" s="227">
        <v>29</v>
      </c>
      <c r="M78" s="227">
        <v>104</v>
      </c>
    </row>
    <row r="79" spans="1:13" x14ac:dyDescent="0.15">
      <c r="A79" s="227">
        <v>20311</v>
      </c>
      <c r="B79" s="227" t="s">
        <v>520</v>
      </c>
      <c r="C79" s="227">
        <v>55</v>
      </c>
      <c r="D79" s="227">
        <v>23</v>
      </c>
      <c r="E79" s="227">
        <v>59</v>
      </c>
      <c r="F79" s="227">
        <v>8</v>
      </c>
      <c r="G79" s="227" t="s">
        <v>760</v>
      </c>
      <c r="H79" s="227">
        <v>19</v>
      </c>
      <c r="I79" s="227" t="s">
        <v>762</v>
      </c>
      <c r="J79" s="227">
        <v>27</v>
      </c>
      <c r="K79" s="227">
        <v>217</v>
      </c>
      <c r="L79" s="227">
        <v>16</v>
      </c>
      <c r="M79" s="227">
        <v>191</v>
      </c>
    </row>
    <row r="80" spans="1:13" x14ac:dyDescent="0.15">
      <c r="A80" s="227">
        <v>20312</v>
      </c>
      <c r="B80" s="227" t="s">
        <v>614</v>
      </c>
      <c r="C80" s="227">
        <v>30</v>
      </c>
      <c r="D80" s="227">
        <v>18</v>
      </c>
      <c r="E80" s="227">
        <v>31</v>
      </c>
      <c r="F80" s="227">
        <v>38</v>
      </c>
      <c r="G80" s="227" t="s">
        <v>760</v>
      </c>
      <c r="H80" s="227">
        <v>15</v>
      </c>
      <c r="I80" s="227" t="s">
        <v>762</v>
      </c>
      <c r="J80" s="227">
        <v>18</v>
      </c>
      <c r="K80" s="227">
        <v>266</v>
      </c>
      <c r="L80" s="227">
        <v>24</v>
      </c>
      <c r="M80" s="227">
        <v>150</v>
      </c>
    </row>
    <row r="81" spans="1:13" x14ac:dyDescent="0.15">
      <c r="A81" s="227">
        <v>20313</v>
      </c>
      <c r="B81" s="227" t="s">
        <v>490</v>
      </c>
      <c r="C81" s="227">
        <v>20</v>
      </c>
      <c r="D81" s="227">
        <v>18</v>
      </c>
      <c r="E81" s="227">
        <v>47</v>
      </c>
      <c r="F81" s="227">
        <v>9</v>
      </c>
      <c r="G81" s="227" t="s">
        <v>762</v>
      </c>
      <c r="H81" s="227">
        <v>9</v>
      </c>
      <c r="I81" s="227" t="s">
        <v>760</v>
      </c>
      <c r="J81" s="227">
        <v>9</v>
      </c>
      <c r="K81" s="227">
        <v>296</v>
      </c>
      <c r="L81" s="227">
        <v>28</v>
      </c>
      <c r="M81" s="227">
        <v>112</v>
      </c>
    </row>
    <row r="82" spans="1:13" x14ac:dyDescent="0.15">
      <c r="A82" s="227">
        <v>20314</v>
      </c>
      <c r="B82" s="227" t="s">
        <v>404</v>
      </c>
      <c r="C82" s="227">
        <v>36</v>
      </c>
      <c r="D82" s="227">
        <v>25</v>
      </c>
      <c r="E82" s="227">
        <v>58</v>
      </c>
      <c r="F82" s="227">
        <v>20</v>
      </c>
      <c r="G82" s="227" t="s">
        <v>760</v>
      </c>
      <c r="H82" s="227">
        <v>11</v>
      </c>
      <c r="I82" s="227" t="s">
        <v>762</v>
      </c>
      <c r="J82" s="227">
        <v>17</v>
      </c>
      <c r="K82" s="227">
        <v>246</v>
      </c>
      <c r="L82" s="227">
        <v>20</v>
      </c>
      <c r="M82" s="227">
        <v>167</v>
      </c>
    </row>
    <row r="83" spans="1:13" x14ac:dyDescent="0.15">
      <c r="A83" s="227">
        <v>20315</v>
      </c>
      <c r="B83" s="227" t="s">
        <v>619</v>
      </c>
      <c r="C83" s="227">
        <v>51</v>
      </c>
      <c r="D83" s="227">
        <v>33</v>
      </c>
      <c r="E83" s="227">
        <v>54</v>
      </c>
      <c r="F83" s="227">
        <v>23</v>
      </c>
      <c r="G83" s="227" t="s">
        <v>760</v>
      </c>
      <c r="H83" s="227">
        <v>35</v>
      </c>
      <c r="I83" s="227" t="s">
        <v>762</v>
      </c>
      <c r="J83" s="227">
        <v>29</v>
      </c>
      <c r="K83" s="227">
        <v>161</v>
      </c>
      <c r="L83" s="227">
        <v>12</v>
      </c>
      <c r="M83" s="227">
        <v>225</v>
      </c>
    </row>
    <row r="84" spans="1:13" x14ac:dyDescent="0.15">
      <c r="A84" s="227">
        <v>20316</v>
      </c>
      <c r="B84" s="227" t="s">
        <v>715</v>
      </c>
      <c r="C84" s="227">
        <v>22</v>
      </c>
      <c r="D84" s="227">
        <v>16</v>
      </c>
      <c r="E84" s="227">
        <v>19</v>
      </c>
      <c r="F84" s="227">
        <v>7</v>
      </c>
      <c r="G84" s="227" t="s">
        <v>761</v>
      </c>
      <c r="H84" s="227">
        <v>13</v>
      </c>
      <c r="I84" s="227" t="s">
        <v>762</v>
      </c>
      <c r="J84" s="227">
        <v>15</v>
      </c>
      <c r="K84" s="227">
        <v>309</v>
      </c>
      <c r="L84" s="227">
        <v>30</v>
      </c>
      <c r="M84" s="227">
        <v>92</v>
      </c>
    </row>
    <row r="85" spans="1:13" x14ac:dyDescent="0.15">
      <c r="A85" s="227">
        <v>20317</v>
      </c>
      <c r="B85" s="227" t="s">
        <v>409</v>
      </c>
      <c r="C85" s="227">
        <v>84</v>
      </c>
      <c r="D85" s="227">
        <v>72</v>
      </c>
      <c r="E85" s="227">
        <v>63</v>
      </c>
      <c r="F85" s="227">
        <v>26</v>
      </c>
      <c r="G85" s="227" t="s">
        <v>760</v>
      </c>
      <c r="H85" s="227">
        <v>43</v>
      </c>
      <c r="I85" s="227" t="s">
        <v>762</v>
      </c>
      <c r="J85" s="227">
        <v>36</v>
      </c>
      <c r="K85" s="227">
        <v>54</v>
      </c>
      <c r="L85" s="227">
        <v>5</v>
      </c>
      <c r="M85" s="227">
        <v>324</v>
      </c>
    </row>
    <row r="86" spans="1:13" x14ac:dyDescent="0.15">
      <c r="A86" s="227">
        <v>20318</v>
      </c>
      <c r="B86" s="227" t="s">
        <v>376</v>
      </c>
      <c r="C86" s="227">
        <v>22</v>
      </c>
      <c r="D86" s="227">
        <v>33</v>
      </c>
      <c r="E86" s="227">
        <v>53</v>
      </c>
      <c r="F86" s="227">
        <v>24</v>
      </c>
      <c r="G86" s="227" t="s">
        <v>760</v>
      </c>
      <c r="H86" s="227">
        <v>20</v>
      </c>
      <c r="I86" s="227" t="s">
        <v>762</v>
      </c>
      <c r="J86" s="227">
        <v>35</v>
      </c>
      <c r="K86" s="227">
        <v>224</v>
      </c>
      <c r="L86" s="227">
        <v>17</v>
      </c>
      <c r="M86" s="227">
        <v>187</v>
      </c>
    </row>
    <row r="87" spans="1:13" x14ac:dyDescent="0.15">
      <c r="A87" s="227">
        <v>20319</v>
      </c>
      <c r="B87" s="227" t="s">
        <v>531</v>
      </c>
      <c r="C87" s="227">
        <v>70</v>
      </c>
      <c r="D87" s="227">
        <v>50</v>
      </c>
      <c r="E87" s="227">
        <v>69</v>
      </c>
      <c r="F87" s="227">
        <v>36</v>
      </c>
      <c r="G87" s="227" t="s">
        <v>762</v>
      </c>
      <c r="H87" s="227">
        <v>30</v>
      </c>
      <c r="I87" s="227" t="s">
        <v>761</v>
      </c>
      <c r="J87" s="227">
        <v>29</v>
      </c>
      <c r="K87" s="227">
        <v>106</v>
      </c>
      <c r="L87" s="227">
        <v>9</v>
      </c>
      <c r="M87" s="227">
        <v>284</v>
      </c>
    </row>
    <row r="88" spans="1:13" x14ac:dyDescent="0.15">
      <c r="A88" s="227">
        <v>20320</v>
      </c>
      <c r="B88" s="227" t="s">
        <v>655</v>
      </c>
      <c r="C88" s="227">
        <v>47</v>
      </c>
      <c r="D88" s="227">
        <v>14</v>
      </c>
      <c r="E88" s="227">
        <v>43</v>
      </c>
      <c r="F88" s="227">
        <v>17</v>
      </c>
      <c r="G88" s="227" t="s">
        <v>762</v>
      </c>
      <c r="H88" s="227">
        <v>17</v>
      </c>
      <c r="I88" s="227" t="s">
        <v>760</v>
      </c>
      <c r="J88" s="227">
        <v>22</v>
      </c>
      <c r="K88" s="227">
        <v>256</v>
      </c>
      <c r="L88" s="227">
        <v>21</v>
      </c>
      <c r="M88" s="227">
        <v>160</v>
      </c>
    </row>
    <row r="89" spans="1:13" x14ac:dyDescent="0.15">
      <c r="A89" s="227">
        <v>20321</v>
      </c>
      <c r="B89" s="227" t="s">
        <v>657</v>
      </c>
      <c r="C89" s="227">
        <v>68</v>
      </c>
      <c r="D89" s="227">
        <v>34</v>
      </c>
      <c r="E89" s="227">
        <v>70</v>
      </c>
      <c r="F89" s="227">
        <v>32</v>
      </c>
      <c r="G89" s="227" t="s">
        <v>760</v>
      </c>
      <c r="H89" s="227">
        <v>25</v>
      </c>
      <c r="I89" s="227" t="s">
        <v>762</v>
      </c>
      <c r="J89" s="227">
        <v>28</v>
      </c>
      <c r="K89" s="227">
        <v>135</v>
      </c>
      <c r="L89" s="227">
        <v>10</v>
      </c>
      <c r="M89" s="227">
        <v>257</v>
      </c>
    </row>
    <row r="90" spans="1:13" x14ac:dyDescent="0.15">
      <c r="A90" s="227">
        <v>20322</v>
      </c>
      <c r="B90" s="227" t="s">
        <v>500</v>
      </c>
      <c r="C90" s="227">
        <v>44</v>
      </c>
      <c r="D90" s="227">
        <v>54</v>
      </c>
      <c r="E90" s="227">
        <v>58</v>
      </c>
      <c r="F90" s="227">
        <v>37</v>
      </c>
      <c r="G90" s="227" t="s">
        <v>760</v>
      </c>
      <c r="H90" s="227">
        <v>25</v>
      </c>
      <c r="I90" s="227" t="s">
        <v>762</v>
      </c>
      <c r="J90" s="227">
        <v>31</v>
      </c>
      <c r="K90" s="227">
        <v>145</v>
      </c>
      <c r="L90" s="227">
        <v>11</v>
      </c>
      <c r="M90" s="227">
        <v>249</v>
      </c>
    </row>
    <row r="91" spans="1:13" x14ac:dyDescent="0.15">
      <c r="A91" s="227">
        <v>20323</v>
      </c>
      <c r="B91" s="227" t="s">
        <v>502</v>
      </c>
      <c r="C91" s="227">
        <v>58</v>
      </c>
      <c r="D91" s="227">
        <v>32</v>
      </c>
      <c r="E91" s="227">
        <v>58</v>
      </c>
      <c r="F91" s="227">
        <v>21</v>
      </c>
      <c r="G91" s="227" t="s">
        <v>760</v>
      </c>
      <c r="H91" s="227">
        <v>15</v>
      </c>
      <c r="I91" s="227" t="s">
        <v>762</v>
      </c>
      <c r="J91" s="227">
        <v>16</v>
      </c>
      <c r="K91" s="227">
        <v>200</v>
      </c>
      <c r="L91" s="227">
        <v>15</v>
      </c>
      <c r="M91" s="227">
        <v>200</v>
      </c>
    </row>
    <row r="92" spans="1:13" x14ac:dyDescent="0.15">
      <c r="A92" s="227">
        <v>20324</v>
      </c>
      <c r="B92" s="227" t="s">
        <v>626</v>
      </c>
      <c r="C92" s="227">
        <v>37</v>
      </c>
      <c r="D92" s="227">
        <v>29</v>
      </c>
      <c r="E92" s="227">
        <v>13</v>
      </c>
      <c r="F92" s="227">
        <v>16</v>
      </c>
      <c r="G92" s="227" t="s">
        <v>762</v>
      </c>
      <c r="H92" s="227">
        <v>16</v>
      </c>
      <c r="I92" s="227" t="s">
        <v>760</v>
      </c>
      <c r="J92" s="227">
        <v>8</v>
      </c>
      <c r="K92" s="227">
        <v>295</v>
      </c>
      <c r="L92" s="227">
        <v>27</v>
      </c>
      <c r="M92" s="227">
        <v>119</v>
      </c>
    </row>
    <row r="93" spans="1:13" x14ac:dyDescent="0.15">
      <c r="A93" s="227">
        <v>20325</v>
      </c>
      <c r="B93" s="227" t="s">
        <v>711</v>
      </c>
      <c r="C93" s="227">
        <v>20</v>
      </c>
      <c r="D93" s="227">
        <v>16</v>
      </c>
      <c r="E93" s="227">
        <v>24</v>
      </c>
      <c r="F93" s="227">
        <v>7</v>
      </c>
      <c r="G93" s="227" t="s">
        <v>760</v>
      </c>
      <c r="H93" s="227">
        <v>9</v>
      </c>
      <c r="I93" s="227" t="s">
        <v>762</v>
      </c>
      <c r="J93" s="227">
        <v>9</v>
      </c>
      <c r="K93" s="227">
        <v>319</v>
      </c>
      <c r="L93" s="227">
        <v>33</v>
      </c>
      <c r="M93" s="227">
        <v>85</v>
      </c>
    </row>
    <row r="94" spans="1:13" x14ac:dyDescent="0.15">
      <c r="A94" s="227">
        <v>20326</v>
      </c>
      <c r="B94" s="227" t="s">
        <v>448</v>
      </c>
      <c r="C94" s="227">
        <v>86</v>
      </c>
      <c r="D94" s="227">
        <v>54</v>
      </c>
      <c r="E94" s="227">
        <v>67</v>
      </c>
      <c r="F94" s="227">
        <v>38</v>
      </c>
      <c r="G94" s="227" t="s">
        <v>760</v>
      </c>
      <c r="H94" s="227">
        <v>33</v>
      </c>
      <c r="I94" s="227" t="s">
        <v>762</v>
      </c>
      <c r="J94" s="227">
        <v>38</v>
      </c>
      <c r="K94" s="227">
        <v>69</v>
      </c>
      <c r="L94" s="227">
        <v>7</v>
      </c>
      <c r="M94" s="227">
        <v>316</v>
      </c>
    </row>
    <row r="95" spans="1:13" x14ac:dyDescent="0.15">
      <c r="A95" s="227">
        <v>20327</v>
      </c>
      <c r="B95" s="227" t="s">
        <v>562</v>
      </c>
      <c r="C95" s="227">
        <v>32</v>
      </c>
      <c r="D95" s="227">
        <v>31</v>
      </c>
      <c r="E95" s="227">
        <v>38</v>
      </c>
      <c r="F95" s="227">
        <v>17</v>
      </c>
      <c r="G95" s="227" t="s">
        <v>762</v>
      </c>
      <c r="H95" s="227">
        <v>34</v>
      </c>
      <c r="I95" s="227" t="s">
        <v>760</v>
      </c>
      <c r="J95" s="227">
        <v>6</v>
      </c>
      <c r="K95" s="227">
        <v>260</v>
      </c>
      <c r="L95" s="227">
        <v>22</v>
      </c>
      <c r="M95" s="227">
        <v>158</v>
      </c>
    </row>
    <row r="96" spans="1:13" x14ac:dyDescent="0.15">
      <c r="A96" s="227">
        <v>20328</v>
      </c>
      <c r="B96" s="227" t="s">
        <v>630</v>
      </c>
      <c r="C96" s="227">
        <v>33</v>
      </c>
      <c r="D96" s="227">
        <v>30</v>
      </c>
      <c r="E96" s="227">
        <v>39</v>
      </c>
      <c r="F96" s="227">
        <v>27</v>
      </c>
      <c r="G96" s="227" t="s">
        <v>760</v>
      </c>
      <c r="H96" s="227">
        <v>22</v>
      </c>
      <c r="I96" s="227" t="s">
        <v>762</v>
      </c>
      <c r="J96" s="227">
        <v>29</v>
      </c>
      <c r="K96" s="227">
        <v>232</v>
      </c>
      <c r="L96" s="227">
        <v>18</v>
      </c>
      <c r="M96" s="227">
        <v>180</v>
      </c>
    </row>
    <row r="97" spans="1:13" x14ac:dyDescent="0.15">
      <c r="A97" s="227">
        <v>20329</v>
      </c>
      <c r="B97" s="227" t="s">
        <v>601</v>
      </c>
      <c r="C97" s="227">
        <v>80</v>
      </c>
      <c r="D97" s="227">
        <v>72</v>
      </c>
      <c r="E97" s="227">
        <v>66</v>
      </c>
      <c r="F97" s="227">
        <v>27</v>
      </c>
      <c r="G97" s="227" t="s">
        <v>760</v>
      </c>
      <c r="H97" s="227">
        <v>43</v>
      </c>
      <c r="I97" s="227" t="s">
        <v>762</v>
      </c>
      <c r="J97" s="227">
        <v>50</v>
      </c>
      <c r="K97" s="227">
        <v>39</v>
      </c>
      <c r="L97" s="227">
        <v>4</v>
      </c>
      <c r="M97" s="227">
        <v>338</v>
      </c>
    </row>
    <row r="98" spans="1:13" x14ac:dyDescent="0.15">
      <c r="A98" s="227">
        <v>20330</v>
      </c>
      <c r="B98" s="227" t="s">
        <v>602</v>
      </c>
      <c r="C98" s="227">
        <v>84</v>
      </c>
      <c r="D98" s="227">
        <v>65</v>
      </c>
      <c r="E98" s="227">
        <v>71</v>
      </c>
      <c r="F98" s="227">
        <v>38</v>
      </c>
      <c r="G98" s="227" t="s">
        <v>760</v>
      </c>
      <c r="H98" s="227">
        <v>40</v>
      </c>
      <c r="I98" s="227" t="s">
        <v>762</v>
      </c>
      <c r="J98" s="227">
        <v>48</v>
      </c>
      <c r="K98" s="227">
        <v>33</v>
      </c>
      <c r="L98" s="227">
        <v>2</v>
      </c>
      <c r="M98" s="227">
        <v>346</v>
      </c>
    </row>
    <row r="99" spans="1:13" x14ac:dyDescent="0.15">
      <c r="A99" s="227">
        <v>20331</v>
      </c>
      <c r="B99" s="227" t="s">
        <v>603</v>
      </c>
      <c r="C99" s="227">
        <v>40</v>
      </c>
      <c r="D99" s="227">
        <v>55</v>
      </c>
      <c r="E99" s="227">
        <v>60</v>
      </c>
      <c r="F99" s="227">
        <v>12</v>
      </c>
      <c r="G99" s="227" t="s">
        <v>760</v>
      </c>
      <c r="H99" s="227">
        <v>18</v>
      </c>
      <c r="I99" s="227" t="s">
        <v>762</v>
      </c>
      <c r="J99" s="227">
        <v>22</v>
      </c>
      <c r="K99" s="227">
        <v>188</v>
      </c>
      <c r="L99" s="227">
        <v>13</v>
      </c>
      <c r="M99" s="227">
        <v>207</v>
      </c>
    </row>
    <row r="100" spans="1:13" x14ac:dyDescent="0.15">
      <c r="A100" s="227">
        <v>20332</v>
      </c>
      <c r="B100" s="227" t="s">
        <v>419</v>
      </c>
      <c r="C100" s="227">
        <v>69</v>
      </c>
      <c r="D100" s="227">
        <v>59</v>
      </c>
      <c r="E100" s="227">
        <v>78</v>
      </c>
      <c r="F100" s="227">
        <v>41</v>
      </c>
      <c r="G100" s="227" t="s">
        <v>762</v>
      </c>
      <c r="H100" s="227">
        <v>40</v>
      </c>
      <c r="I100" s="227" t="s">
        <v>760</v>
      </c>
      <c r="J100" s="227">
        <v>34</v>
      </c>
      <c r="K100" s="227">
        <v>59</v>
      </c>
      <c r="L100" s="227">
        <v>6</v>
      </c>
      <c r="M100" s="227">
        <v>321</v>
      </c>
    </row>
    <row r="101" spans="1:13" x14ac:dyDescent="0.15">
      <c r="A101" s="227">
        <v>20333</v>
      </c>
      <c r="B101" s="227" t="s">
        <v>728</v>
      </c>
      <c r="C101" s="227">
        <v>16</v>
      </c>
      <c r="D101" s="227">
        <v>16</v>
      </c>
      <c r="E101" s="227">
        <v>21</v>
      </c>
      <c r="F101" s="227">
        <v>7</v>
      </c>
      <c r="G101" s="227" t="s">
        <v>762</v>
      </c>
      <c r="H101" s="227">
        <v>10</v>
      </c>
      <c r="I101" s="227" t="s">
        <v>768</v>
      </c>
      <c r="J101" s="227">
        <v>7</v>
      </c>
      <c r="K101" s="227">
        <v>321</v>
      </c>
      <c r="L101" s="227">
        <v>34</v>
      </c>
      <c r="M101" s="227">
        <v>77</v>
      </c>
    </row>
    <row r="102" spans="1:13" x14ac:dyDescent="0.15">
      <c r="A102" s="227">
        <v>20334</v>
      </c>
      <c r="B102" s="227" t="s">
        <v>633</v>
      </c>
      <c r="C102" s="227">
        <v>34</v>
      </c>
      <c r="D102" s="227">
        <v>19</v>
      </c>
      <c r="E102" s="227">
        <v>22</v>
      </c>
      <c r="F102" s="227">
        <v>19</v>
      </c>
      <c r="G102" s="227" t="s">
        <v>760</v>
      </c>
      <c r="H102" s="227">
        <v>21</v>
      </c>
      <c r="I102" s="227" t="s">
        <v>762</v>
      </c>
      <c r="J102" s="227">
        <v>14</v>
      </c>
      <c r="K102" s="227">
        <v>286</v>
      </c>
      <c r="L102" s="227">
        <v>26</v>
      </c>
      <c r="M102" s="227">
        <v>129</v>
      </c>
    </row>
    <row r="103" spans="1:13" x14ac:dyDescent="0.15">
      <c r="A103" s="227">
        <v>20335</v>
      </c>
      <c r="B103" s="227" t="s">
        <v>635</v>
      </c>
      <c r="C103" s="227">
        <v>49</v>
      </c>
      <c r="D103" s="227">
        <v>34</v>
      </c>
      <c r="E103" s="227">
        <v>39</v>
      </c>
      <c r="F103" s="227">
        <v>24</v>
      </c>
      <c r="G103" s="227" t="s">
        <v>760</v>
      </c>
      <c r="H103" s="227">
        <v>22</v>
      </c>
      <c r="I103" s="227" t="s">
        <v>762</v>
      </c>
      <c r="J103" s="227">
        <v>35</v>
      </c>
      <c r="K103" s="227">
        <v>194</v>
      </c>
      <c r="L103" s="227">
        <v>14</v>
      </c>
      <c r="M103" s="227">
        <v>203</v>
      </c>
    </row>
    <row r="104" spans="1:13" x14ac:dyDescent="0.15">
      <c r="A104" s="227">
        <v>20401</v>
      </c>
      <c r="B104" s="227" t="s">
        <v>574</v>
      </c>
      <c r="C104" s="227">
        <v>51</v>
      </c>
      <c r="D104" s="227">
        <v>16</v>
      </c>
      <c r="E104" s="227">
        <v>37</v>
      </c>
      <c r="F104" s="227">
        <v>31</v>
      </c>
      <c r="G104" s="227" t="s">
        <v>762</v>
      </c>
      <c r="H104" s="227">
        <v>41</v>
      </c>
      <c r="I104" s="227" t="s">
        <v>760</v>
      </c>
      <c r="J104" s="227">
        <v>31</v>
      </c>
      <c r="K104" s="227">
        <v>188</v>
      </c>
      <c r="L104" s="227">
        <v>15</v>
      </c>
      <c r="M104" s="227">
        <v>207</v>
      </c>
    </row>
    <row r="105" spans="1:13" x14ac:dyDescent="0.15">
      <c r="A105" s="227">
        <v>20402</v>
      </c>
      <c r="B105" s="227" t="s">
        <v>575</v>
      </c>
      <c r="C105" s="227">
        <v>67</v>
      </c>
      <c r="D105" s="227">
        <v>28</v>
      </c>
      <c r="E105" s="227">
        <v>50</v>
      </c>
      <c r="F105" s="227">
        <v>12</v>
      </c>
      <c r="G105" s="227" t="s">
        <v>762</v>
      </c>
      <c r="H105" s="227">
        <v>36</v>
      </c>
      <c r="I105" s="227" t="s">
        <v>761</v>
      </c>
      <c r="J105" s="227">
        <v>26</v>
      </c>
      <c r="K105" s="227">
        <v>169</v>
      </c>
      <c r="L105" s="227">
        <v>14</v>
      </c>
      <c r="M105" s="227">
        <v>219</v>
      </c>
    </row>
    <row r="106" spans="1:13" x14ac:dyDescent="0.15">
      <c r="A106" s="227">
        <v>20403</v>
      </c>
      <c r="B106" s="227" t="s">
        <v>393</v>
      </c>
      <c r="C106" s="227">
        <v>65</v>
      </c>
      <c r="D106" s="227">
        <v>65</v>
      </c>
      <c r="E106" s="227">
        <v>71</v>
      </c>
      <c r="F106" s="227">
        <v>41</v>
      </c>
      <c r="G106" s="227" t="s">
        <v>762</v>
      </c>
      <c r="H106" s="227">
        <v>35</v>
      </c>
      <c r="I106" s="227" t="s">
        <v>760</v>
      </c>
      <c r="J106" s="227">
        <v>40</v>
      </c>
      <c r="K106" s="227">
        <v>67</v>
      </c>
      <c r="L106" s="227">
        <v>4</v>
      </c>
      <c r="M106" s="227">
        <v>317</v>
      </c>
    </row>
    <row r="107" spans="1:13" x14ac:dyDescent="0.15">
      <c r="A107" s="227">
        <v>20404</v>
      </c>
      <c r="B107" s="227" t="s">
        <v>717</v>
      </c>
      <c r="C107" s="227">
        <v>10</v>
      </c>
      <c r="D107" s="227">
        <v>16</v>
      </c>
      <c r="E107" s="227">
        <v>23</v>
      </c>
      <c r="F107" s="227">
        <v>7</v>
      </c>
      <c r="G107" s="227" t="s">
        <v>761</v>
      </c>
      <c r="H107" s="227">
        <v>13</v>
      </c>
      <c r="I107" s="227" t="s">
        <v>772</v>
      </c>
      <c r="J107" s="227">
        <v>9</v>
      </c>
      <c r="K107" s="227">
        <v>320</v>
      </c>
      <c r="L107" s="227">
        <v>31</v>
      </c>
      <c r="M107" s="227">
        <v>78</v>
      </c>
    </row>
    <row r="108" spans="1:13" x14ac:dyDescent="0.15">
      <c r="A108" s="227">
        <v>20405</v>
      </c>
      <c r="B108" s="227" t="s">
        <v>578</v>
      </c>
      <c r="C108" s="227">
        <v>84</v>
      </c>
      <c r="D108" s="227">
        <v>70</v>
      </c>
      <c r="E108" s="227">
        <v>82</v>
      </c>
      <c r="F108" s="227">
        <v>42</v>
      </c>
      <c r="G108" s="227" t="s">
        <v>760</v>
      </c>
      <c r="H108" s="227">
        <v>48</v>
      </c>
      <c r="I108" s="227" t="s">
        <v>762</v>
      </c>
      <c r="J108" s="227">
        <v>47</v>
      </c>
      <c r="K108" s="227">
        <v>21</v>
      </c>
      <c r="L108" s="227">
        <v>3</v>
      </c>
      <c r="M108" s="227">
        <v>373</v>
      </c>
    </row>
    <row r="109" spans="1:13" x14ac:dyDescent="0.15">
      <c r="A109" s="227">
        <v>20406</v>
      </c>
      <c r="B109" s="227" t="s">
        <v>581</v>
      </c>
      <c r="C109" s="227">
        <v>24</v>
      </c>
      <c r="D109" s="227">
        <v>8</v>
      </c>
      <c r="E109" s="227">
        <v>30</v>
      </c>
      <c r="F109" s="227">
        <v>11</v>
      </c>
      <c r="G109" s="227" t="s">
        <v>761</v>
      </c>
      <c r="H109" s="227">
        <v>7</v>
      </c>
      <c r="I109" s="227" t="s">
        <v>772</v>
      </c>
      <c r="J109" s="227">
        <v>13</v>
      </c>
      <c r="K109" s="227">
        <v>307</v>
      </c>
      <c r="L109" s="227">
        <v>28</v>
      </c>
      <c r="M109" s="227">
        <v>93</v>
      </c>
    </row>
    <row r="110" spans="1:13" x14ac:dyDescent="0.15">
      <c r="A110" s="227">
        <v>20407</v>
      </c>
      <c r="B110" s="227" t="s">
        <v>428</v>
      </c>
      <c r="C110" s="227">
        <v>32</v>
      </c>
      <c r="D110" s="227">
        <v>44</v>
      </c>
      <c r="E110" s="227">
        <v>46</v>
      </c>
      <c r="F110" s="227">
        <v>20</v>
      </c>
      <c r="G110" s="227" t="s">
        <v>761</v>
      </c>
      <c r="H110" s="227">
        <v>9</v>
      </c>
      <c r="I110" s="227" t="s">
        <v>772</v>
      </c>
      <c r="J110" s="227">
        <v>13</v>
      </c>
      <c r="K110" s="227">
        <v>249</v>
      </c>
      <c r="L110" s="227">
        <v>22</v>
      </c>
      <c r="M110" s="227">
        <v>164</v>
      </c>
    </row>
    <row r="111" spans="1:13" x14ac:dyDescent="0.15">
      <c r="A111" s="227">
        <v>20408</v>
      </c>
      <c r="B111" s="227" t="s">
        <v>396</v>
      </c>
      <c r="C111" s="227">
        <v>65</v>
      </c>
      <c r="D111" s="227">
        <v>11</v>
      </c>
      <c r="E111" s="227">
        <v>33</v>
      </c>
      <c r="F111" s="227">
        <v>27</v>
      </c>
      <c r="G111" s="227" t="s">
        <v>767</v>
      </c>
      <c r="H111" s="227">
        <v>35</v>
      </c>
      <c r="I111" s="227" t="s">
        <v>761</v>
      </c>
      <c r="J111" s="227">
        <v>32</v>
      </c>
      <c r="K111" s="227">
        <v>194</v>
      </c>
      <c r="L111" s="227">
        <v>17</v>
      </c>
      <c r="M111" s="227">
        <v>203</v>
      </c>
    </row>
    <row r="112" spans="1:13" x14ac:dyDescent="0.15">
      <c r="A112" s="227">
        <v>20409</v>
      </c>
      <c r="B112" s="227" t="s">
        <v>398</v>
      </c>
      <c r="C112" s="227">
        <v>77</v>
      </c>
      <c r="D112" s="227">
        <v>51</v>
      </c>
      <c r="E112" s="227">
        <v>81</v>
      </c>
      <c r="F112" s="227">
        <v>42</v>
      </c>
      <c r="G112" s="227" t="s">
        <v>760</v>
      </c>
      <c r="H112" s="227">
        <v>34</v>
      </c>
      <c r="I112" s="227" t="s">
        <v>762</v>
      </c>
      <c r="J112" s="227">
        <v>28</v>
      </c>
      <c r="K112" s="227">
        <v>75</v>
      </c>
      <c r="L112" s="227">
        <v>5</v>
      </c>
      <c r="M112" s="227">
        <v>313</v>
      </c>
    </row>
    <row r="113" spans="1:13" x14ac:dyDescent="0.15">
      <c r="A113" s="227">
        <v>20410</v>
      </c>
      <c r="B113" s="227" t="s">
        <v>723</v>
      </c>
      <c r="C113" s="227">
        <v>16</v>
      </c>
      <c r="D113" s="227">
        <v>15</v>
      </c>
      <c r="E113" s="227">
        <v>37</v>
      </c>
      <c r="F113" s="227">
        <v>11</v>
      </c>
      <c r="G113" s="227" t="s">
        <v>765</v>
      </c>
      <c r="H113" s="227">
        <v>27</v>
      </c>
      <c r="I113" s="227" t="s">
        <v>763</v>
      </c>
      <c r="J113" s="227">
        <v>17</v>
      </c>
      <c r="K113" s="227">
        <v>290</v>
      </c>
      <c r="L113" s="227">
        <v>27</v>
      </c>
      <c r="M113" s="227">
        <v>123</v>
      </c>
    </row>
    <row r="114" spans="1:13" x14ac:dyDescent="0.15">
      <c r="A114" s="227">
        <v>20411</v>
      </c>
      <c r="B114" s="227" t="s">
        <v>400</v>
      </c>
      <c r="C114" s="227">
        <v>11</v>
      </c>
      <c r="D114" s="227">
        <v>66</v>
      </c>
      <c r="E114" s="227">
        <v>89</v>
      </c>
      <c r="F114" s="227">
        <v>41</v>
      </c>
      <c r="G114" s="227" t="s">
        <v>762</v>
      </c>
      <c r="H114" s="227">
        <v>33</v>
      </c>
      <c r="I114" s="227" t="s">
        <v>761</v>
      </c>
      <c r="J114" s="227">
        <v>11</v>
      </c>
      <c r="K114" s="227">
        <v>142</v>
      </c>
      <c r="L114" s="227">
        <v>11</v>
      </c>
      <c r="M114" s="227">
        <v>251</v>
      </c>
    </row>
    <row r="115" spans="1:13" x14ac:dyDescent="0.15">
      <c r="A115" s="227">
        <v>20412</v>
      </c>
      <c r="B115" s="227" t="s">
        <v>521</v>
      </c>
      <c r="C115" s="227">
        <v>32</v>
      </c>
      <c r="D115" s="227">
        <v>17</v>
      </c>
      <c r="E115" s="227">
        <v>54</v>
      </c>
      <c r="F115" s="227">
        <v>10</v>
      </c>
      <c r="G115" s="227" t="s">
        <v>762</v>
      </c>
      <c r="H115" s="227">
        <v>14</v>
      </c>
      <c r="I115" s="227" t="s">
        <v>761</v>
      </c>
      <c r="J115" s="227">
        <v>15</v>
      </c>
      <c r="K115" s="227">
        <v>274</v>
      </c>
      <c r="L115" s="227">
        <v>25</v>
      </c>
      <c r="M115" s="227">
        <v>142</v>
      </c>
    </row>
    <row r="116" spans="1:13" x14ac:dyDescent="0.15">
      <c r="A116" s="227">
        <v>20413</v>
      </c>
      <c r="B116" s="227" t="s">
        <v>586</v>
      </c>
      <c r="C116" s="227">
        <v>51</v>
      </c>
      <c r="D116" s="227">
        <v>17</v>
      </c>
      <c r="E116" s="227">
        <v>55</v>
      </c>
      <c r="F116" s="227">
        <v>28</v>
      </c>
      <c r="G116" s="227" t="s">
        <v>760</v>
      </c>
      <c r="H116" s="227">
        <v>16</v>
      </c>
      <c r="I116" s="227" t="s">
        <v>762</v>
      </c>
      <c r="J116" s="227">
        <v>29</v>
      </c>
      <c r="K116" s="227">
        <v>206</v>
      </c>
      <c r="L116" s="227">
        <v>18</v>
      </c>
      <c r="M116" s="227">
        <v>196</v>
      </c>
    </row>
    <row r="117" spans="1:13" x14ac:dyDescent="0.15">
      <c r="A117" s="227">
        <v>20414</v>
      </c>
      <c r="B117" s="227" t="s">
        <v>433</v>
      </c>
      <c r="C117" s="227">
        <v>19</v>
      </c>
      <c r="D117" s="227">
        <v>45</v>
      </c>
      <c r="E117" s="227">
        <v>43</v>
      </c>
      <c r="F117" s="227">
        <v>28</v>
      </c>
      <c r="G117" s="227" t="s">
        <v>762</v>
      </c>
      <c r="H117" s="227">
        <v>10</v>
      </c>
      <c r="I117" s="227" t="s">
        <v>760</v>
      </c>
      <c r="J117" s="227">
        <v>7</v>
      </c>
      <c r="K117" s="227">
        <v>263</v>
      </c>
      <c r="L117" s="227">
        <v>23</v>
      </c>
      <c r="M117" s="227">
        <v>152</v>
      </c>
    </row>
    <row r="118" spans="1:13" x14ac:dyDescent="0.15">
      <c r="A118" s="227">
        <v>20415</v>
      </c>
      <c r="B118" s="227" t="s">
        <v>523</v>
      </c>
      <c r="C118" s="227">
        <v>20</v>
      </c>
      <c r="D118" s="227">
        <v>14</v>
      </c>
      <c r="E118" s="227">
        <v>44</v>
      </c>
      <c r="F118" s="227">
        <v>40</v>
      </c>
      <c r="G118" s="227" t="s">
        <v>760</v>
      </c>
      <c r="H118" s="227">
        <v>17</v>
      </c>
      <c r="I118" s="227" t="s">
        <v>762</v>
      </c>
      <c r="J118" s="227">
        <v>14</v>
      </c>
      <c r="K118" s="227">
        <v>267</v>
      </c>
      <c r="L118" s="227">
        <v>24</v>
      </c>
      <c r="M118" s="227">
        <v>149</v>
      </c>
    </row>
    <row r="119" spans="1:13" x14ac:dyDescent="0.15">
      <c r="A119" s="227">
        <v>20416</v>
      </c>
      <c r="B119" s="227" t="s">
        <v>730</v>
      </c>
      <c r="C119" s="227">
        <v>19</v>
      </c>
      <c r="D119" s="227">
        <v>8</v>
      </c>
      <c r="E119" s="227">
        <v>15</v>
      </c>
      <c r="F119" s="227">
        <v>8</v>
      </c>
      <c r="G119" s="227" t="s">
        <v>761</v>
      </c>
      <c r="H119" s="227">
        <v>5</v>
      </c>
      <c r="I119" s="227" t="s">
        <v>772</v>
      </c>
      <c r="J119" s="227">
        <v>4</v>
      </c>
      <c r="K119" s="227">
        <v>328</v>
      </c>
      <c r="L119" s="227">
        <v>33</v>
      </c>
      <c r="M119" s="227">
        <v>59</v>
      </c>
    </row>
    <row r="120" spans="1:13" x14ac:dyDescent="0.15">
      <c r="A120" s="227">
        <v>20417</v>
      </c>
      <c r="B120" s="227" t="s">
        <v>493</v>
      </c>
      <c r="C120" s="227">
        <v>63</v>
      </c>
      <c r="D120" s="227">
        <v>48</v>
      </c>
      <c r="E120" s="227">
        <v>59</v>
      </c>
      <c r="F120" s="227">
        <v>27</v>
      </c>
      <c r="G120" s="227" t="s">
        <v>762</v>
      </c>
      <c r="H120" s="227">
        <v>32</v>
      </c>
      <c r="I120" s="227" t="s">
        <v>760</v>
      </c>
      <c r="J120" s="227">
        <v>18</v>
      </c>
      <c r="K120" s="227">
        <v>148</v>
      </c>
      <c r="L120" s="227">
        <v>12</v>
      </c>
      <c r="M120" s="227">
        <v>247</v>
      </c>
    </row>
    <row r="121" spans="1:13" x14ac:dyDescent="0.15">
      <c r="A121" s="227">
        <v>20419</v>
      </c>
      <c r="B121" s="227" t="s">
        <v>465</v>
      </c>
      <c r="C121" s="227">
        <v>37</v>
      </c>
      <c r="D121" s="227">
        <v>39</v>
      </c>
      <c r="E121" s="227">
        <v>59</v>
      </c>
      <c r="F121" s="227">
        <v>43</v>
      </c>
      <c r="G121" s="227" t="s">
        <v>766</v>
      </c>
      <c r="H121" s="227">
        <v>11</v>
      </c>
      <c r="I121" s="227" t="s">
        <v>762</v>
      </c>
      <c r="J121" s="227">
        <v>41</v>
      </c>
      <c r="K121" s="227">
        <v>155</v>
      </c>
      <c r="L121" s="227">
        <v>13</v>
      </c>
      <c r="M121" s="227">
        <v>230</v>
      </c>
    </row>
    <row r="122" spans="1:13" x14ac:dyDescent="0.15">
      <c r="A122" s="227">
        <v>20420</v>
      </c>
      <c r="B122" s="227" t="s">
        <v>466</v>
      </c>
      <c r="C122" s="227">
        <v>18</v>
      </c>
      <c r="D122" s="227">
        <v>8</v>
      </c>
      <c r="E122" s="227">
        <v>21</v>
      </c>
      <c r="F122" s="227">
        <v>24</v>
      </c>
      <c r="G122" s="227" t="s">
        <v>761</v>
      </c>
      <c r="H122" s="227">
        <v>11</v>
      </c>
      <c r="I122" s="227" t="s">
        <v>766</v>
      </c>
      <c r="J122" s="227">
        <v>11</v>
      </c>
      <c r="K122" s="227">
        <v>307</v>
      </c>
      <c r="L122" s="227">
        <v>28</v>
      </c>
      <c r="M122" s="227">
        <v>93</v>
      </c>
    </row>
    <row r="123" spans="1:13" x14ac:dyDescent="0.15">
      <c r="A123" s="227">
        <v>20421</v>
      </c>
      <c r="B123" s="227" t="s">
        <v>467</v>
      </c>
      <c r="C123" s="227">
        <v>42</v>
      </c>
      <c r="D123" s="227">
        <v>15</v>
      </c>
      <c r="E123" s="227">
        <v>38</v>
      </c>
      <c r="F123" s="227">
        <v>16</v>
      </c>
      <c r="G123" s="227" t="s">
        <v>762</v>
      </c>
      <c r="H123" s="227">
        <v>44</v>
      </c>
      <c r="I123" s="227" t="s">
        <v>760</v>
      </c>
      <c r="J123" s="227">
        <v>27</v>
      </c>
      <c r="K123" s="227">
        <v>229</v>
      </c>
      <c r="L123" s="227">
        <v>19</v>
      </c>
      <c r="M123" s="227">
        <v>182</v>
      </c>
    </row>
    <row r="124" spans="1:13" x14ac:dyDescent="0.15">
      <c r="A124" s="227">
        <v>20422</v>
      </c>
      <c r="B124" s="227" t="s">
        <v>374</v>
      </c>
      <c r="C124" s="227">
        <v>20</v>
      </c>
      <c r="D124" s="227">
        <v>20</v>
      </c>
      <c r="E124" s="227">
        <v>21</v>
      </c>
      <c r="F124" s="227">
        <v>9</v>
      </c>
      <c r="G124" s="227" t="s">
        <v>761</v>
      </c>
      <c r="H124" s="227">
        <v>13</v>
      </c>
      <c r="I124" s="227" t="s">
        <v>762</v>
      </c>
      <c r="J124" s="227">
        <v>9</v>
      </c>
      <c r="K124" s="227">
        <v>309</v>
      </c>
      <c r="L124" s="227">
        <v>30</v>
      </c>
      <c r="M124" s="227">
        <v>92</v>
      </c>
    </row>
    <row r="125" spans="1:13" x14ac:dyDescent="0.15">
      <c r="A125" s="227">
        <v>20423</v>
      </c>
      <c r="B125" s="227" t="s">
        <v>534</v>
      </c>
      <c r="C125" s="227">
        <v>85</v>
      </c>
      <c r="D125" s="227">
        <v>60</v>
      </c>
      <c r="E125" s="227">
        <v>97</v>
      </c>
      <c r="F125" s="227">
        <v>44</v>
      </c>
      <c r="G125" s="227" t="s">
        <v>760</v>
      </c>
      <c r="H125" s="227">
        <v>48</v>
      </c>
      <c r="I125" s="227" t="s">
        <v>762</v>
      </c>
      <c r="J125" s="227">
        <v>44</v>
      </c>
      <c r="K125" s="227">
        <v>16</v>
      </c>
      <c r="L125" s="227">
        <v>2</v>
      </c>
      <c r="M125" s="227">
        <v>378</v>
      </c>
    </row>
    <row r="126" spans="1:13" x14ac:dyDescent="0.15">
      <c r="A126" s="227">
        <v>20424</v>
      </c>
      <c r="B126" s="227" t="s">
        <v>472</v>
      </c>
      <c r="C126" s="227">
        <v>65</v>
      </c>
      <c r="D126" s="227">
        <v>39</v>
      </c>
      <c r="E126" s="227">
        <v>78</v>
      </c>
      <c r="F126" s="227">
        <v>36</v>
      </c>
      <c r="G126" s="227" t="s">
        <v>762</v>
      </c>
      <c r="H126" s="227">
        <v>37</v>
      </c>
      <c r="I126" s="227" t="s">
        <v>761</v>
      </c>
      <c r="J126" s="227">
        <v>35</v>
      </c>
      <c r="K126" s="227">
        <v>100</v>
      </c>
      <c r="L126" s="227">
        <v>6</v>
      </c>
      <c r="M126" s="227">
        <v>290</v>
      </c>
    </row>
    <row r="127" spans="1:13" x14ac:dyDescent="0.15">
      <c r="A127" s="227">
        <v>20425</v>
      </c>
      <c r="B127" s="227" t="s">
        <v>595</v>
      </c>
      <c r="C127" s="227">
        <v>76</v>
      </c>
      <c r="D127" s="227">
        <v>20</v>
      </c>
      <c r="E127" s="227">
        <v>70</v>
      </c>
      <c r="F127" s="227">
        <v>34</v>
      </c>
      <c r="G127" s="227" t="s">
        <v>762</v>
      </c>
      <c r="H127" s="227">
        <v>35</v>
      </c>
      <c r="I127" s="227" t="s">
        <v>760</v>
      </c>
      <c r="J127" s="227">
        <v>25</v>
      </c>
      <c r="K127" s="227">
        <v>130</v>
      </c>
      <c r="L127" s="227">
        <v>9</v>
      </c>
      <c r="M127" s="227">
        <v>260</v>
      </c>
    </row>
    <row r="128" spans="1:13" x14ac:dyDescent="0.15">
      <c r="A128" s="227">
        <v>20426</v>
      </c>
      <c r="B128" s="227" t="s">
        <v>596</v>
      </c>
      <c r="C128" s="227">
        <v>38</v>
      </c>
      <c r="D128" s="227">
        <v>41</v>
      </c>
      <c r="E128" s="227">
        <v>40</v>
      </c>
      <c r="F128" s="227">
        <v>10</v>
      </c>
      <c r="G128" s="227" t="s">
        <v>762</v>
      </c>
      <c r="H128" s="227">
        <v>30</v>
      </c>
      <c r="I128" s="227" t="s">
        <v>760</v>
      </c>
      <c r="J128" s="227">
        <v>20</v>
      </c>
      <c r="K128" s="227">
        <v>234</v>
      </c>
      <c r="L128" s="227">
        <v>20</v>
      </c>
      <c r="M128" s="227">
        <v>179</v>
      </c>
    </row>
    <row r="129" spans="1:13" x14ac:dyDescent="0.15">
      <c r="A129" s="227">
        <v>20428</v>
      </c>
      <c r="B129" s="227" t="s">
        <v>538</v>
      </c>
      <c r="C129" s="227">
        <v>83</v>
      </c>
      <c r="D129" s="227">
        <v>80</v>
      </c>
      <c r="E129" s="227">
        <v>92</v>
      </c>
      <c r="F129" s="227">
        <v>37</v>
      </c>
      <c r="G129" s="227" t="s">
        <v>762</v>
      </c>
      <c r="H129" s="227">
        <v>45</v>
      </c>
      <c r="I129" s="227" t="s">
        <v>760</v>
      </c>
      <c r="J129" s="227">
        <v>48</v>
      </c>
      <c r="K129" s="227">
        <v>11</v>
      </c>
      <c r="L129" s="227">
        <v>1</v>
      </c>
      <c r="M129" s="227">
        <v>385</v>
      </c>
    </row>
    <row r="130" spans="1:13" x14ac:dyDescent="0.15">
      <c r="A130" s="227">
        <v>20429</v>
      </c>
      <c r="B130" s="227" t="s">
        <v>509</v>
      </c>
      <c r="C130" s="227">
        <v>57</v>
      </c>
      <c r="D130" s="227">
        <v>31</v>
      </c>
      <c r="E130" s="227">
        <v>72</v>
      </c>
      <c r="F130" s="227">
        <v>31</v>
      </c>
      <c r="G130" s="227" t="s">
        <v>762</v>
      </c>
      <c r="H130" s="227">
        <v>40</v>
      </c>
      <c r="I130" s="227" t="s">
        <v>760</v>
      </c>
      <c r="J130" s="227">
        <v>30</v>
      </c>
      <c r="K130" s="227">
        <v>128</v>
      </c>
      <c r="L130" s="227">
        <v>8</v>
      </c>
      <c r="M130" s="227">
        <v>261</v>
      </c>
    </row>
    <row r="131" spans="1:13" x14ac:dyDescent="0.15">
      <c r="A131" s="227">
        <v>20430</v>
      </c>
      <c r="B131" s="227" t="s">
        <v>569</v>
      </c>
      <c r="C131" s="227">
        <v>45</v>
      </c>
      <c r="D131" s="227">
        <v>23</v>
      </c>
      <c r="E131" s="227">
        <v>37</v>
      </c>
      <c r="F131" s="227">
        <v>31</v>
      </c>
      <c r="G131" s="227" t="s">
        <v>762</v>
      </c>
      <c r="H131" s="227">
        <v>20</v>
      </c>
      <c r="I131" s="227" t="s">
        <v>760</v>
      </c>
      <c r="J131" s="227">
        <v>17</v>
      </c>
      <c r="K131" s="227">
        <v>239</v>
      </c>
      <c r="L131" s="227">
        <v>21</v>
      </c>
      <c r="M131" s="227">
        <v>173</v>
      </c>
    </row>
    <row r="132" spans="1:13" x14ac:dyDescent="0.15">
      <c r="A132" s="227">
        <v>20431</v>
      </c>
      <c r="B132" s="227" t="s">
        <v>604</v>
      </c>
      <c r="C132" s="227">
        <v>61</v>
      </c>
      <c r="D132" s="227">
        <v>50</v>
      </c>
      <c r="E132" s="227">
        <v>57</v>
      </c>
      <c r="F132" s="227">
        <v>38</v>
      </c>
      <c r="G132" s="227" t="s">
        <v>762</v>
      </c>
      <c r="H132" s="227">
        <v>34</v>
      </c>
      <c r="I132" s="227" t="s">
        <v>766</v>
      </c>
      <c r="J132" s="227">
        <v>16</v>
      </c>
      <c r="K132" s="227">
        <v>139</v>
      </c>
      <c r="L132" s="227">
        <v>10</v>
      </c>
      <c r="M132" s="227">
        <v>256</v>
      </c>
    </row>
    <row r="133" spans="1:13" x14ac:dyDescent="0.15">
      <c r="A133" s="227">
        <v>20432</v>
      </c>
      <c r="B133" s="227" t="s">
        <v>666</v>
      </c>
      <c r="C133" s="227">
        <v>64</v>
      </c>
      <c r="D133" s="227">
        <v>11</v>
      </c>
      <c r="E133" s="227">
        <v>61</v>
      </c>
      <c r="F133" s="227">
        <v>20</v>
      </c>
      <c r="G133" s="227" t="s">
        <v>760</v>
      </c>
      <c r="H133" s="227">
        <v>22</v>
      </c>
      <c r="I133" s="227" t="s">
        <v>762</v>
      </c>
      <c r="J133" s="227">
        <v>28</v>
      </c>
      <c r="K133" s="227">
        <v>190</v>
      </c>
      <c r="L133" s="227">
        <v>16</v>
      </c>
      <c r="M133" s="227">
        <v>206</v>
      </c>
    </row>
    <row r="134" spans="1:13" x14ac:dyDescent="0.15">
      <c r="A134" s="227">
        <v>20433</v>
      </c>
      <c r="B134" s="227" t="s">
        <v>716</v>
      </c>
      <c r="C134" s="227">
        <v>10</v>
      </c>
      <c r="D134" s="227">
        <v>7</v>
      </c>
      <c r="E134" s="227">
        <v>24</v>
      </c>
      <c r="F134" s="227">
        <v>16</v>
      </c>
      <c r="G134" s="227" t="s">
        <v>760</v>
      </c>
      <c r="H134" s="227">
        <v>11</v>
      </c>
      <c r="I134" s="227" t="s">
        <v>762</v>
      </c>
      <c r="J134" s="227">
        <v>9</v>
      </c>
      <c r="K134" s="227">
        <v>321</v>
      </c>
      <c r="L134" s="227">
        <v>32</v>
      </c>
      <c r="M134" s="227">
        <v>77</v>
      </c>
    </row>
    <row r="135" spans="1:13" x14ac:dyDescent="0.15">
      <c r="A135" s="227">
        <v>20434</v>
      </c>
      <c r="B135" s="227" t="s">
        <v>423</v>
      </c>
      <c r="C135" s="227">
        <v>23</v>
      </c>
      <c r="D135" s="227">
        <v>8</v>
      </c>
      <c r="E135" s="227">
        <v>31</v>
      </c>
      <c r="F135" s="227">
        <v>26</v>
      </c>
      <c r="G135" s="227" t="s">
        <v>767</v>
      </c>
      <c r="H135" s="227">
        <v>25</v>
      </c>
      <c r="I135" s="227" t="s">
        <v>764</v>
      </c>
      <c r="J135" s="227">
        <v>11</v>
      </c>
      <c r="K135" s="227">
        <v>289</v>
      </c>
      <c r="L135" s="227">
        <v>26</v>
      </c>
      <c r="M135" s="227">
        <v>124</v>
      </c>
    </row>
    <row r="136" spans="1:13" x14ac:dyDescent="0.15">
      <c r="A136" s="227">
        <v>20435</v>
      </c>
      <c r="B136" s="227" t="s">
        <v>459</v>
      </c>
      <c r="C136" s="227">
        <v>82</v>
      </c>
      <c r="D136" s="227">
        <v>25</v>
      </c>
      <c r="E136" s="227">
        <v>68</v>
      </c>
      <c r="F136" s="227">
        <v>30</v>
      </c>
      <c r="G136" s="227" t="s">
        <v>761</v>
      </c>
      <c r="H136" s="227">
        <v>34</v>
      </c>
      <c r="I136" s="227" t="s">
        <v>762</v>
      </c>
      <c r="J136" s="227">
        <v>37</v>
      </c>
      <c r="K136" s="227">
        <v>117</v>
      </c>
      <c r="L136" s="227">
        <v>7</v>
      </c>
      <c r="M136" s="227">
        <v>276</v>
      </c>
    </row>
    <row r="137" spans="1:13" x14ac:dyDescent="0.15">
      <c r="A137" s="227">
        <v>20501</v>
      </c>
      <c r="B137" s="227" t="s">
        <v>456</v>
      </c>
      <c r="C137" s="227">
        <v>44</v>
      </c>
      <c r="D137" s="227">
        <v>22</v>
      </c>
      <c r="E137" s="227">
        <v>51</v>
      </c>
      <c r="F137" s="227">
        <v>23</v>
      </c>
      <c r="G137" s="227" t="s">
        <v>768</v>
      </c>
      <c r="H137" s="227">
        <v>14</v>
      </c>
      <c r="I137" s="227" t="s">
        <v>771</v>
      </c>
      <c r="J137" s="227">
        <v>27</v>
      </c>
      <c r="K137" s="227">
        <v>231</v>
      </c>
      <c r="L137" s="227">
        <v>21</v>
      </c>
      <c r="M137" s="227">
        <v>181</v>
      </c>
    </row>
    <row r="138" spans="1:13" x14ac:dyDescent="0.15">
      <c r="A138" s="227">
        <v>20502</v>
      </c>
      <c r="B138" s="227" t="s">
        <v>425</v>
      </c>
      <c r="C138" s="227">
        <v>63</v>
      </c>
      <c r="D138" s="227">
        <v>8</v>
      </c>
      <c r="E138" s="227">
        <v>21</v>
      </c>
      <c r="F138" s="227">
        <v>9</v>
      </c>
      <c r="G138" s="227" t="s">
        <v>768</v>
      </c>
      <c r="H138" s="227">
        <v>18</v>
      </c>
      <c r="I138" s="227" t="s">
        <v>771</v>
      </c>
      <c r="J138" s="227">
        <v>17</v>
      </c>
      <c r="K138" s="227">
        <v>280</v>
      </c>
      <c r="L138" s="227">
        <v>29</v>
      </c>
      <c r="M138" s="227">
        <v>136</v>
      </c>
    </row>
    <row r="139" spans="1:13" x14ac:dyDescent="0.15">
      <c r="A139" s="227">
        <v>20503</v>
      </c>
      <c r="B139" s="227" t="s">
        <v>637</v>
      </c>
      <c r="C139" s="227">
        <v>41</v>
      </c>
      <c r="D139" s="227">
        <v>49</v>
      </c>
      <c r="E139" s="227">
        <v>52</v>
      </c>
      <c r="F139" s="227">
        <v>20</v>
      </c>
      <c r="G139" s="227" t="s">
        <v>768</v>
      </c>
      <c r="H139" s="227">
        <v>21</v>
      </c>
      <c r="I139" s="227" t="s">
        <v>771</v>
      </c>
      <c r="J139" s="227">
        <v>21</v>
      </c>
      <c r="K139" s="227">
        <v>193</v>
      </c>
      <c r="L139" s="227">
        <v>16</v>
      </c>
      <c r="M139" s="227">
        <v>204</v>
      </c>
    </row>
    <row r="140" spans="1:13" x14ac:dyDescent="0.15">
      <c r="A140" s="227">
        <v>20504</v>
      </c>
      <c r="B140" s="227" t="s">
        <v>514</v>
      </c>
      <c r="C140" s="227">
        <v>63</v>
      </c>
      <c r="D140" s="227">
        <v>20</v>
      </c>
      <c r="E140" s="227">
        <v>66</v>
      </c>
      <c r="F140" s="227">
        <v>41</v>
      </c>
      <c r="G140" s="227" t="s">
        <v>769</v>
      </c>
      <c r="H140" s="227">
        <v>19</v>
      </c>
      <c r="I140" s="227" t="s">
        <v>771</v>
      </c>
      <c r="J140" s="227">
        <v>20</v>
      </c>
      <c r="K140" s="227">
        <v>156</v>
      </c>
      <c r="L140" s="227">
        <v>11</v>
      </c>
      <c r="M140" s="227">
        <v>229</v>
      </c>
    </row>
    <row r="141" spans="1:13" x14ac:dyDescent="0.15">
      <c r="A141" s="227">
        <v>20505</v>
      </c>
      <c r="B141" s="227" t="s">
        <v>640</v>
      </c>
      <c r="C141" s="227">
        <v>40</v>
      </c>
      <c r="D141" s="227">
        <v>69</v>
      </c>
      <c r="E141" s="227">
        <v>43</v>
      </c>
      <c r="F141" s="227">
        <v>23</v>
      </c>
      <c r="G141" s="227" t="s">
        <v>768</v>
      </c>
      <c r="H141" s="227">
        <v>11</v>
      </c>
      <c r="I141" s="227" t="s">
        <v>771</v>
      </c>
      <c r="J141" s="227">
        <v>8</v>
      </c>
      <c r="K141" s="227">
        <v>212</v>
      </c>
      <c r="L141" s="227">
        <v>20</v>
      </c>
      <c r="M141" s="227">
        <v>194</v>
      </c>
    </row>
    <row r="142" spans="1:13" x14ac:dyDescent="0.15">
      <c r="A142" s="227">
        <v>20506</v>
      </c>
      <c r="B142" s="227" t="s">
        <v>365</v>
      </c>
      <c r="C142" s="227">
        <v>70</v>
      </c>
      <c r="D142" s="227">
        <v>58</v>
      </c>
      <c r="E142" s="227">
        <v>71</v>
      </c>
      <c r="F142" s="227">
        <v>26</v>
      </c>
      <c r="G142" s="227" t="s">
        <v>770</v>
      </c>
      <c r="H142" s="227">
        <v>20</v>
      </c>
      <c r="I142" s="227" t="s">
        <v>771</v>
      </c>
      <c r="J142" s="227">
        <v>18</v>
      </c>
      <c r="K142" s="227">
        <v>126</v>
      </c>
      <c r="L142" s="227">
        <v>9</v>
      </c>
      <c r="M142" s="227">
        <v>263</v>
      </c>
    </row>
    <row r="143" spans="1:13" x14ac:dyDescent="0.15">
      <c r="A143" s="227">
        <v>20508</v>
      </c>
      <c r="B143" s="227" t="s">
        <v>550</v>
      </c>
      <c r="C143" s="227">
        <v>42</v>
      </c>
      <c r="D143" s="227">
        <v>32</v>
      </c>
      <c r="E143" s="227">
        <v>27</v>
      </c>
      <c r="F143" s="227">
        <v>32</v>
      </c>
      <c r="G143" s="227" t="s">
        <v>768</v>
      </c>
      <c r="H143" s="227">
        <v>17</v>
      </c>
      <c r="I143" s="227" t="s">
        <v>771</v>
      </c>
      <c r="J143" s="227">
        <v>29</v>
      </c>
      <c r="K143" s="227">
        <v>234</v>
      </c>
      <c r="L143" s="227">
        <v>22</v>
      </c>
      <c r="M143" s="227">
        <v>179</v>
      </c>
    </row>
    <row r="144" spans="1:13" x14ac:dyDescent="0.15">
      <c r="A144" s="227">
        <v>20509</v>
      </c>
      <c r="B144" s="227" t="s">
        <v>401</v>
      </c>
      <c r="C144" s="227">
        <v>46</v>
      </c>
      <c r="D144" s="227">
        <v>61</v>
      </c>
      <c r="E144" s="227">
        <v>56</v>
      </c>
      <c r="F144" s="227">
        <v>31</v>
      </c>
      <c r="G144" s="227" t="s">
        <v>770</v>
      </c>
      <c r="H144" s="227">
        <v>10</v>
      </c>
      <c r="I144" s="227" t="s">
        <v>771</v>
      </c>
      <c r="J144" s="227">
        <v>9</v>
      </c>
      <c r="K144" s="227">
        <v>177</v>
      </c>
      <c r="L144" s="227">
        <v>14</v>
      </c>
      <c r="M144" s="227">
        <v>213</v>
      </c>
    </row>
    <row r="145" spans="1:13" x14ac:dyDescent="0.15">
      <c r="A145" s="227">
        <v>20510</v>
      </c>
      <c r="B145" s="227" t="s">
        <v>463</v>
      </c>
      <c r="C145" s="227">
        <v>37</v>
      </c>
      <c r="D145" s="227">
        <v>65</v>
      </c>
      <c r="E145" s="227">
        <v>62</v>
      </c>
      <c r="F145" s="227">
        <v>14</v>
      </c>
      <c r="G145" s="227" t="s">
        <v>770</v>
      </c>
      <c r="H145" s="227">
        <v>10</v>
      </c>
      <c r="I145" s="227" t="s">
        <v>771</v>
      </c>
      <c r="J145" s="227">
        <v>11</v>
      </c>
      <c r="K145" s="227">
        <v>202</v>
      </c>
      <c r="L145" s="227">
        <v>17</v>
      </c>
      <c r="M145" s="227">
        <v>199</v>
      </c>
    </row>
    <row r="146" spans="1:13" x14ac:dyDescent="0.15">
      <c r="A146" s="227">
        <v>20511</v>
      </c>
      <c r="B146" s="227" t="s">
        <v>522</v>
      </c>
      <c r="C146" s="227">
        <v>20</v>
      </c>
      <c r="D146" s="227">
        <v>55</v>
      </c>
      <c r="E146" s="227">
        <v>37</v>
      </c>
      <c r="F146" s="227">
        <v>18</v>
      </c>
      <c r="G146" s="227" t="s">
        <v>770</v>
      </c>
      <c r="H146" s="227">
        <v>14</v>
      </c>
      <c r="I146" s="227" t="s">
        <v>771</v>
      </c>
      <c r="J146" s="227">
        <v>14</v>
      </c>
      <c r="K146" s="227">
        <v>260</v>
      </c>
      <c r="L146" s="227">
        <v>25</v>
      </c>
      <c r="M146" s="227">
        <v>158</v>
      </c>
    </row>
    <row r="147" spans="1:13" x14ac:dyDescent="0.15">
      <c r="A147" s="227">
        <v>20512</v>
      </c>
      <c r="B147" s="227" t="s">
        <v>368</v>
      </c>
      <c r="C147" s="227">
        <v>67</v>
      </c>
      <c r="D147" s="227">
        <v>60</v>
      </c>
      <c r="E147" s="227">
        <v>62</v>
      </c>
      <c r="F147" s="227">
        <v>30</v>
      </c>
      <c r="G147" s="227" t="s">
        <v>768</v>
      </c>
      <c r="H147" s="227">
        <v>33</v>
      </c>
      <c r="I147" s="227" t="s">
        <v>771</v>
      </c>
      <c r="J147" s="227">
        <v>31</v>
      </c>
      <c r="K147" s="227">
        <v>107</v>
      </c>
      <c r="L147" s="227">
        <v>7</v>
      </c>
      <c r="M147" s="227">
        <v>283</v>
      </c>
    </row>
    <row r="148" spans="1:13" x14ac:dyDescent="0.15">
      <c r="A148" s="227">
        <v>20513</v>
      </c>
      <c r="B148" s="227" t="s">
        <v>436</v>
      </c>
      <c r="C148" s="227">
        <v>30</v>
      </c>
      <c r="D148" s="227">
        <v>23</v>
      </c>
      <c r="E148" s="227">
        <v>46</v>
      </c>
      <c r="F148" s="227">
        <v>11</v>
      </c>
      <c r="G148" s="227" t="s">
        <v>768</v>
      </c>
      <c r="H148" s="227">
        <v>10</v>
      </c>
      <c r="I148" s="227" t="s">
        <v>771</v>
      </c>
      <c r="J148" s="227">
        <v>24</v>
      </c>
      <c r="K148" s="227">
        <v>271</v>
      </c>
      <c r="L148" s="227">
        <v>27</v>
      </c>
      <c r="M148" s="227">
        <v>144</v>
      </c>
    </row>
    <row r="149" spans="1:13" x14ac:dyDescent="0.15">
      <c r="A149" s="227">
        <v>20514</v>
      </c>
      <c r="B149" s="227" t="s">
        <v>588</v>
      </c>
      <c r="C149" s="227">
        <v>75</v>
      </c>
      <c r="D149" s="227">
        <v>49</v>
      </c>
      <c r="E149" s="227">
        <v>76</v>
      </c>
      <c r="F149" s="227">
        <v>34</v>
      </c>
      <c r="G149" s="227" t="s">
        <v>768</v>
      </c>
      <c r="H149" s="227">
        <v>18</v>
      </c>
      <c r="I149" s="227" t="s">
        <v>771</v>
      </c>
      <c r="J149" s="227">
        <v>39</v>
      </c>
      <c r="K149" s="227">
        <v>99</v>
      </c>
      <c r="L149" s="227">
        <v>6</v>
      </c>
      <c r="M149" s="227">
        <v>291</v>
      </c>
    </row>
    <row r="150" spans="1:13" x14ac:dyDescent="0.15">
      <c r="A150" s="227">
        <v>20515</v>
      </c>
      <c r="B150" s="227" t="s">
        <v>464</v>
      </c>
      <c r="C150" s="227">
        <v>55</v>
      </c>
      <c r="D150" s="227">
        <v>46</v>
      </c>
      <c r="E150" s="227">
        <v>50</v>
      </c>
      <c r="F150" s="227">
        <v>23</v>
      </c>
      <c r="G150" s="227" t="s">
        <v>770</v>
      </c>
      <c r="H150" s="227">
        <v>8</v>
      </c>
      <c r="I150" s="227" t="s">
        <v>771</v>
      </c>
      <c r="J150" s="227">
        <v>32</v>
      </c>
      <c r="K150" s="227">
        <v>174</v>
      </c>
      <c r="L150" s="227">
        <v>13</v>
      </c>
      <c r="M150" s="227">
        <v>214</v>
      </c>
    </row>
    <row r="151" spans="1:13" x14ac:dyDescent="0.15">
      <c r="A151" s="227">
        <v>20516</v>
      </c>
      <c r="B151" s="227" t="s">
        <v>407</v>
      </c>
      <c r="C151" s="227">
        <v>32</v>
      </c>
      <c r="D151" s="227">
        <v>38</v>
      </c>
      <c r="E151" s="227">
        <v>49</v>
      </c>
      <c r="F151" s="227">
        <v>27</v>
      </c>
      <c r="G151" s="227" t="s">
        <v>770</v>
      </c>
      <c r="H151" s="227">
        <v>8</v>
      </c>
      <c r="I151" s="227" t="s">
        <v>771</v>
      </c>
      <c r="J151" s="227">
        <v>8</v>
      </c>
      <c r="K151" s="227">
        <v>251</v>
      </c>
      <c r="L151" s="227">
        <v>24</v>
      </c>
      <c r="M151" s="227">
        <v>162</v>
      </c>
    </row>
    <row r="152" spans="1:13" x14ac:dyDescent="0.15">
      <c r="A152" s="227">
        <v>20517</v>
      </c>
      <c r="B152" s="227" t="s">
        <v>498</v>
      </c>
      <c r="C152" s="227">
        <v>49</v>
      </c>
      <c r="D152" s="227">
        <v>46</v>
      </c>
      <c r="E152" s="227">
        <v>30</v>
      </c>
      <c r="F152" s="227">
        <v>33</v>
      </c>
      <c r="G152" s="227" t="s">
        <v>768</v>
      </c>
      <c r="H152" s="227">
        <v>18</v>
      </c>
      <c r="I152" s="227" t="s">
        <v>771</v>
      </c>
      <c r="J152" s="227">
        <v>20</v>
      </c>
      <c r="K152" s="227">
        <v>206</v>
      </c>
      <c r="L152" s="227">
        <v>19</v>
      </c>
      <c r="M152" s="227">
        <v>196</v>
      </c>
    </row>
    <row r="153" spans="1:13" x14ac:dyDescent="0.15">
      <c r="A153" s="227">
        <v>20518</v>
      </c>
      <c r="B153" s="227" t="s">
        <v>554</v>
      </c>
      <c r="C153" s="227">
        <v>29</v>
      </c>
      <c r="D153" s="227">
        <v>37</v>
      </c>
      <c r="E153" s="227">
        <v>44</v>
      </c>
      <c r="F153" s="227">
        <v>12</v>
      </c>
      <c r="G153" s="227" t="s">
        <v>768</v>
      </c>
      <c r="H153" s="227">
        <v>12</v>
      </c>
      <c r="I153" s="227" t="s">
        <v>771</v>
      </c>
      <c r="J153" s="227">
        <v>10</v>
      </c>
      <c r="K153" s="227">
        <v>271</v>
      </c>
      <c r="L153" s="227">
        <v>27</v>
      </c>
      <c r="M153" s="227">
        <v>144</v>
      </c>
    </row>
    <row r="154" spans="1:13" x14ac:dyDescent="0.15">
      <c r="A154" s="227">
        <v>20519</v>
      </c>
      <c r="B154" s="227" t="s">
        <v>411</v>
      </c>
      <c r="C154" s="227">
        <v>21</v>
      </c>
      <c r="D154" s="227">
        <v>50</v>
      </c>
      <c r="E154" s="227">
        <v>64</v>
      </c>
      <c r="F154" s="227">
        <v>9</v>
      </c>
      <c r="G154" s="227" t="s">
        <v>768</v>
      </c>
      <c r="H154" s="227">
        <v>12</v>
      </c>
      <c r="I154" s="227" t="s">
        <v>771</v>
      </c>
      <c r="J154" s="227">
        <v>11</v>
      </c>
      <c r="K154" s="227">
        <v>246</v>
      </c>
      <c r="L154" s="227">
        <v>23</v>
      </c>
      <c r="M154" s="227">
        <v>167</v>
      </c>
    </row>
    <row r="155" spans="1:13" x14ac:dyDescent="0.15">
      <c r="A155" s="227">
        <v>20520</v>
      </c>
      <c r="B155" s="227" t="s">
        <v>412</v>
      </c>
      <c r="C155" s="227">
        <v>62</v>
      </c>
      <c r="D155" s="227">
        <v>58</v>
      </c>
      <c r="E155" s="227">
        <v>63</v>
      </c>
      <c r="F155" s="227">
        <v>30</v>
      </c>
      <c r="G155" s="227" t="s">
        <v>768</v>
      </c>
      <c r="H155" s="227">
        <v>19</v>
      </c>
      <c r="I155" s="227" t="s">
        <v>771</v>
      </c>
      <c r="J155" s="227">
        <v>34</v>
      </c>
      <c r="K155" s="227">
        <v>123</v>
      </c>
      <c r="L155" s="227">
        <v>8</v>
      </c>
      <c r="M155" s="227">
        <v>266</v>
      </c>
    </row>
    <row r="156" spans="1:13" x14ac:dyDescent="0.15">
      <c r="A156" s="227">
        <v>20521</v>
      </c>
      <c r="B156" s="227" t="s">
        <v>535</v>
      </c>
      <c r="C156" s="227">
        <v>74</v>
      </c>
      <c r="D156" s="227">
        <v>73</v>
      </c>
      <c r="E156" s="227">
        <v>61</v>
      </c>
      <c r="F156" s="227">
        <v>24</v>
      </c>
      <c r="G156" s="227" t="s">
        <v>768</v>
      </c>
      <c r="H156" s="227">
        <v>37</v>
      </c>
      <c r="I156" s="227" t="s">
        <v>771</v>
      </c>
      <c r="J156" s="227">
        <v>44</v>
      </c>
      <c r="K156" s="227">
        <v>75</v>
      </c>
      <c r="L156" s="227">
        <v>3</v>
      </c>
      <c r="M156" s="227">
        <v>313</v>
      </c>
    </row>
    <row r="157" spans="1:13" x14ac:dyDescent="0.15">
      <c r="A157" s="227">
        <v>20522</v>
      </c>
      <c r="B157" s="227" t="s">
        <v>555</v>
      </c>
      <c r="C157" s="227">
        <v>47</v>
      </c>
      <c r="D157" s="227">
        <v>32</v>
      </c>
      <c r="E157" s="227">
        <v>55</v>
      </c>
      <c r="F157" s="227">
        <v>31</v>
      </c>
      <c r="G157" s="227" t="s">
        <v>768</v>
      </c>
      <c r="H157" s="227">
        <v>21</v>
      </c>
      <c r="I157" s="227" t="s">
        <v>771</v>
      </c>
      <c r="J157" s="227">
        <v>22</v>
      </c>
      <c r="K157" s="227">
        <v>186</v>
      </c>
      <c r="L157" s="227">
        <v>15</v>
      </c>
      <c r="M157" s="227">
        <v>208</v>
      </c>
    </row>
    <row r="158" spans="1:13" x14ac:dyDescent="0.15">
      <c r="A158" s="227">
        <v>20523</v>
      </c>
      <c r="B158" s="227" t="s">
        <v>557</v>
      </c>
      <c r="C158" s="227">
        <v>45</v>
      </c>
      <c r="D158" s="227">
        <v>40</v>
      </c>
      <c r="E158" s="227">
        <v>56</v>
      </c>
      <c r="F158" s="227">
        <v>25</v>
      </c>
      <c r="G158" s="227" t="s">
        <v>768</v>
      </c>
      <c r="H158" s="227">
        <v>33</v>
      </c>
      <c r="I158" s="227" t="s">
        <v>771</v>
      </c>
      <c r="J158" s="227">
        <v>30</v>
      </c>
      <c r="K158" s="227">
        <v>156</v>
      </c>
      <c r="L158" s="227">
        <v>11</v>
      </c>
      <c r="M158" s="227">
        <v>229</v>
      </c>
    </row>
    <row r="159" spans="1:13" x14ac:dyDescent="0.15">
      <c r="A159" s="227">
        <v>20524</v>
      </c>
      <c r="B159" s="227" t="s">
        <v>659</v>
      </c>
      <c r="C159" s="227">
        <v>17</v>
      </c>
      <c r="D159" s="227">
        <v>57</v>
      </c>
      <c r="E159" s="227">
        <v>31</v>
      </c>
      <c r="F159" s="227">
        <v>23</v>
      </c>
      <c r="G159" s="227" t="s">
        <v>768</v>
      </c>
      <c r="H159" s="227">
        <v>9</v>
      </c>
      <c r="I159" s="227" t="s">
        <v>771</v>
      </c>
      <c r="J159" s="227">
        <v>15</v>
      </c>
      <c r="K159" s="227">
        <v>263</v>
      </c>
      <c r="L159" s="227">
        <v>26</v>
      </c>
      <c r="M159" s="227">
        <v>152</v>
      </c>
    </row>
    <row r="160" spans="1:13" x14ac:dyDescent="0.15">
      <c r="A160" s="227">
        <v>20525</v>
      </c>
      <c r="B160" s="227" t="s">
        <v>504</v>
      </c>
      <c r="C160" s="227">
        <v>74</v>
      </c>
      <c r="D160" s="227">
        <v>84</v>
      </c>
      <c r="E160" s="227">
        <v>92</v>
      </c>
      <c r="F160" s="227">
        <v>40</v>
      </c>
      <c r="G160" s="227" t="s">
        <v>768</v>
      </c>
      <c r="H160" s="227">
        <v>39</v>
      </c>
      <c r="I160" s="227" t="s">
        <v>771</v>
      </c>
      <c r="J160" s="227">
        <v>48</v>
      </c>
      <c r="K160" s="227">
        <v>18</v>
      </c>
      <c r="L160" s="227">
        <v>1</v>
      </c>
      <c r="M160" s="227">
        <v>377</v>
      </c>
    </row>
    <row r="161" spans="1:13" x14ac:dyDescent="0.15">
      <c r="A161" s="227">
        <v>20526</v>
      </c>
      <c r="B161" s="227" t="s">
        <v>506</v>
      </c>
      <c r="C161" s="227">
        <v>76</v>
      </c>
      <c r="D161" s="227">
        <v>64</v>
      </c>
      <c r="E161" s="227">
        <v>51</v>
      </c>
      <c r="F161" s="227">
        <v>29</v>
      </c>
      <c r="G161" s="227" t="s">
        <v>768</v>
      </c>
      <c r="H161" s="227">
        <v>31</v>
      </c>
      <c r="I161" s="227" t="s">
        <v>771</v>
      </c>
      <c r="J161" s="227">
        <v>41</v>
      </c>
      <c r="K161" s="227">
        <v>97</v>
      </c>
      <c r="L161" s="227">
        <v>5</v>
      </c>
      <c r="M161" s="227">
        <v>292</v>
      </c>
    </row>
    <row r="162" spans="1:13" x14ac:dyDescent="0.15">
      <c r="A162" s="227">
        <v>20527</v>
      </c>
      <c r="B162" s="227" t="s">
        <v>598</v>
      </c>
      <c r="C162" s="227">
        <v>65</v>
      </c>
      <c r="D162" s="227">
        <v>70</v>
      </c>
      <c r="E162" s="227">
        <v>68</v>
      </c>
      <c r="F162" s="227">
        <v>41</v>
      </c>
      <c r="G162" s="227" t="s">
        <v>768</v>
      </c>
      <c r="H162" s="227">
        <v>37</v>
      </c>
      <c r="I162" s="227" t="s">
        <v>771</v>
      </c>
      <c r="J162" s="227">
        <v>35</v>
      </c>
      <c r="K162" s="227">
        <v>69</v>
      </c>
      <c r="L162" s="227">
        <v>2</v>
      </c>
      <c r="M162" s="227">
        <v>316</v>
      </c>
    </row>
    <row r="163" spans="1:13" x14ac:dyDescent="0.15">
      <c r="A163" s="227">
        <v>20528</v>
      </c>
      <c r="B163" s="227" t="s">
        <v>476</v>
      </c>
      <c r="C163" s="227">
        <v>47</v>
      </c>
      <c r="D163" s="227">
        <v>76</v>
      </c>
      <c r="E163" s="227">
        <v>44</v>
      </c>
      <c r="F163" s="227">
        <v>33</v>
      </c>
      <c r="G163" s="227" t="s">
        <v>768</v>
      </c>
      <c r="H163" s="227">
        <v>28</v>
      </c>
      <c r="I163" s="227" t="s">
        <v>771</v>
      </c>
      <c r="J163" s="227">
        <v>9</v>
      </c>
      <c r="K163" s="227">
        <v>153</v>
      </c>
      <c r="L163" s="227">
        <v>10</v>
      </c>
      <c r="M163" s="227">
        <v>237</v>
      </c>
    </row>
    <row r="164" spans="1:13" x14ac:dyDescent="0.15">
      <c r="A164" s="227">
        <v>20529</v>
      </c>
      <c r="B164" s="227" t="s">
        <v>509</v>
      </c>
      <c r="C164" s="227">
        <v>64</v>
      </c>
      <c r="D164" s="227">
        <v>80</v>
      </c>
      <c r="E164" s="227">
        <v>71</v>
      </c>
      <c r="F164" s="227">
        <v>36</v>
      </c>
      <c r="G164" s="227" t="s">
        <v>768</v>
      </c>
      <c r="H164" s="227">
        <v>25</v>
      </c>
      <c r="I164" s="227" t="s">
        <v>771</v>
      </c>
      <c r="J164" s="227">
        <v>17</v>
      </c>
      <c r="K164" s="227">
        <v>95</v>
      </c>
      <c r="L164" s="227">
        <v>4</v>
      </c>
      <c r="M164" s="227">
        <v>293</v>
      </c>
    </row>
    <row r="165" spans="1:13" x14ac:dyDescent="0.15">
      <c r="A165" s="227">
        <v>20530</v>
      </c>
      <c r="B165" s="227" t="s">
        <v>422</v>
      </c>
      <c r="C165" s="227">
        <v>40</v>
      </c>
      <c r="D165" s="227">
        <v>39</v>
      </c>
      <c r="E165" s="227">
        <v>57</v>
      </c>
      <c r="F165" s="227">
        <v>20</v>
      </c>
      <c r="G165" s="227" t="s">
        <v>768</v>
      </c>
      <c r="H165" s="227">
        <v>16</v>
      </c>
      <c r="I165" s="227" t="s">
        <v>771</v>
      </c>
      <c r="J165" s="227">
        <v>25</v>
      </c>
      <c r="K165" s="227">
        <v>204</v>
      </c>
      <c r="L165" s="227">
        <v>18</v>
      </c>
      <c r="M165" s="227">
        <v>197</v>
      </c>
    </row>
    <row r="166" spans="1:13" x14ac:dyDescent="0.15">
      <c r="A166" s="227">
        <v>20531</v>
      </c>
      <c r="B166" s="227" t="s">
        <v>739</v>
      </c>
      <c r="C166" s="227">
        <v>22</v>
      </c>
      <c r="D166" s="227">
        <v>29</v>
      </c>
      <c r="E166" s="227">
        <v>30</v>
      </c>
      <c r="F166" s="227">
        <v>10</v>
      </c>
      <c r="G166" s="227" t="s">
        <v>768</v>
      </c>
      <c r="H166" s="227">
        <v>8</v>
      </c>
      <c r="I166" s="227" t="s">
        <v>770</v>
      </c>
      <c r="J166" s="227">
        <v>11</v>
      </c>
      <c r="K166" s="227">
        <v>299</v>
      </c>
      <c r="L166" s="227">
        <v>30</v>
      </c>
      <c r="M166" s="227">
        <v>110</v>
      </c>
    </row>
    <row r="167" spans="1:13" x14ac:dyDescent="0.15">
      <c r="A167" s="227">
        <v>20601</v>
      </c>
      <c r="B167" s="227" t="s">
        <v>576</v>
      </c>
      <c r="C167" s="227">
        <v>52</v>
      </c>
      <c r="D167" s="227">
        <v>52</v>
      </c>
      <c r="E167" s="227">
        <v>58</v>
      </c>
      <c r="F167" s="227">
        <v>34</v>
      </c>
      <c r="G167" s="227" t="s">
        <v>768</v>
      </c>
      <c r="H167" s="227">
        <v>23</v>
      </c>
      <c r="I167" s="227" t="s">
        <v>771</v>
      </c>
      <c r="J167" s="227">
        <v>39</v>
      </c>
      <c r="K167" s="227">
        <v>132</v>
      </c>
      <c r="L167" s="227">
        <v>6</v>
      </c>
      <c r="M167" s="227">
        <v>258</v>
      </c>
    </row>
    <row r="168" spans="1:13" x14ac:dyDescent="0.15">
      <c r="A168" s="227">
        <v>20602</v>
      </c>
      <c r="B168" s="227" t="s">
        <v>512</v>
      </c>
      <c r="C168" s="227">
        <v>63</v>
      </c>
      <c r="D168" s="227">
        <v>36</v>
      </c>
      <c r="E168" s="227">
        <v>51</v>
      </c>
      <c r="F168" s="227">
        <v>24</v>
      </c>
      <c r="G168" s="227" t="s">
        <v>769</v>
      </c>
      <c r="H168" s="227">
        <v>15</v>
      </c>
      <c r="I168" s="227" t="s">
        <v>768</v>
      </c>
      <c r="J168" s="227">
        <v>16</v>
      </c>
      <c r="K168" s="227">
        <v>192</v>
      </c>
      <c r="L168" s="227">
        <v>15</v>
      </c>
      <c r="M168" s="227">
        <v>205</v>
      </c>
    </row>
    <row r="169" spans="1:13" x14ac:dyDescent="0.15">
      <c r="A169" s="227">
        <v>20603</v>
      </c>
      <c r="B169" s="227" t="s">
        <v>607</v>
      </c>
      <c r="C169" s="227">
        <v>32</v>
      </c>
      <c r="D169" s="227">
        <v>11</v>
      </c>
      <c r="E169" s="227">
        <v>33</v>
      </c>
      <c r="F169" s="227">
        <v>22</v>
      </c>
      <c r="G169" s="227" t="s">
        <v>770</v>
      </c>
      <c r="H169" s="227">
        <v>12</v>
      </c>
      <c r="I169" s="227" t="s">
        <v>771</v>
      </c>
      <c r="J169" s="227">
        <v>13</v>
      </c>
      <c r="K169" s="227">
        <v>290</v>
      </c>
      <c r="L169" s="227">
        <v>27</v>
      </c>
      <c r="M169" s="227">
        <v>123</v>
      </c>
    </row>
    <row r="170" spans="1:13" x14ac:dyDescent="0.15">
      <c r="A170" s="227">
        <v>20604</v>
      </c>
      <c r="B170" s="227" t="s">
        <v>155</v>
      </c>
      <c r="C170" s="227">
        <v>20</v>
      </c>
      <c r="D170" s="227">
        <v>17</v>
      </c>
      <c r="E170" s="227">
        <v>37</v>
      </c>
      <c r="F170" s="227">
        <v>11</v>
      </c>
      <c r="G170" s="227" t="s">
        <v>768</v>
      </c>
      <c r="H170" s="227">
        <v>6</v>
      </c>
      <c r="I170" s="227" t="s">
        <v>771</v>
      </c>
      <c r="J170" s="227">
        <v>8</v>
      </c>
      <c r="K170" s="227">
        <v>304</v>
      </c>
      <c r="L170" s="227">
        <v>29</v>
      </c>
      <c r="M170" s="227">
        <v>99</v>
      </c>
    </row>
    <row r="171" spans="1:13" x14ac:dyDescent="0.15">
      <c r="A171" s="227">
        <v>20605</v>
      </c>
      <c r="B171" s="227" t="s">
        <v>485</v>
      </c>
      <c r="C171" s="227">
        <v>44</v>
      </c>
      <c r="D171" s="227">
        <v>54</v>
      </c>
      <c r="E171" s="227">
        <v>27</v>
      </c>
      <c r="F171" s="227">
        <v>32</v>
      </c>
      <c r="G171" s="227" t="s">
        <v>768</v>
      </c>
      <c r="H171" s="227">
        <v>19</v>
      </c>
      <c r="I171" s="227" t="s">
        <v>771</v>
      </c>
      <c r="J171" s="227">
        <v>10</v>
      </c>
      <c r="K171" s="227">
        <v>225</v>
      </c>
      <c r="L171" s="227">
        <v>20</v>
      </c>
      <c r="M171" s="227">
        <v>186</v>
      </c>
    </row>
    <row r="172" spans="1:13" x14ac:dyDescent="0.15">
      <c r="A172" s="227">
        <v>20606</v>
      </c>
      <c r="B172" s="227" t="s">
        <v>611</v>
      </c>
      <c r="C172" s="227">
        <v>57</v>
      </c>
      <c r="D172" s="227">
        <v>59</v>
      </c>
      <c r="E172" s="227">
        <v>50</v>
      </c>
      <c r="F172" s="227">
        <v>26</v>
      </c>
      <c r="G172" s="227" t="s">
        <v>768</v>
      </c>
      <c r="H172" s="227">
        <v>22</v>
      </c>
      <c r="I172" s="227" t="s">
        <v>771</v>
      </c>
      <c r="J172" s="227">
        <v>14</v>
      </c>
      <c r="K172" s="227">
        <v>159</v>
      </c>
      <c r="L172" s="227">
        <v>9</v>
      </c>
      <c r="M172" s="227">
        <v>228</v>
      </c>
    </row>
    <row r="173" spans="1:13" x14ac:dyDescent="0.15">
      <c r="A173" s="227">
        <v>20607</v>
      </c>
      <c r="B173" s="227" t="s">
        <v>365</v>
      </c>
      <c r="C173" s="227">
        <v>71</v>
      </c>
      <c r="D173" s="227">
        <v>77</v>
      </c>
      <c r="E173" s="227">
        <v>70</v>
      </c>
      <c r="F173" s="227">
        <v>44</v>
      </c>
      <c r="G173" s="227" t="s">
        <v>768</v>
      </c>
      <c r="H173" s="227">
        <v>21</v>
      </c>
      <c r="I173" s="227" t="s">
        <v>771</v>
      </c>
      <c r="J173" s="227">
        <v>11</v>
      </c>
      <c r="K173" s="227">
        <v>93</v>
      </c>
      <c r="L173" s="227">
        <v>3</v>
      </c>
      <c r="M173" s="227">
        <v>294</v>
      </c>
    </row>
    <row r="174" spans="1:13" x14ac:dyDescent="0.15">
      <c r="A174" s="227">
        <v>20608</v>
      </c>
      <c r="B174" s="227" t="s">
        <v>549</v>
      </c>
      <c r="C174" s="227">
        <v>47</v>
      </c>
      <c r="D174" s="227">
        <v>65</v>
      </c>
      <c r="E174" s="227">
        <v>45</v>
      </c>
      <c r="F174" s="227">
        <v>26</v>
      </c>
      <c r="G174" s="227" t="s">
        <v>768</v>
      </c>
      <c r="H174" s="227">
        <v>22</v>
      </c>
      <c r="I174" s="227" t="s">
        <v>771</v>
      </c>
      <c r="J174" s="227">
        <v>16</v>
      </c>
      <c r="K174" s="227">
        <v>166</v>
      </c>
      <c r="L174" s="227">
        <v>10</v>
      </c>
      <c r="M174" s="227">
        <v>221</v>
      </c>
    </row>
    <row r="175" spans="1:13" x14ac:dyDescent="0.15">
      <c r="A175" s="227">
        <v>20609</v>
      </c>
      <c r="B175" s="227" t="s">
        <v>615</v>
      </c>
      <c r="C175" s="227">
        <v>36</v>
      </c>
      <c r="D175" s="227">
        <v>46</v>
      </c>
      <c r="E175" s="227">
        <v>48</v>
      </c>
      <c r="F175" s="227">
        <v>17</v>
      </c>
      <c r="G175" s="227" t="s">
        <v>768</v>
      </c>
      <c r="H175" s="227">
        <v>19</v>
      </c>
      <c r="I175" s="227" t="s">
        <v>771</v>
      </c>
      <c r="J175" s="227">
        <v>11</v>
      </c>
      <c r="K175" s="227">
        <v>237</v>
      </c>
      <c r="L175" s="227">
        <v>22</v>
      </c>
      <c r="M175" s="227">
        <v>177</v>
      </c>
    </row>
    <row r="176" spans="1:13" x14ac:dyDescent="0.15">
      <c r="A176" s="227">
        <v>20610</v>
      </c>
      <c r="B176" s="227" t="s">
        <v>552</v>
      </c>
      <c r="C176" s="227">
        <v>52</v>
      </c>
      <c r="D176" s="227">
        <v>20</v>
      </c>
      <c r="E176" s="227">
        <v>60</v>
      </c>
      <c r="F176" s="227">
        <v>17</v>
      </c>
      <c r="G176" s="227" t="s">
        <v>768</v>
      </c>
      <c r="H176" s="227">
        <v>13</v>
      </c>
      <c r="I176" s="227" t="s">
        <v>771</v>
      </c>
      <c r="J176" s="227">
        <v>6</v>
      </c>
      <c r="K176" s="227">
        <v>245</v>
      </c>
      <c r="L176" s="227">
        <v>23</v>
      </c>
      <c r="M176" s="227">
        <v>168</v>
      </c>
    </row>
    <row r="177" spans="1:13" x14ac:dyDescent="0.15">
      <c r="A177" s="227">
        <v>20611</v>
      </c>
      <c r="B177" s="227" t="s">
        <v>618</v>
      </c>
      <c r="C177" s="227">
        <v>50</v>
      </c>
      <c r="D177" s="227">
        <v>62</v>
      </c>
      <c r="E177" s="227">
        <v>47</v>
      </c>
      <c r="F177" s="227">
        <v>50</v>
      </c>
      <c r="G177" s="227" t="s">
        <v>768</v>
      </c>
      <c r="H177" s="227">
        <v>16</v>
      </c>
      <c r="I177" s="227" t="s">
        <v>771</v>
      </c>
      <c r="J177" s="227">
        <v>33</v>
      </c>
      <c r="K177" s="227">
        <v>132</v>
      </c>
      <c r="L177" s="227">
        <v>6</v>
      </c>
      <c r="M177" s="227">
        <v>258</v>
      </c>
    </row>
    <row r="178" spans="1:13" x14ac:dyDescent="0.15">
      <c r="A178" s="227">
        <v>20612</v>
      </c>
      <c r="B178" s="227" t="s">
        <v>495</v>
      </c>
      <c r="C178" s="227">
        <v>53</v>
      </c>
      <c r="D178" s="227">
        <v>51</v>
      </c>
      <c r="E178" s="227">
        <v>57</v>
      </c>
      <c r="F178" s="227">
        <v>25</v>
      </c>
      <c r="G178" s="227" t="s">
        <v>768</v>
      </c>
      <c r="H178" s="227">
        <v>24</v>
      </c>
      <c r="I178" s="227" t="s">
        <v>771</v>
      </c>
      <c r="J178" s="227">
        <v>10</v>
      </c>
      <c r="K178" s="227">
        <v>167</v>
      </c>
      <c r="L178" s="227">
        <v>11</v>
      </c>
      <c r="M178" s="227">
        <v>220</v>
      </c>
    </row>
    <row r="179" spans="1:13" x14ac:dyDescent="0.15">
      <c r="A179" s="227">
        <v>20613</v>
      </c>
      <c r="B179" s="227" t="s">
        <v>497</v>
      </c>
      <c r="C179" s="227">
        <v>13</v>
      </c>
      <c r="D179" s="227">
        <v>13</v>
      </c>
      <c r="E179" s="227">
        <v>37</v>
      </c>
      <c r="F179" s="227">
        <v>22</v>
      </c>
      <c r="G179" s="227" t="s">
        <v>768</v>
      </c>
      <c r="H179" s="227">
        <v>18</v>
      </c>
      <c r="I179" s="227" t="s">
        <v>771</v>
      </c>
      <c r="J179" s="227">
        <v>20</v>
      </c>
      <c r="K179" s="227">
        <v>290</v>
      </c>
      <c r="L179" s="227">
        <v>27</v>
      </c>
      <c r="M179" s="227">
        <v>123</v>
      </c>
    </row>
    <row r="180" spans="1:13" x14ac:dyDescent="0.15">
      <c r="A180" s="227">
        <v>20614</v>
      </c>
      <c r="B180" s="227" t="s">
        <v>405</v>
      </c>
      <c r="C180" s="227">
        <v>65</v>
      </c>
      <c r="D180" s="227">
        <v>64</v>
      </c>
      <c r="E180" s="227">
        <v>70</v>
      </c>
      <c r="F180" s="227">
        <v>30</v>
      </c>
      <c r="G180" s="227" t="s">
        <v>768</v>
      </c>
      <c r="H180" s="227">
        <v>23</v>
      </c>
      <c r="I180" s="227" t="s">
        <v>771</v>
      </c>
      <c r="J180" s="227">
        <v>30</v>
      </c>
      <c r="K180" s="227">
        <v>109</v>
      </c>
      <c r="L180" s="227">
        <v>5</v>
      </c>
      <c r="M180" s="227">
        <v>282</v>
      </c>
    </row>
    <row r="181" spans="1:13" x14ac:dyDescent="0.15">
      <c r="A181" s="227">
        <v>20615</v>
      </c>
      <c r="B181" s="227" t="s">
        <v>406</v>
      </c>
      <c r="C181" s="227">
        <v>36</v>
      </c>
      <c r="D181" s="227">
        <v>55</v>
      </c>
      <c r="E181" s="227">
        <v>60</v>
      </c>
      <c r="F181" s="227">
        <v>10</v>
      </c>
      <c r="G181" s="227" t="s">
        <v>768</v>
      </c>
      <c r="H181" s="227">
        <v>12</v>
      </c>
      <c r="I181" s="227" t="s">
        <v>771</v>
      </c>
      <c r="J181" s="227">
        <v>15</v>
      </c>
      <c r="K181" s="227">
        <v>222</v>
      </c>
      <c r="L181" s="227">
        <v>18</v>
      </c>
      <c r="M181" s="227">
        <v>188</v>
      </c>
    </row>
    <row r="182" spans="1:13" x14ac:dyDescent="0.15">
      <c r="A182" s="227">
        <v>20616</v>
      </c>
      <c r="B182" s="227" t="s">
        <v>372</v>
      </c>
      <c r="C182" s="227">
        <v>18</v>
      </c>
      <c r="D182" s="227">
        <v>8</v>
      </c>
      <c r="E182" s="227">
        <v>21</v>
      </c>
      <c r="F182" s="227">
        <v>7</v>
      </c>
      <c r="G182" s="227" t="s">
        <v>768</v>
      </c>
      <c r="H182" s="227">
        <v>12</v>
      </c>
      <c r="I182" s="227" t="s">
        <v>771</v>
      </c>
      <c r="J182" s="227">
        <v>10</v>
      </c>
      <c r="K182" s="227">
        <v>323</v>
      </c>
      <c r="L182" s="227">
        <v>31</v>
      </c>
      <c r="M182" s="227">
        <v>76</v>
      </c>
    </row>
    <row r="183" spans="1:13" x14ac:dyDescent="0.15">
      <c r="A183" s="227">
        <v>20617</v>
      </c>
      <c r="B183" s="227" t="s">
        <v>375</v>
      </c>
      <c r="C183" s="227">
        <v>59</v>
      </c>
      <c r="D183" s="227">
        <v>60</v>
      </c>
      <c r="E183" s="227">
        <v>58</v>
      </c>
      <c r="F183" s="227">
        <v>32</v>
      </c>
      <c r="G183" s="227" t="s">
        <v>768</v>
      </c>
      <c r="H183" s="227">
        <v>21</v>
      </c>
      <c r="I183" s="227" t="s">
        <v>771</v>
      </c>
      <c r="J183" s="227">
        <v>27</v>
      </c>
      <c r="K183" s="227">
        <v>135</v>
      </c>
      <c r="L183" s="227">
        <v>8</v>
      </c>
      <c r="M183" s="227">
        <v>257</v>
      </c>
    </row>
    <row r="184" spans="1:13" x14ac:dyDescent="0.15">
      <c r="A184" s="227">
        <v>20618</v>
      </c>
      <c r="B184" s="227" t="s">
        <v>377</v>
      </c>
      <c r="C184" s="227">
        <v>58</v>
      </c>
      <c r="D184" s="227">
        <v>36</v>
      </c>
      <c r="E184" s="227">
        <v>64</v>
      </c>
      <c r="F184" s="227">
        <v>12</v>
      </c>
      <c r="G184" s="227" t="s">
        <v>768</v>
      </c>
      <c r="H184" s="227">
        <v>9</v>
      </c>
      <c r="I184" s="227" t="s">
        <v>771</v>
      </c>
      <c r="J184" s="227">
        <v>9</v>
      </c>
      <c r="K184" s="227">
        <v>222</v>
      </c>
      <c r="L184" s="227">
        <v>18</v>
      </c>
      <c r="M184" s="227">
        <v>188</v>
      </c>
    </row>
    <row r="185" spans="1:13" x14ac:dyDescent="0.15">
      <c r="A185" s="227">
        <v>20619</v>
      </c>
      <c r="B185" s="227" t="s">
        <v>499</v>
      </c>
      <c r="C185" s="227">
        <v>71</v>
      </c>
      <c r="D185" s="227">
        <v>85</v>
      </c>
      <c r="E185" s="227">
        <v>76</v>
      </c>
      <c r="F185" s="227">
        <v>39</v>
      </c>
      <c r="G185" s="227" t="s">
        <v>768</v>
      </c>
      <c r="H185" s="227">
        <v>34</v>
      </c>
      <c r="I185" s="227" t="s">
        <v>771</v>
      </c>
      <c r="J185" s="227">
        <v>48</v>
      </c>
      <c r="K185" s="227">
        <v>31</v>
      </c>
      <c r="L185" s="227">
        <v>1</v>
      </c>
      <c r="M185" s="227">
        <v>353</v>
      </c>
    </row>
    <row r="186" spans="1:13" x14ac:dyDescent="0.15">
      <c r="A186" s="227">
        <v>20620</v>
      </c>
      <c r="B186" s="227" t="s">
        <v>536</v>
      </c>
      <c r="C186" s="227">
        <v>45</v>
      </c>
      <c r="D186" s="227">
        <v>25</v>
      </c>
      <c r="E186" s="227">
        <v>42</v>
      </c>
      <c r="F186" s="227">
        <v>25</v>
      </c>
      <c r="G186" s="227" t="s">
        <v>768</v>
      </c>
      <c r="H186" s="227">
        <v>17</v>
      </c>
      <c r="I186" s="227" t="s">
        <v>771</v>
      </c>
      <c r="J186" s="227">
        <v>8</v>
      </c>
      <c r="K186" s="227">
        <v>251</v>
      </c>
      <c r="L186" s="227">
        <v>24</v>
      </c>
      <c r="M186" s="227">
        <v>162</v>
      </c>
    </row>
    <row r="187" spans="1:13" x14ac:dyDescent="0.15">
      <c r="A187" s="227">
        <v>20621</v>
      </c>
      <c r="B187" s="227" t="s">
        <v>597</v>
      </c>
      <c r="C187" s="227">
        <v>23</v>
      </c>
      <c r="D187" s="227">
        <v>46</v>
      </c>
      <c r="E187" s="227">
        <v>39</v>
      </c>
      <c r="F187" s="227">
        <v>16</v>
      </c>
      <c r="G187" s="227" t="s">
        <v>768</v>
      </c>
      <c r="H187" s="227">
        <v>15</v>
      </c>
      <c r="I187" s="227" t="s">
        <v>771</v>
      </c>
      <c r="J187" s="227">
        <v>10</v>
      </c>
      <c r="K187" s="227">
        <v>267</v>
      </c>
      <c r="L187" s="227">
        <v>25</v>
      </c>
      <c r="M187" s="227">
        <v>149</v>
      </c>
    </row>
    <row r="188" spans="1:13" x14ac:dyDescent="0.15">
      <c r="A188" s="227">
        <v>20622</v>
      </c>
      <c r="B188" s="227" t="s">
        <v>451</v>
      </c>
      <c r="C188" s="227">
        <v>64</v>
      </c>
      <c r="D188" s="227">
        <v>38</v>
      </c>
      <c r="E188" s="227">
        <v>39</v>
      </c>
      <c r="F188" s="227">
        <v>33</v>
      </c>
      <c r="G188" s="227" t="s">
        <v>768</v>
      </c>
      <c r="H188" s="227">
        <v>22</v>
      </c>
      <c r="I188" s="227" t="s">
        <v>771</v>
      </c>
      <c r="J188" s="227">
        <v>17</v>
      </c>
      <c r="K188" s="227">
        <v>177</v>
      </c>
      <c r="L188" s="227">
        <v>12</v>
      </c>
      <c r="M188" s="227">
        <v>213</v>
      </c>
    </row>
    <row r="189" spans="1:13" x14ac:dyDescent="0.15">
      <c r="A189" s="227">
        <v>20623</v>
      </c>
      <c r="B189" s="227" t="s">
        <v>382</v>
      </c>
      <c r="C189" s="227">
        <v>46</v>
      </c>
      <c r="D189" s="227">
        <v>31</v>
      </c>
      <c r="E189" s="227">
        <v>33</v>
      </c>
      <c r="F189" s="227">
        <v>13</v>
      </c>
      <c r="G189" s="227" t="s">
        <v>770</v>
      </c>
      <c r="H189" s="227">
        <v>13</v>
      </c>
      <c r="I189" s="227" t="s">
        <v>771</v>
      </c>
      <c r="J189" s="227">
        <v>13</v>
      </c>
      <c r="K189" s="227">
        <v>267</v>
      </c>
      <c r="L189" s="227">
        <v>25</v>
      </c>
      <c r="M189" s="227">
        <v>149</v>
      </c>
    </row>
    <row r="190" spans="1:13" x14ac:dyDescent="0.15">
      <c r="A190" s="227">
        <v>20624</v>
      </c>
      <c r="B190" s="227" t="s">
        <v>565</v>
      </c>
      <c r="C190" s="227">
        <v>60</v>
      </c>
      <c r="D190" s="227">
        <v>30</v>
      </c>
      <c r="E190" s="227">
        <v>41</v>
      </c>
      <c r="F190" s="227">
        <v>16</v>
      </c>
      <c r="G190" s="227" t="s">
        <v>768</v>
      </c>
      <c r="H190" s="227">
        <v>21</v>
      </c>
      <c r="I190" s="227" t="s">
        <v>771</v>
      </c>
      <c r="J190" s="227">
        <v>12</v>
      </c>
      <c r="K190" s="227">
        <v>232</v>
      </c>
      <c r="L190" s="227">
        <v>21</v>
      </c>
      <c r="M190" s="227">
        <v>180</v>
      </c>
    </row>
    <row r="191" spans="1:13" x14ac:dyDescent="0.15">
      <c r="A191" s="227">
        <v>20625</v>
      </c>
      <c r="B191" s="227" t="s">
        <v>508</v>
      </c>
      <c r="C191" s="227">
        <v>46</v>
      </c>
      <c r="D191" s="227">
        <v>33</v>
      </c>
      <c r="E191" s="227">
        <v>64</v>
      </c>
      <c r="F191" s="227">
        <v>26</v>
      </c>
      <c r="G191" s="227" t="s">
        <v>768</v>
      </c>
      <c r="H191" s="227">
        <v>14</v>
      </c>
      <c r="I191" s="227" t="s">
        <v>771</v>
      </c>
      <c r="J191" s="227">
        <v>20</v>
      </c>
      <c r="K191" s="227">
        <v>194</v>
      </c>
      <c r="L191" s="227">
        <v>16</v>
      </c>
      <c r="M191" s="227">
        <v>203</v>
      </c>
    </row>
    <row r="192" spans="1:13" x14ac:dyDescent="0.15">
      <c r="A192" s="227">
        <v>20626</v>
      </c>
      <c r="B192" s="227" t="s">
        <v>663</v>
      </c>
      <c r="C192" s="227">
        <v>64</v>
      </c>
      <c r="D192" s="227">
        <v>70</v>
      </c>
      <c r="E192" s="227">
        <v>65</v>
      </c>
      <c r="F192" s="227">
        <v>33</v>
      </c>
      <c r="G192" s="227" t="s">
        <v>768</v>
      </c>
      <c r="H192" s="227">
        <v>35</v>
      </c>
      <c r="I192" s="227" t="s">
        <v>771</v>
      </c>
      <c r="J192" s="227">
        <v>27</v>
      </c>
      <c r="K192" s="227">
        <v>93</v>
      </c>
      <c r="L192" s="227">
        <v>3</v>
      </c>
      <c r="M192" s="227">
        <v>294</v>
      </c>
    </row>
    <row r="193" spans="1:13" x14ac:dyDescent="0.15">
      <c r="A193" s="227">
        <v>20627</v>
      </c>
      <c r="B193" s="227" t="s">
        <v>384</v>
      </c>
      <c r="C193" s="227">
        <v>59</v>
      </c>
      <c r="D193" s="227">
        <v>38</v>
      </c>
      <c r="E193" s="227">
        <v>46</v>
      </c>
      <c r="F193" s="227">
        <v>26</v>
      </c>
      <c r="G193" s="227" t="s">
        <v>768</v>
      </c>
      <c r="H193" s="227">
        <v>22</v>
      </c>
      <c r="I193" s="227" t="s">
        <v>771</v>
      </c>
      <c r="J193" s="227">
        <v>21</v>
      </c>
      <c r="K193" s="227">
        <v>180</v>
      </c>
      <c r="L193" s="227">
        <v>13</v>
      </c>
      <c r="M193" s="227">
        <v>212</v>
      </c>
    </row>
    <row r="194" spans="1:13" x14ac:dyDescent="0.15">
      <c r="A194" s="227">
        <v>20628</v>
      </c>
      <c r="B194" s="227" t="s">
        <v>386</v>
      </c>
      <c r="C194" s="227">
        <v>86</v>
      </c>
      <c r="D194" s="227">
        <v>69</v>
      </c>
      <c r="E194" s="227">
        <v>85</v>
      </c>
      <c r="F194" s="227">
        <v>31</v>
      </c>
      <c r="G194" s="227" t="s">
        <v>768</v>
      </c>
      <c r="H194" s="227">
        <v>18</v>
      </c>
      <c r="I194" s="227" t="s">
        <v>771</v>
      </c>
      <c r="J194" s="227">
        <v>43</v>
      </c>
      <c r="K194" s="227">
        <v>46</v>
      </c>
      <c r="L194" s="227">
        <v>2</v>
      </c>
      <c r="M194" s="227">
        <v>332</v>
      </c>
    </row>
    <row r="195" spans="1:13" x14ac:dyDescent="0.15">
      <c r="A195" s="227">
        <v>20629</v>
      </c>
      <c r="B195" s="227" t="s">
        <v>572</v>
      </c>
      <c r="C195" s="227">
        <v>24</v>
      </c>
      <c r="D195" s="227">
        <v>14</v>
      </c>
      <c r="E195" s="227">
        <v>18</v>
      </c>
      <c r="F195" s="227">
        <v>22</v>
      </c>
      <c r="G195" s="227" t="s">
        <v>768</v>
      </c>
      <c r="H195" s="227">
        <v>7</v>
      </c>
      <c r="I195" s="227" t="s">
        <v>771</v>
      </c>
      <c r="J195" s="227">
        <v>12</v>
      </c>
      <c r="K195" s="227">
        <v>305</v>
      </c>
      <c r="L195" s="227">
        <v>30</v>
      </c>
      <c r="M195" s="227">
        <v>97</v>
      </c>
    </row>
    <row r="196" spans="1:13" x14ac:dyDescent="0.15">
      <c r="A196" s="227">
        <v>20630</v>
      </c>
      <c r="B196" s="227" t="s">
        <v>421</v>
      </c>
      <c r="C196" s="227">
        <v>69</v>
      </c>
      <c r="D196" s="227">
        <v>22</v>
      </c>
      <c r="E196" s="227">
        <v>40</v>
      </c>
      <c r="F196" s="227">
        <v>42</v>
      </c>
      <c r="G196" s="227" t="s">
        <v>768</v>
      </c>
      <c r="H196" s="227">
        <v>21</v>
      </c>
      <c r="I196" s="227" t="s">
        <v>771</v>
      </c>
      <c r="J196" s="227">
        <v>14</v>
      </c>
      <c r="K196" s="227">
        <v>186</v>
      </c>
      <c r="L196" s="227">
        <v>14</v>
      </c>
      <c r="M196" s="227">
        <v>208</v>
      </c>
    </row>
    <row r="197" spans="1:13" x14ac:dyDescent="0.15">
      <c r="A197" s="227">
        <v>20631</v>
      </c>
      <c r="B197" s="227" t="s">
        <v>740</v>
      </c>
      <c r="C197" s="227">
        <v>31</v>
      </c>
      <c r="D197" s="227">
        <v>47</v>
      </c>
      <c r="E197" s="227">
        <v>41</v>
      </c>
      <c r="F197" s="227">
        <v>23</v>
      </c>
      <c r="G197" s="227" t="s">
        <v>768</v>
      </c>
      <c r="H197" s="227">
        <v>23</v>
      </c>
      <c r="I197" s="227" t="s">
        <v>771</v>
      </c>
      <c r="J197" s="227">
        <v>31</v>
      </c>
      <c r="K197" s="227">
        <v>206</v>
      </c>
      <c r="L197" s="227">
        <v>17</v>
      </c>
      <c r="M197" s="227">
        <v>196</v>
      </c>
    </row>
    <row r="198" spans="1:13" x14ac:dyDescent="0.15">
      <c r="A198" s="227">
        <v>20701</v>
      </c>
      <c r="B198" s="227" t="s">
        <v>605</v>
      </c>
      <c r="C198" s="227">
        <v>73</v>
      </c>
      <c r="D198" s="227">
        <v>55</v>
      </c>
      <c r="E198" s="227">
        <v>75</v>
      </c>
      <c r="F198" s="227">
        <v>35</v>
      </c>
      <c r="G198" s="227" t="s">
        <v>769</v>
      </c>
      <c r="H198" s="227">
        <v>17</v>
      </c>
      <c r="I198" s="227" t="s">
        <v>768</v>
      </c>
      <c r="J198" s="227">
        <v>31</v>
      </c>
      <c r="K198" s="227">
        <v>103</v>
      </c>
      <c r="L198" s="227">
        <v>7</v>
      </c>
      <c r="M198" s="227">
        <v>286</v>
      </c>
    </row>
    <row r="199" spans="1:13" x14ac:dyDescent="0.15">
      <c r="A199" s="227">
        <v>20702</v>
      </c>
      <c r="B199" s="227" t="s">
        <v>606</v>
      </c>
      <c r="C199" s="227">
        <v>53</v>
      </c>
      <c r="D199" s="227">
        <v>47</v>
      </c>
      <c r="E199" s="227">
        <v>58</v>
      </c>
      <c r="F199" s="227">
        <v>10</v>
      </c>
      <c r="G199" s="227" t="s">
        <v>768</v>
      </c>
      <c r="H199" s="227">
        <v>12</v>
      </c>
      <c r="I199" s="227" t="s">
        <v>771</v>
      </c>
      <c r="J199" s="227">
        <v>29</v>
      </c>
      <c r="K199" s="227">
        <v>184</v>
      </c>
      <c r="L199" s="227">
        <v>15</v>
      </c>
      <c r="M199" s="227">
        <v>209</v>
      </c>
    </row>
    <row r="200" spans="1:13" x14ac:dyDescent="0.15">
      <c r="A200" s="227">
        <v>20703</v>
      </c>
      <c r="B200" s="227" t="s">
        <v>363</v>
      </c>
      <c r="C200" s="227">
        <v>55</v>
      </c>
      <c r="D200" s="227">
        <v>47</v>
      </c>
      <c r="E200" s="227">
        <v>74</v>
      </c>
      <c r="F200" s="227">
        <v>21</v>
      </c>
      <c r="G200" s="227" t="s">
        <v>768</v>
      </c>
      <c r="H200" s="227">
        <v>14</v>
      </c>
      <c r="I200" s="227" t="s">
        <v>771</v>
      </c>
      <c r="J200" s="227">
        <v>14</v>
      </c>
      <c r="K200" s="227">
        <v>161</v>
      </c>
      <c r="L200" s="227">
        <v>12</v>
      </c>
      <c r="M200" s="227">
        <v>225</v>
      </c>
    </row>
    <row r="201" spans="1:13" x14ac:dyDescent="0.15">
      <c r="A201" s="227">
        <v>20704</v>
      </c>
      <c r="B201" s="227" t="s">
        <v>484</v>
      </c>
      <c r="C201" s="227">
        <v>55</v>
      </c>
      <c r="D201" s="227">
        <v>81</v>
      </c>
      <c r="E201" s="227">
        <v>92</v>
      </c>
      <c r="F201" s="227">
        <v>38</v>
      </c>
      <c r="G201" s="227" t="s">
        <v>768</v>
      </c>
      <c r="H201" s="227">
        <v>18</v>
      </c>
      <c r="I201" s="227" t="s">
        <v>771</v>
      </c>
      <c r="J201" s="227">
        <v>28</v>
      </c>
      <c r="K201" s="227">
        <v>80</v>
      </c>
      <c r="L201" s="227">
        <v>4</v>
      </c>
      <c r="M201" s="227">
        <v>312</v>
      </c>
    </row>
    <row r="202" spans="1:13" x14ac:dyDescent="0.15">
      <c r="A202" s="227">
        <v>20705</v>
      </c>
      <c r="B202" s="227" t="s">
        <v>486</v>
      </c>
      <c r="C202" s="227">
        <v>62</v>
      </c>
      <c r="D202" s="227">
        <v>64</v>
      </c>
      <c r="E202" s="227">
        <v>32</v>
      </c>
      <c r="F202" s="227">
        <v>39</v>
      </c>
      <c r="G202" s="227" t="s">
        <v>768</v>
      </c>
      <c r="H202" s="227">
        <v>26</v>
      </c>
      <c r="I202" s="227" t="s">
        <v>771</v>
      </c>
      <c r="J202" s="227">
        <v>36</v>
      </c>
      <c r="K202" s="227">
        <v>131</v>
      </c>
      <c r="L202" s="227">
        <v>10</v>
      </c>
      <c r="M202" s="227">
        <v>259</v>
      </c>
    </row>
    <row r="203" spans="1:13" x14ac:dyDescent="0.15">
      <c r="A203" s="227">
        <v>20706</v>
      </c>
      <c r="B203" s="227" t="s">
        <v>735</v>
      </c>
      <c r="C203" s="227">
        <v>39</v>
      </c>
      <c r="D203" s="227">
        <v>36</v>
      </c>
      <c r="E203" s="227">
        <v>53</v>
      </c>
      <c r="F203" s="227">
        <v>14</v>
      </c>
      <c r="G203" s="227" t="s">
        <v>768</v>
      </c>
      <c r="H203" s="227">
        <v>24</v>
      </c>
      <c r="I203" s="227" t="s">
        <v>771</v>
      </c>
      <c r="J203" s="227">
        <v>25</v>
      </c>
      <c r="K203" s="227">
        <v>217</v>
      </c>
      <c r="L203" s="227">
        <v>23</v>
      </c>
      <c r="M203" s="227">
        <v>191</v>
      </c>
    </row>
    <row r="204" spans="1:13" x14ac:dyDescent="0.15">
      <c r="A204" s="227">
        <v>20707</v>
      </c>
      <c r="B204" s="227" t="s">
        <v>487</v>
      </c>
      <c r="C204" s="227">
        <v>45</v>
      </c>
      <c r="D204" s="227">
        <v>50</v>
      </c>
      <c r="E204" s="227">
        <v>48</v>
      </c>
      <c r="F204" s="227">
        <v>39</v>
      </c>
      <c r="G204" s="227" t="s">
        <v>768</v>
      </c>
      <c r="H204" s="227">
        <v>31</v>
      </c>
      <c r="I204" s="227" t="s">
        <v>771</v>
      </c>
      <c r="J204" s="227">
        <v>31</v>
      </c>
      <c r="K204" s="227">
        <v>151</v>
      </c>
      <c r="L204" s="227">
        <v>11</v>
      </c>
      <c r="M204" s="227">
        <v>244</v>
      </c>
    </row>
    <row r="205" spans="1:13" x14ac:dyDescent="0.15">
      <c r="A205" s="227">
        <v>20708</v>
      </c>
      <c r="B205" s="227" t="s">
        <v>488</v>
      </c>
      <c r="C205" s="227">
        <v>24</v>
      </c>
      <c r="D205" s="227">
        <v>53</v>
      </c>
      <c r="E205" s="227">
        <v>30</v>
      </c>
      <c r="F205" s="227">
        <v>21</v>
      </c>
      <c r="G205" s="227" t="s">
        <v>770</v>
      </c>
      <c r="H205" s="227">
        <v>10</v>
      </c>
      <c r="I205" s="227" t="s">
        <v>771</v>
      </c>
      <c r="J205" s="227">
        <v>21</v>
      </c>
      <c r="K205" s="227">
        <v>258</v>
      </c>
      <c r="L205" s="227">
        <v>27</v>
      </c>
      <c r="M205" s="227">
        <v>159</v>
      </c>
    </row>
    <row r="206" spans="1:13" x14ac:dyDescent="0.15">
      <c r="A206" s="227">
        <v>20709</v>
      </c>
      <c r="B206" s="227" t="s">
        <v>641</v>
      </c>
      <c r="C206" s="227">
        <v>30</v>
      </c>
      <c r="D206" s="227">
        <v>39</v>
      </c>
      <c r="E206" s="227">
        <v>47</v>
      </c>
      <c r="F206" s="227">
        <v>39</v>
      </c>
      <c r="G206" s="227" t="s">
        <v>768</v>
      </c>
      <c r="H206" s="227">
        <v>13</v>
      </c>
      <c r="I206" s="227" t="s">
        <v>771</v>
      </c>
      <c r="J206" s="227">
        <v>25</v>
      </c>
      <c r="K206" s="227">
        <v>215</v>
      </c>
      <c r="L206" s="227">
        <v>22</v>
      </c>
      <c r="M206" s="227">
        <v>193</v>
      </c>
    </row>
    <row r="207" spans="1:13" x14ac:dyDescent="0.15">
      <c r="A207" s="227">
        <v>20710</v>
      </c>
      <c r="B207" s="227" t="s">
        <v>489</v>
      </c>
      <c r="C207" s="227">
        <v>48</v>
      </c>
      <c r="D207" s="227">
        <v>40</v>
      </c>
      <c r="E207" s="227">
        <v>55</v>
      </c>
      <c r="F207" s="227">
        <v>23</v>
      </c>
      <c r="G207" s="227" t="s">
        <v>768</v>
      </c>
      <c r="H207" s="227">
        <v>23</v>
      </c>
      <c r="I207" s="227" t="s">
        <v>771</v>
      </c>
      <c r="J207" s="227">
        <v>14</v>
      </c>
      <c r="K207" s="227">
        <v>194</v>
      </c>
      <c r="L207" s="227">
        <v>17</v>
      </c>
      <c r="M207" s="227">
        <v>203</v>
      </c>
    </row>
    <row r="208" spans="1:13" x14ac:dyDescent="0.15">
      <c r="A208" s="227">
        <v>20711</v>
      </c>
      <c r="B208" s="227" t="s">
        <v>367</v>
      </c>
      <c r="C208" s="227">
        <v>70</v>
      </c>
      <c r="D208" s="227">
        <v>44</v>
      </c>
      <c r="E208" s="227">
        <v>65</v>
      </c>
      <c r="F208" s="227">
        <v>38</v>
      </c>
      <c r="G208" s="227" t="s">
        <v>768</v>
      </c>
      <c r="H208" s="227">
        <v>47</v>
      </c>
      <c r="I208" s="227" t="s">
        <v>771</v>
      </c>
      <c r="J208" s="227">
        <v>50</v>
      </c>
      <c r="K208" s="227">
        <v>73</v>
      </c>
      <c r="L208" s="227">
        <v>3</v>
      </c>
      <c r="M208" s="227">
        <v>314</v>
      </c>
    </row>
    <row r="209" spans="1:13" x14ac:dyDescent="0.15">
      <c r="A209" s="227">
        <v>20712</v>
      </c>
      <c r="B209" s="227" t="s">
        <v>648</v>
      </c>
      <c r="C209" s="227">
        <v>43</v>
      </c>
      <c r="D209" s="227">
        <v>27</v>
      </c>
      <c r="E209" s="227">
        <v>49</v>
      </c>
      <c r="F209" s="227">
        <v>19</v>
      </c>
      <c r="G209" s="227" t="s">
        <v>768</v>
      </c>
      <c r="H209" s="227">
        <v>11</v>
      </c>
      <c r="I209" s="227" t="s">
        <v>771</v>
      </c>
      <c r="J209" s="227">
        <v>10</v>
      </c>
      <c r="K209" s="227">
        <v>258</v>
      </c>
      <c r="L209" s="227">
        <v>27</v>
      </c>
      <c r="M209" s="227">
        <v>159</v>
      </c>
    </row>
    <row r="210" spans="1:13" x14ac:dyDescent="0.15">
      <c r="A210" s="227">
        <v>20713</v>
      </c>
      <c r="B210" s="227" t="s">
        <v>553</v>
      </c>
      <c r="C210" s="227">
        <v>41</v>
      </c>
      <c r="D210" s="227">
        <v>29</v>
      </c>
      <c r="E210" s="227">
        <v>39</v>
      </c>
      <c r="F210" s="227">
        <v>22</v>
      </c>
      <c r="G210" s="227" t="s">
        <v>768</v>
      </c>
      <c r="H210" s="227">
        <v>18</v>
      </c>
      <c r="I210" s="227" t="s">
        <v>771</v>
      </c>
      <c r="J210" s="227">
        <v>12</v>
      </c>
      <c r="K210" s="227">
        <v>254</v>
      </c>
      <c r="L210" s="227">
        <v>26</v>
      </c>
      <c r="M210" s="227">
        <v>161</v>
      </c>
    </row>
    <row r="211" spans="1:13" x14ac:dyDescent="0.15">
      <c r="A211" s="227">
        <v>20714</v>
      </c>
      <c r="B211" s="227" t="s">
        <v>369</v>
      </c>
      <c r="C211" s="227">
        <v>54</v>
      </c>
      <c r="D211" s="227">
        <v>53</v>
      </c>
      <c r="E211" s="227">
        <v>50</v>
      </c>
      <c r="F211" s="227">
        <v>23</v>
      </c>
      <c r="G211" s="227" t="s">
        <v>768</v>
      </c>
      <c r="H211" s="227">
        <v>27</v>
      </c>
      <c r="I211" s="227" t="s">
        <v>771</v>
      </c>
      <c r="J211" s="227">
        <v>18</v>
      </c>
      <c r="K211" s="227">
        <v>161</v>
      </c>
      <c r="L211" s="227">
        <v>12</v>
      </c>
      <c r="M211" s="227">
        <v>225</v>
      </c>
    </row>
    <row r="212" spans="1:13" x14ac:dyDescent="0.15">
      <c r="A212" s="227">
        <v>20715</v>
      </c>
      <c r="B212" s="227" t="s">
        <v>370</v>
      </c>
      <c r="C212" s="227">
        <v>40</v>
      </c>
      <c r="D212" s="227">
        <v>49</v>
      </c>
      <c r="E212" s="227">
        <v>52</v>
      </c>
      <c r="F212" s="227">
        <v>33</v>
      </c>
      <c r="G212" s="227" t="s">
        <v>768</v>
      </c>
      <c r="H212" s="227">
        <v>14</v>
      </c>
      <c r="I212" s="227" t="s">
        <v>771</v>
      </c>
      <c r="J212" s="227">
        <v>27</v>
      </c>
      <c r="K212" s="227">
        <v>173</v>
      </c>
      <c r="L212" s="227">
        <v>14</v>
      </c>
      <c r="M212" s="227">
        <v>215</v>
      </c>
    </row>
    <row r="213" spans="1:13" x14ac:dyDescent="0.15">
      <c r="A213" s="227">
        <v>20716</v>
      </c>
      <c r="B213" s="227" t="s">
        <v>438</v>
      </c>
      <c r="C213" s="227">
        <v>53</v>
      </c>
      <c r="D213" s="227">
        <v>32</v>
      </c>
      <c r="E213" s="227">
        <v>38</v>
      </c>
      <c r="F213" s="227">
        <v>25</v>
      </c>
      <c r="G213" s="227" t="s">
        <v>768</v>
      </c>
      <c r="H213" s="227">
        <v>13</v>
      </c>
      <c r="I213" s="227" t="s">
        <v>771</v>
      </c>
      <c r="J213" s="227">
        <v>12</v>
      </c>
      <c r="K213" s="227">
        <v>239</v>
      </c>
      <c r="L213" s="227">
        <v>24</v>
      </c>
      <c r="M213" s="227">
        <v>173</v>
      </c>
    </row>
    <row r="214" spans="1:13" x14ac:dyDescent="0.15">
      <c r="A214" s="227">
        <v>20717</v>
      </c>
      <c r="B214" s="227" t="s">
        <v>594</v>
      </c>
      <c r="C214" s="227">
        <v>44</v>
      </c>
      <c r="D214" s="227">
        <v>31</v>
      </c>
      <c r="E214" s="227">
        <v>21</v>
      </c>
      <c r="F214" s="227">
        <v>7</v>
      </c>
      <c r="G214" s="227" t="s">
        <v>768</v>
      </c>
      <c r="H214" s="227">
        <v>12</v>
      </c>
      <c r="I214" s="227" t="s">
        <v>771</v>
      </c>
      <c r="J214" s="227">
        <v>10</v>
      </c>
      <c r="K214" s="227">
        <v>288</v>
      </c>
      <c r="L214" s="227">
        <v>30</v>
      </c>
      <c r="M214" s="227">
        <v>125</v>
      </c>
    </row>
    <row r="215" spans="1:13" x14ac:dyDescent="0.15">
      <c r="A215" s="227">
        <v>20718</v>
      </c>
      <c r="B215" s="227" t="s">
        <v>275</v>
      </c>
      <c r="C215" s="227">
        <v>43</v>
      </c>
      <c r="D215" s="227">
        <v>84</v>
      </c>
      <c r="E215" s="227">
        <v>57</v>
      </c>
      <c r="F215" s="227">
        <v>30</v>
      </c>
      <c r="G215" s="227" t="s">
        <v>768</v>
      </c>
      <c r="H215" s="227">
        <v>21</v>
      </c>
      <c r="I215" s="227" t="s">
        <v>771</v>
      </c>
      <c r="J215" s="227">
        <v>28</v>
      </c>
      <c r="K215" s="227">
        <v>126</v>
      </c>
      <c r="L215" s="227">
        <v>9</v>
      </c>
      <c r="M215" s="227">
        <v>263</v>
      </c>
    </row>
    <row r="216" spans="1:13" x14ac:dyDescent="0.15">
      <c r="A216" s="227">
        <v>20719</v>
      </c>
      <c r="B216" s="227" t="s">
        <v>378</v>
      </c>
      <c r="C216" s="227">
        <v>74</v>
      </c>
      <c r="D216" s="227">
        <v>84</v>
      </c>
      <c r="E216" s="227">
        <v>71</v>
      </c>
      <c r="F216" s="227">
        <v>39</v>
      </c>
      <c r="G216" s="227" t="s">
        <v>768</v>
      </c>
      <c r="H216" s="227">
        <v>21</v>
      </c>
      <c r="I216" s="227" t="s">
        <v>771</v>
      </c>
      <c r="J216" s="227">
        <v>34</v>
      </c>
      <c r="K216" s="227">
        <v>56</v>
      </c>
      <c r="L216" s="227">
        <v>1</v>
      </c>
      <c r="M216" s="227">
        <v>323</v>
      </c>
    </row>
    <row r="217" spans="1:13" x14ac:dyDescent="0.15">
      <c r="A217" s="227">
        <v>20720</v>
      </c>
      <c r="B217" s="227" t="s">
        <v>413</v>
      </c>
      <c r="C217" s="227">
        <v>95</v>
      </c>
      <c r="D217" s="227">
        <v>28</v>
      </c>
      <c r="E217" s="227">
        <v>43</v>
      </c>
      <c r="F217" s="227">
        <v>27</v>
      </c>
      <c r="G217" s="227" t="s">
        <v>770</v>
      </c>
      <c r="H217" s="227">
        <v>5</v>
      </c>
      <c r="I217" s="227" t="s">
        <v>771</v>
      </c>
      <c r="K217" s="227">
        <v>203</v>
      </c>
      <c r="L217" s="227">
        <v>19</v>
      </c>
      <c r="M217" s="227">
        <v>198</v>
      </c>
    </row>
    <row r="218" spans="1:13" x14ac:dyDescent="0.15">
      <c r="A218" s="227">
        <v>20721</v>
      </c>
      <c r="B218" s="227" t="s">
        <v>503</v>
      </c>
      <c r="C218" s="227">
        <v>78</v>
      </c>
      <c r="D218" s="227">
        <v>54</v>
      </c>
      <c r="E218" s="227">
        <v>72</v>
      </c>
      <c r="F218" s="227">
        <v>21</v>
      </c>
      <c r="G218" s="227" t="s">
        <v>768</v>
      </c>
      <c r="H218" s="227">
        <v>23</v>
      </c>
      <c r="I218" s="227" t="s">
        <v>771</v>
      </c>
      <c r="J218" s="227">
        <v>44</v>
      </c>
      <c r="K218" s="227">
        <v>97</v>
      </c>
      <c r="L218" s="227">
        <v>6</v>
      </c>
      <c r="M218" s="227">
        <v>292</v>
      </c>
    </row>
    <row r="219" spans="1:13" x14ac:dyDescent="0.15">
      <c r="A219" s="227">
        <v>20722</v>
      </c>
      <c r="B219" s="227" t="s">
        <v>142</v>
      </c>
      <c r="C219" s="227">
        <v>45</v>
      </c>
      <c r="D219" s="227">
        <v>65</v>
      </c>
      <c r="E219" s="227">
        <v>44</v>
      </c>
      <c r="F219" s="227">
        <v>7</v>
      </c>
      <c r="G219" s="227" t="s">
        <v>769</v>
      </c>
      <c r="H219" s="227">
        <v>12</v>
      </c>
      <c r="I219" s="227" t="s">
        <v>768</v>
      </c>
      <c r="J219" s="227">
        <v>21</v>
      </c>
      <c r="K219" s="227">
        <v>212</v>
      </c>
      <c r="L219" s="227">
        <v>21</v>
      </c>
      <c r="M219" s="227">
        <v>194</v>
      </c>
    </row>
    <row r="220" spans="1:13" x14ac:dyDescent="0.15">
      <c r="A220" s="227">
        <v>20723</v>
      </c>
      <c r="B220" s="227" t="s">
        <v>446</v>
      </c>
      <c r="C220" s="227">
        <v>58</v>
      </c>
      <c r="D220" s="227">
        <v>76</v>
      </c>
      <c r="E220" s="227">
        <v>74</v>
      </c>
      <c r="F220" s="227">
        <v>34</v>
      </c>
      <c r="G220" s="227" t="s">
        <v>769</v>
      </c>
      <c r="H220" s="227">
        <v>18</v>
      </c>
      <c r="I220" s="227" t="s">
        <v>768</v>
      </c>
      <c r="J220" s="227">
        <v>17</v>
      </c>
      <c r="K220" s="227">
        <v>114</v>
      </c>
      <c r="L220" s="227">
        <v>8</v>
      </c>
      <c r="M220" s="227">
        <v>277</v>
      </c>
    </row>
    <row r="221" spans="1:13" x14ac:dyDescent="0.15">
      <c r="A221" s="227">
        <v>20724</v>
      </c>
      <c r="B221" s="227" t="s">
        <v>661</v>
      </c>
      <c r="C221" s="227">
        <v>48</v>
      </c>
      <c r="D221" s="227">
        <v>44</v>
      </c>
      <c r="E221" s="227">
        <v>48</v>
      </c>
      <c r="F221" s="227">
        <v>22</v>
      </c>
      <c r="G221" s="227" t="s">
        <v>768</v>
      </c>
      <c r="H221" s="227">
        <v>22</v>
      </c>
      <c r="I221" s="227" t="s">
        <v>771</v>
      </c>
      <c r="J221" s="227">
        <v>11</v>
      </c>
      <c r="K221" s="227">
        <v>211</v>
      </c>
      <c r="L221" s="227">
        <v>20</v>
      </c>
      <c r="M221" s="227">
        <v>195</v>
      </c>
    </row>
    <row r="222" spans="1:13" x14ac:dyDescent="0.15">
      <c r="A222" s="227">
        <v>20725</v>
      </c>
      <c r="B222" s="227" t="s">
        <v>631</v>
      </c>
      <c r="C222" s="227">
        <v>77</v>
      </c>
      <c r="D222" s="227">
        <v>64</v>
      </c>
      <c r="E222" s="227">
        <v>85</v>
      </c>
      <c r="F222" s="227">
        <v>28</v>
      </c>
      <c r="G222" s="227" t="s">
        <v>768</v>
      </c>
      <c r="H222" s="227">
        <v>22</v>
      </c>
      <c r="I222" s="227" t="s">
        <v>771</v>
      </c>
      <c r="J222" s="227">
        <v>23</v>
      </c>
      <c r="K222" s="227">
        <v>88</v>
      </c>
      <c r="L222" s="227">
        <v>5</v>
      </c>
      <c r="M222" s="227">
        <v>299</v>
      </c>
    </row>
    <row r="223" spans="1:13" x14ac:dyDescent="0.15">
      <c r="A223" s="227">
        <v>20726</v>
      </c>
      <c r="B223" s="227" t="s">
        <v>571</v>
      </c>
      <c r="C223" s="227">
        <v>60</v>
      </c>
      <c r="D223" s="227">
        <v>58</v>
      </c>
      <c r="E223" s="227">
        <v>89</v>
      </c>
      <c r="F223" s="227">
        <v>36</v>
      </c>
      <c r="G223" s="227" t="s">
        <v>768</v>
      </c>
      <c r="H223" s="227">
        <v>39</v>
      </c>
      <c r="I223" s="227" t="s">
        <v>771</v>
      </c>
      <c r="J223" s="227">
        <v>39</v>
      </c>
      <c r="K223" s="227">
        <v>59</v>
      </c>
      <c r="L223" s="227">
        <v>2</v>
      </c>
      <c r="M223" s="227">
        <v>321</v>
      </c>
    </row>
    <row r="224" spans="1:13" x14ac:dyDescent="0.15">
      <c r="A224" s="227">
        <v>20727</v>
      </c>
      <c r="B224" s="227" t="s">
        <v>388</v>
      </c>
      <c r="C224" s="227">
        <v>56</v>
      </c>
      <c r="D224" s="227">
        <v>46</v>
      </c>
      <c r="E224" s="227">
        <v>48</v>
      </c>
      <c r="F224" s="227">
        <v>6</v>
      </c>
      <c r="G224" s="227" t="s">
        <v>768</v>
      </c>
      <c r="H224" s="227">
        <v>23</v>
      </c>
      <c r="I224" s="227" t="s">
        <v>771</v>
      </c>
      <c r="J224" s="227">
        <v>23</v>
      </c>
      <c r="K224" s="227">
        <v>198</v>
      </c>
      <c r="L224" s="227">
        <v>18</v>
      </c>
      <c r="M224" s="227">
        <v>202</v>
      </c>
    </row>
    <row r="225" spans="1:13" x14ac:dyDescent="0.15">
      <c r="A225" s="227">
        <v>20728</v>
      </c>
      <c r="B225" s="227" t="s">
        <v>389</v>
      </c>
      <c r="C225" s="227">
        <v>13</v>
      </c>
      <c r="D225" s="227">
        <v>14</v>
      </c>
      <c r="E225" s="227">
        <v>28</v>
      </c>
      <c r="F225" s="227">
        <v>24</v>
      </c>
      <c r="G225" s="227" t="s">
        <v>768</v>
      </c>
      <c r="H225" s="227">
        <v>2</v>
      </c>
      <c r="I225" s="227" t="s">
        <v>771</v>
      </c>
      <c r="J225" s="227">
        <v>16</v>
      </c>
      <c r="K225" s="227">
        <v>305</v>
      </c>
      <c r="L225" s="227">
        <v>31</v>
      </c>
      <c r="M225" s="227">
        <v>97</v>
      </c>
    </row>
    <row r="226" spans="1:13" x14ac:dyDescent="0.15">
      <c r="A226" s="227">
        <v>20729</v>
      </c>
      <c r="B226" s="227" t="s">
        <v>573</v>
      </c>
      <c r="C226" s="227">
        <v>33</v>
      </c>
      <c r="D226" s="227">
        <v>17</v>
      </c>
      <c r="E226" s="227">
        <v>46</v>
      </c>
      <c r="F226" s="227">
        <v>13</v>
      </c>
      <c r="G226" s="227" t="s">
        <v>768</v>
      </c>
      <c r="H226" s="227">
        <v>11</v>
      </c>
      <c r="I226" s="227" t="s">
        <v>771</v>
      </c>
      <c r="J226" s="227">
        <v>6</v>
      </c>
      <c r="K226" s="227">
        <v>287</v>
      </c>
      <c r="L226" s="227">
        <v>29</v>
      </c>
      <c r="M226" s="227">
        <v>126</v>
      </c>
    </row>
    <row r="227" spans="1:13" x14ac:dyDescent="0.15">
      <c r="A227" s="227">
        <v>20730</v>
      </c>
      <c r="B227" s="227" t="s">
        <v>511</v>
      </c>
      <c r="C227" s="227">
        <v>56</v>
      </c>
      <c r="D227" s="227">
        <v>22</v>
      </c>
      <c r="E227" s="227">
        <v>42</v>
      </c>
      <c r="F227" s="227">
        <v>29</v>
      </c>
      <c r="G227" s="227" t="s">
        <v>768</v>
      </c>
      <c r="H227" s="227">
        <v>8</v>
      </c>
      <c r="I227" s="227" t="s">
        <v>771</v>
      </c>
      <c r="J227" s="227">
        <v>15</v>
      </c>
      <c r="K227" s="227">
        <v>242</v>
      </c>
      <c r="L227" s="227">
        <v>25</v>
      </c>
      <c r="M227" s="227">
        <v>172</v>
      </c>
    </row>
    <row r="228" spans="1:13" x14ac:dyDescent="0.15">
      <c r="A228" s="227">
        <v>20731</v>
      </c>
      <c r="B228" s="227" t="s">
        <v>632</v>
      </c>
      <c r="C228" s="227">
        <v>63</v>
      </c>
      <c r="D228" s="227">
        <v>54</v>
      </c>
      <c r="E228" s="227">
        <v>39</v>
      </c>
      <c r="F228" s="227">
        <v>33</v>
      </c>
      <c r="G228" s="227" t="s">
        <v>768</v>
      </c>
      <c r="H228" s="227">
        <v>10</v>
      </c>
      <c r="I228" s="227" t="s">
        <v>771</v>
      </c>
      <c r="J228" s="227">
        <v>10</v>
      </c>
      <c r="K228" s="227">
        <v>184</v>
      </c>
      <c r="L228" s="227">
        <v>15</v>
      </c>
      <c r="M228" s="227">
        <v>209</v>
      </c>
    </row>
    <row r="229" spans="1:13" x14ac:dyDescent="0.15">
      <c r="A229" s="227">
        <v>20801</v>
      </c>
      <c r="B229" s="227" t="s">
        <v>394</v>
      </c>
      <c r="C229" s="227">
        <v>32</v>
      </c>
      <c r="D229" s="227">
        <v>74</v>
      </c>
      <c r="E229" s="227">
        <v>31</v>
      </c>
      <c r="F229" s="227">
        <v>23</v>
      </c>
      <c r="G229" s="227" t="s">
        <v>770</v>
      </c>
      <c r="H229" s="227">
        <v>9</v>
      </c>
      <c r="I229" s="227" t="s">
        <v>771</v>
      </c>
      <c r="J229" s="227">
        <v>15</v>
      </c>
      <c r="K229" s="227">
        <v>226</v>
      </c>
      <c r="L229" s="227">
        <v>29</v>
      </c>
      <c r="M229" s="227">
        <v>184</v>
      </c>
    </row>
    <row r="230" spans="1:13" x14ac:dyDescent="0.15">
      <c r="A230" s="227">
        <v>20803</v>
      </c>
      <c r="B230" s="227" t="s">
        <v>544</v>
      </c>
      <c r="C230" s="227">
        <v>71</v>
      </c>
      <c r="D230" s="227">
        <v>53</v>
      </c>
      <c r="E230" s="227">
        <v>70</v>
      </c>
      <c r="F230" s="227">
        <v>34</v>
      </c>
      <c r="G230" s="227" t="s">
        <v>768</v>
      </c>
      <c r="H230" s="227">
        <v>44</v>
      </c>
      <c r="I230" s="227" t="s">
        <v>771</v>
      </c>
      <c r="J230" s="227">
        <v>41</v>
      </c>
      <c r="K230" s="227">
        <v>75</v>
      </c>
      <c r="L230" s="227">
        <v>14</v>
      </c>
      <c r="M230" s="227">
        <v>313</v>
      </c>
    </row>
    <row r="231" spans="1:13" x14ac:dyDescent="0.15">
      <c r="A231" s="227">
        <v>20804</v>
      </c>
      <c r="B231" s="227" t="s">
        <v>638</v>
      </c>
      <c r="C231" s="227">
        <v>26</v>
      </c>
      <c r="D231" s="227">
        <v>20</v>
      </c>
      <c r="E231" s="227">
        <v>35</v>
      </c>
      <c r="F231" s="227">
        <v>42</v>
      </c>
      <c r="G231" s="227" t="s">
        <v>768</v>
      </c>
      <c r="H231" s="227">
        <v>21</v>
      </c>
      <c r="I231" s="227" t="s">
        <v>771</v>
      </c>
      <c r="J231" s="227">
        <v>39</v>
      </c>
      <c r="K231" s="227">
        <v>227</v>
      </c>
      <c r="L231" s="227">
        <v>30</v>
      </c>
      <c r="M231" s="227">
        <v>183</v>
      </c>
    </row>
    <row r="232" spans="1:13" x14ac:dyDescent="0.15">
      <c r="A232" s="227">
        <v>20805</v>
      </c>
      <c r="B232" s="227" t="s">
        <v>156</v>
      </c>
      <c r="C232" s="227">
        <v>68</v>
      </c>
      <c r="D232" s="227">
        <v>70</v>
      </c>
      <c r="E232" s="227">
        <v>85</v>
      </c>
      <c r="F232" s="227">
        <v>31</v>
      </c>
      <c r="G232" s="227" t="s">
        <v>768</v>
      </c>
      <c r="H232" s="227">
        <v>37</v>
      </c>
      <c r="I232" s="227" t="s">
        <v>771</v>
      </c>
      <c r="J232" s="227">
        <v>36</v>
      </c>
      <c r="K232" s="227">
        <v>52</v>
      </c>
      <c r="L232" s="227">
        <v>10</v>
      </c>
      <c r="M232" s="227">
        <v>327</v>
      </c>
    </row>
    <row r="233" spans="1:13" x14ac:dyDescent="0.15">
      <c r="A233" s="227">
        <v>20806</v>
      </c>
      <c r="B233" s="227" t="s">
        <v>515</v>
      </c>
      <c r="C233" s="227">
        <v>73</v>
      </c>
      <c r="D233" s="227">
        <v>15</v>
      </c>
      <c r="E233" s="227">
        <v>63</v>
      </c>
      <c r="F233" s="227">
        <v>48</v>
      </c>
      <c r="G233" s="227" t="s">
        <v>770</v>
      </c>
      <c r="H233" s="227">
        <v>19</v>
      </c>
      <c r="I233" s="227" t="s">
        <v>771</v>
      </c>
      <c r="J233" s="227">
        <v>31</v>
      </c>
      <c r="K233" s="227">
        <v>145</v>
      </c>
      <c r="L233" s="227">
        <v>24</v>
      </c>
      <c r="M233" s="227">
        <v>249</v>
      </c>
    </row>
    <row r="234" spans="1:13" x14ac:dyDescent="0.15">
      <c r="A234" s="227">
        <v>20807</v>
      </c>
      <c r="B234" s="227" t="s">
        <v>547</v>
      </c>
      <c r="C234" s="227">
        <v>57</v>
      </c>
      <c r="D234" s="227">
        <v>64</v>
      </c>
      <c r="E234" s="227">
        <v>71</v>
      </c>
      <c r="F234" s="227">
        <v>29</v>
      </c>
      <c r="G234" s="227" t="s">
        <v>768</v>
      </c>
      <c r="H234" s="227">
        <v>31</v>
      </c>
      <c r="I234" s="227" t="s">
        <v>771</v>
      </c>
      <c r="J234" s="227">
        <v>41</v>
      </c>
      <c r="K234" s="227">
        <v>95</v>
      </c>
      <c r="L234" s="227">
        <v>18</v>
      </c>
      <c r="M234" s="227">
        <v>293</v>
      </c>
    </row>
    <row r="235" spans="1:13" x14ac:dyDescent="0.15">
      <c r="A235" s="227">
        <v>20808</v>
      </c>
      <c r="B235" s="227" t="s">
        <v>584</v>
      </c>
      <c r="C235" s="227">
        <v>42</v>
      </c>
      <c r="D235" s="227">
        <v>19</v>
      </c>
      <c r="E235" s="227">
        <v>37</v>
      </c>
      <c r="F235" s="227">
        <v>7</v>
      </c>
      <c r="G235" s="227" t="s">
        <v>768</v>
      </c>
      <c r="H235" s="227">
        <v>14</v>
      </c>
      <c r="I235" s="227" t="s">
        <v>771</v>
      </c>
      <c r="J235" s="227">
        <v>21</v>
      </c>
      <c r="K235" s="227">
        <v>275</v>
      </c>
      <c r="L235" s="227">
        <v>32</v>
      </c>
      <c r="M235" s="227">
        <v>140</v>
      </c>
    </row>
    <row r="236" spans="1:13" x14ac:dyDescent="0.15">
      <c r="A236" s="227">
        <v>20809</v>
      </c>
      <c r="B236" s="227" t="s">
        <v>642</v>
      </c>
      <c r="C236" s="227">
        <v>96</v>
      </c>
      <c r="D236" s="227">
        <v>96</v>
      </c>
      <c r="E236" s="227">
        <v>93</v>
      </c>
      <c r="F236" s="227">
        <v>50</v>
      </c>
      <c r="G236" s="227" t="s">
        <v>768</v>
      </c>
      <c r="H236" s="227">
        <v>48</v>
      </c>
      <c r="I236" s="227" t="s">
        <v>771</v>
      </c>
      <c r="J236" s="227">
        <v>42</v>
      </c>
      <c r="K236" s="227">
        <v>1</v>
      </c>
      <c r="L236" s="227">
        <v>1</v>
      </c>
      <c r="M236" s="227">
        <v>425</v>
      </c>
    </row>
    <row r="237" spans="1:13" x14ac:dyDescent="0.15">
      <c r="A237" s="227">
        <v>20810</v>
      </c>
      <c r="B237" s="227" t="s">
        <v>518</v>
      </c>
      <c r="C237" s="227">
        <v>84</v>
      </c>
      <c r="D237" s="227">
        <v>88</v>
      </c>
      <c r="E237" s="227">
        <v>86</v>
      </c>
      <c r="F237" s="227">
        <v>42</v>
      </c>
      <c r="G237" s="227" t="s">
        <v>769</v>
      </c>
      <c r="H237" s="227">
        <v>50</v>
      </c>
      <c r="I237" s="227" t="s">
        <v>771</v>
      </c>
      <c r="J237" s="227">
        <v>47</v>
      </c>
      <c r="K237" s="227">
        <v>8</v>
      </c>
      <c r="L237" s="227">
        <v>3</v>
      </c>
      <c r="M237" s="227">
        <v>397</v>
      </c>
    </row>
    <row r="238" spans="1:13" x14ac:dyDescent="0.15">
      <c r="A238" s="227">
        <v>20811</v>
      </c>
      <c r="B238" s="227" t="s">
        <v>613</v>
      </c>
      <c r="C238" s="227">
        <v>60</v>
      </c>
      <c r="D238" s="227">
        <v>35</v>
      </c>
      <c r="E238" s="227">
        <v>39</v>
      </c>
      <c r="F238" s="227">
        <v>39</v>
      </c>
      <c r="G238" s="227" t="s">
        <v>769</v>
      </c>
      <c r="H238" s="227">
        <v>17</v>
      </c>
      <c r="I238" s="227" t="s">
        <v>771</v>
      </c>
      <c r="J238" s="227">
        <v>10</v>
      </c>
      <c r="K238" s="227">
        <v>200</v>
      </c>
      <c r="L238" s="227">
        <v>28</v>
      </c>
      <c r="M238" s="227">
        <v>200</v>
      </c>
    </row>
    <row r="239" spans="1:13" x14ac:dyDescent="0.15">
      <c r="A239" s="227">
        <v>20812</v>
      </c>
      <c r="B239" s="227" t="s">
        <v>435</v>
      </c>
      <c r="C239" s="227">
        <v>25</v>
      </c>
      <c r="D239" s="227">
        <v>29</v>
      </c>
      <c r="E239" s="227">
        <v>38</v>
      </c>
      <c r="F239" s="227">
        <v>12</v>
      </c>
      <c r="G239" s="227" t="s">
        <v>768</v>
      </c>
      <c r="H239" s="227">
        <v>9</v>
      </c>
      <c r="I239" s="227" t="s">
        <v>771</v>
      </c>
      <c r="J239" s="227">
        <v>9</v>
      </c>
      <c r="K239" s="227">
        <v>294</v>
      </c>
      <c r="L239" s="227">
        <v>33</v>
      </c>
      <c r="M239" s="227">
        <v>122</v>
      </c>
    </row>
    <row r="240" spans="1:13" x14ac:dyDescent="0.15">
      <c r="A240" s="227">
        <v>20814</v>
      </c>
      <c r="B240" s="227" t="s">
        <v>526</v>
      </c>
      <c r="C240" s="227">
        <v>38</v>
      </c>
      <c r="D240" s="227">
        <v>47</v>
      </c>
      <c r="E240" s="227">
        <v>41</v>
      </c>
      <c r="F240" s="227">
        <v>39</v>
      </c>
      <c r="G240" s="227" t="s">
        <v>768</v>
      </c>
      <c r="H240" s="227">
        <v>16</v>
      </c>
      <c r="I240" s="227" t="s">
        <v>771</v>
      </c>
      <c r="J240" s="227">
        <v>21</v>
      </c>
      <c r="K240" s="227">
        <v>198</v>
      </c>
      <c r="L240" s="227">
        <v>27</v>
      </c>
      <c r="M240" s="227">
        <v>202</v>
      </c>
    </row>
    <row r="241" spans="1:13" x14ac:dyDescent="0.15">
      <c r="A241" s="227">
        <v>20815</v>
      </c>
      <c r="B241" s="227" t="s">
        <v>465</v>
      </c>
      <c r="C241" s="227">
        <v>62</v>
      </c>
      <c r="D241" s="227">
        <v>66</v>
      </c>
      <c r="E241" s="227">
        <v>75</v>
      </c>
      <c r="F241" s="227">
        <v>29</v>
      </c>
      <c r="G241" s="227" t="s">
        <v>768</v>
      </c>
      <c r="H241" s="227">
        <v>21</v>
      </c>
      <c r="I241" s="227" t="s">
        <v>771</v>
      </c>
      <c r="J241" s="227">
        <v>27</v>
      </c>
      <c r="K241" s="227">
        <v>112</v>
      </c>
      <c r="L241" s="227">
        <v>21</v>
      </c>
      <c r="M241" s="227">
        <v>280</v>
      </c>
    </row>
    <row r="242" spans="1:13" x14ac:dyDescent="0.15">
      <c r="A242" s="227">
        <v>20816</v>
      </c>
      <c r="B242" s="227" t="s">
        <v>620</v>
      </c>
      <c r="C242" s="227">
        <v>72</v>
      </c>
      <c r="D242" s="227">
        <v>41</v>
      </c>
      <c r="E242" s="227">
        <v>61</v>
      </c>
      <c r="F242" s="227">
        <v>15</v>
      </c>
      <c r="G242" s="227" t="s">
        <v>768</v>
      </c>
      <c r="H242" s="227">
        <v>32</v>
      </c>
      <c r="I242" s="227" t="s">
        <v>771</v>
      </c>
      <c r="J242" s="227">
        <v>35</v>
      </c>
      <c r="K242" s="227">
        <v>139</v>
      </c>
      <c r="L242" s="227">
        <v>23</v>
      </c>
      <c r="M242" s="227">
        <v>256</v>
      </c>
    </row>
    <row r="243" spans="1:13" x14ac:dyDescent="0.15">
      <c r="A243" s="227">
        <v>20817</v>
      </c>
      <c r="B243" s="227" t="s">
        <v>621</v>
      </c>
      <c r="C243" s="227">
        <v>74</v>
      </c>
      <c r="D243" s="227">
        <v>57</v>
      </c>
      <c r="E243" s="227">
        <v>75</v>
      </c>
      <c r="F243" s="227">
        <v>28</v>
      </c>
      <c r="G243" s="227" t="s">
        <v>768</v>
      </c>
      <c r="H243" s="227">
        <v>37</v>
      </c>
      <c r="I243" s="227" t="s">
        <v>771</v>
      </c>
      <c r="J243" s="227">
        <v>43</v>
      </c>
      <c r="K243" s="227">
        <v>73</v>
      </c>
      <c r="L243" s="227">
        <v>13</v>
      </c>
      <c r="M243" s="227">
        <v>314</v>
      </c>
    </row>
    <row r="244" spans="1:13" x14ac:dyDescent="0.15">
      <c r="A244" s="227">
        <v>20818</v>
      </c>
      <c r="B244" s="227" t="s">
        <v>527</v>
      </c>
      <c r="C244" s="227">
        <v>75</v>
      </c>
      <c r="D244" s="227">
        <v>52</v>
      </c>
      <c r="E244" s="227">
        <v>89</v>
      </c>
      <c r="F244" s="227">
        <v>41</v>
      </c>
      <c r="G244" s="227" t="s">
        <v>768</v>
      </c>
      <c r="H244" s="227">
        <v>41</v>
      </c>
      <c r="I244" s="227" t="s">
        <v>771</v>
      </c>
      <c r="J244" s="227">
        <v>47</v>
      </c>
      <c r="K244" s="227">
        <v>34</v>
      </c>
      <c r="L244" s="227">
        <v>8</v>
      </c>
      <c r="M244" s="227">
        <v>345</v>
      </c>
    </row>
    <row r="245" spans="1:13" x14ac:dyDescent="0.15">
      <c r="A245" s="227">
        <v>20819</v>
      </c>
      <c r="B245" s="227" t="s">
        <v>408</v>
      </c>
      <c r="C245" s="227">
        <v>89</v>
      </c>
      <c r="D245" s="227">
        <v>72</v>
      </c>
      <c r="E245" s="227">
        <v>84</v>
      </c>
      <c r="F245" s="227">
        <v>44</v>
      </c>
      <c r="G245" s="227" t="s">
        <v>768</v>
      </c>
      <c r="H245" s="227">
        <v>45</v>
      </c>
      <c r="I245" s="227" t="s">
        <v>771</v>
      </c>
      <c r="J245" s="227">
        <v>48</v>
      </c>
      <c r="K245" s="227">
        <v>15</v>
      </c>
      <c r="L245" s="227">
        <v>4</v>
      </c>
      <c r="M245" s="227">
        <v>382</v>
      </c>
    </row>
    <row r="246" spans="1:13" x14ac:dyDescent="0.15">
      <c r="A246" s="227">
        <v>20820</v>
      </c>
      <c r="B246" s="227" t="s">
        <v>469</v>
      </c>
      <c r="C246" s="227">
        <v>66</v>
      </c>
      <c r="D246" s="227">
        <v>58</v>
      </c>
      <c r="E246" s="227">
        <v>56</v>
      </c>
      <c r="F246" s="227">
        <v>34</v>
      </c>
      <c r="G246" s="227" t="s">
        <v>768</v>
      </c>
      <c r="H246" s="227">
        <v>27</v>
      </c>
      <c r="I246" s="227" t="s">
        <v>771</v>
      </c>
      <c r="J246" s="227">
        <v>32</v>
      </c>
      <c r="K246" s="227">
        <v>118</v>
      </c>
      <c r="L246" s="227">
        <v>22</v>
      </c>
      <c r="M246" s="227">
        <v>273</v>
      </c>
    </row>
    <row r="247" spans="1:13" x14ac:dyDescent="0.15">
      <c r="A247" s="227">
        <v>20821</v>
      </c>
      <c r="B247" s="227" t="s">
        <v>593</v>
      </c>
      <c r="C247" s="227">
        <v>91</v>
      </c>
      <c r="D247" s="227">
        <v>73</v>
      </c>
      <c r="E247" s="227">
        <v>68</v>
      </c>
      <c r="F247" s="227">
        <v>44</v>
      </c>
      <c r="G247" s="227" t="s">
        <v>768</v>
      </c>
      <c r="H247" s="227">
        <v>36</v>
      </c>
      <c r="I247" s="227" t="s">
        <v>771</v>
      </c>
      <c r="J247" s="227">
        <v>42</v>
      </c>
      <c r="K247" s="227">
        <v>29</v>
      </c>
      <c r="L247" s="227">
        <v>7</v>
      </c>
      <c r="M247" s="227">
        <v>354</v>
      </c>
    </row>
    <row r="248" spans="1:13" x14ac:dyDescent="0.15">
      <c r="A248" s="227">
        <v>20822</v>
      </c>
      <c r="B248" s="227" t="s">
        <v>654</v>
      </c>
      <c r="C248" s="227">
        <v>91</v>
      </c>
      <c r="D248" s="227">
        <v>88</v>
      </c>
      <c r="E248" s="227">
        <v>92</v>
      </c>
      <c r="F248" s="227">
        <v>40</v>
      </c>
      <c r="G248" s="227" t="s">
        <v>768</v>
      </c>
      <c r="H248" s="227">
        <v>44</v>
      </c>
      <c r="I248" s="227" t="s">
        <v>771</v>
      </c>
      <c r="J248" s="227">
        <v>45</v>
      </c>
      <c r="K248" s="227">
        <v>6</v>
      </c>
      <c r="L248" s="227">
        <v>2</v>
      </c>
      <c r="M248" s="227">
        <v>400</v>
      </c>
    </row>
    <row r="249" spans="1:13" x14ac:dyDescent="0.15">
      <c r="A249" s="227">
        <v>20823</v>
      </c>
      <c r="B249" s="227" t="s">
        <v>658</v>
      </c>
      <c r="C249" s="227">
        <v>47</v>
      </c>
      <c r="D249" s="227">
        <v>58</v>
      </c>
      <c r="E249" s="227">
        <v>62</v>
      </c>
      <c r="F249" s="227">
        <v>32</v>
      </c>
      <c r="G249" s="227" t="s">
        <v>768</v>
      </c>
      <c r="H249" s="227">
        <v>22</v>
      </c>
      <c r="I249" s="227" t="s">
        <v>771</v>
      </c>
      <c r="J249" s="227">
        <v>25</v>
      </c>
      <c r="K249" s="227">
        <v>149</v>
      </c>
      <c r="L249" s="227">
        <v>25</v>
      </c>
      <c r="M249" s="227">
        <v>246</v>
      </c>
    </row>
    <row r="250" spans="1:13" x14ac:dyDescent="0.15">
      <c r="A250" s="227">
        <v>20824</v>
      </c>
      <c r="B250" s="227" t="s">
        <v>470</v>
      </c>
      <c r="C250" s="227">
        <v>72</v>
      </c>
      <c r="D250" s="227">
        <v>69</v>
      </c>
      <c r="E250" s="227">
        <v>87</v>
      </c>
      <c r="F250" s="227">
        <v>32</v>
      </c>
      <c r="G250" s="227" t="s">
        <v>768</v>
      </c>
      <c r="H250" s="227">
        <v>31</v>
      </c>
      <c r="I250" s="227" t="s">
        <v>771</v>
      </c>
      <c r="J250" s="227">
        <v>43</v>
      </c>
      <c r="K250" s="227">
        <v>44</v>
      </c>
      <c r="L250" s="227">
        <v>9</v>
      </c>
      <c r="M250" s="227">
        <v>334</v>
      </c>
    </row>
    <row r="251" spans="1:13" x14ac:dyDescent="0.15">
      <c r="A251" s="227">
        <v>20825</v>
      </c>
      <c r="B251" s="227" t="s">
        <v>556</v>
      </c>
      <c r="C251" s="227">
        <v>89</v>
      </c>
      <c r="D251" s="227">
        <v>74</v>
      </c>
      <c r="E251" s="227">
        <v>74</v>
      </c>
      <c r="F251" s="227">
        <v>34</v>
      </c>
      <c r="G251" s="227" t="s">
        <v>768</v>
      </c>
      <c r="H251" s="227">
        <v>40</v>
      </c>
      <c r="I251" s="227" t="s">
        <v>771</v>
      </c>
      <c r="J251" s="227">
        <v>45</v>
      </c>
      <c r="K251" s="227">
        <v>27</v>
      </c>
      <c r="L251" s="227">
        <v>6</v>
      </c>
      <c r="M251" s="227">
        <v>356</v>
      </c>
    </row>
    <row r="252" spans="1:13" x14ac:dyDescent="0.15">
      <c r="A252" s="227">
        <v>20826</v>
      </c>
      <c r="B252" s="227" t="s">
        <v>471</v>
      </c>
      <c r="C252" s="227">
        <v>27</v>
      </c>
      <c r="D252" s="227">
        <v>38</v>
      </c>
      <c r="E252" s="227">
        <v>54</v>
      </c>
      <c r="F252" s="227">
        <v>19</v>
      </c>
      <c r="G252" s="227" t="s">
        <v>769</v>
      </c>
      <c r="H252" s="227">
        <v>15</v>
      </c>
      <c r="I252" s="227" t="s">
        <v>770</v>
      </c>
      <c r="J252" s="227">
        <v>9</v>
      </c>
      <c r="K252" s="227">
        <v>251</v>
      </c>
      <c r="L252" s="227">
        <v>31</v>
      </c>
      <c r="M252" s="227">
        <v>162</v>
      </c>
    </row>
    <row r="253" spans="1:13" x14ac:dyDescent="0.15">
      <c r="A253" s="227">
        <v>20827</v>
      </c>
      <c r="B253" s="227" t="s">
        <v>559</v>
      </c>
      <c r="C253" s="227">
        <v>57</v>
      </c>
      <c r="D253" s="227">
        <v>59</v>
      </c>
      <c r="E253" s="227">
        <v>81</v>
      </c>
      <c r="F253" s="227">
        <v>37</v>
      </c>
      <c r="G253" s="227" t="s">
        <v>768</v>
      </c>
      <c r="H253" s="227">
        <v>32</v>
      </c>
      <c r="I253" s="227" t="s">
        <v>771</v>
      </c>
      <c r="J253" s="227">
        <v>43</v>
      </c>
      <c r="K253" s="227">
        <v>82</v>
      </c>
      <c r="L253" s="227">
        <v>16</v>
      </c>
      <c r="M253" s="227">
        <v>309</v>
      </c>
    </row>
    <row r="254" spans="1:13" x14ac:dyDescent="0.15">
      <c r="A254" s="227">
        <v>20828</v>
      </c>
      <c r="B254" s="227" t="s">
        <v>561</v>
      </c>
      <c r="C254" s="227">
        <v>88</v>
      </c>
      <c r="D254" s="227">
        <v>60</v>
      </c>
      <c r="E254" s="227">
        <v>79</v>
      </c>
      <c r="F254" s="227">
        <v>45</v>
      </c>
      <c r="G254" s="227" t="s">
        <v>768</v>
      </c>
      <c r="H254" s="227">
        <v>45</v>
      </c>
      <c r="I254" s="227" t="s">
        <v>771</v>
      </c>
      <c r="J254" s="227">
        <v>47</v>
      </c>
      <c r="K254" s="227">
        <v>23</v>
      </c>
      <c r="L254" s="227">
        <v>5</v>
      </c>
      <c r="M254" s="227">
        <v>364</v>
      </c>
    </row>
    <row r="255" spans="1:13" x14ac:dyDescent="0.15">
      <c r="A255" s="227">
        <v>20829</v>
      </c>
      <c r="B255" s="227" t="s">
        <v>599</v>
      </c>
      <c r="C255" s="227">
        <v>84</v>
      </c>
      <c r="D255" s="227">
        <v>65</v>
      </c>
      <c r="E255" s="227">
        <v>79</v>
      </c>
      <c r="F255" s="227">
        <v>14</v>
      </c>
      <c r="G255" s="227" t="s">
        <v>771</v>
      </c>
      <c r="H255" s="227">
        <v>42</v>
      </c>
      <c r="I255" s="227" t="s">
        <v>768</v>
      </c>
      <c r="J255" s="227">
        <v>39</v>
      </c>
      <c r="K255" s="227">
        <v>56</v>
      </c>
      <c r="L255" s="227">
        <v>11</v>
      </c>
      <c r="M255" s="227">
        <v>323</v>
      </c>
    </row>
    <row r="256" spans="1:13" x14ac:dyDescent="0.15">
      <c r="A256" s="227">
        <v>20830</v>
      </c>
      <c r="B256" s="227" t="s">
        <v>563</v>
      </c>
      <c r="C256" s="227">
        <v>74</v>
      </c>
      <c r="D256" s="227">
        <v>52</v>
      </c>
      <c r="E256" s="227">
        <v>44</v>
      </c>
      <c r="F256" s="227">
        <v>33</v>
      </c>
      <c r="G256" s="227" t="s">
        <v>771</v>
      </c>
      <c r="H256" s="227">
        <v>12</v>
      </c>
      <c r="I256" s="227" t="s">
        <v>768</v>
      </c>
      <c r="J256" s="227">
        <v>9</v>
      </c>
      <c r="K256" s="227">
        <v>164</v>
      </c>
      <c r="L256" s="227">
        <v>26</v>
      </c>
      <c r="M256" s="227">
        <v>224</v>
      </c>
    </row>
    <row r="257" spans="1:13" x14ac:dyDescent="0.15">
      <c r="A257" s="227">
        <v>20831</v>
      </c>
      <c r="B257" s="227" t="s">
        <v>631</v>
      </c>
      <c r="C257" s="227">
        <v>61</v>
      </c>
      <c r="D257" s="227">
        <v>72</v>
      </c>
      <c r="E257" s="227">
        <v>60</v>
      </c>
      <c r="F257" s="227">
        <v>40</v>
      </c>
      <c r="G257" s="227" t="s">
        <v>768</v>
      </c>
      <c r="H257" s="227">
        <v>43</v>
      </c>
      <c r="I257" s="227" t="s">
        <v>771</v>
      </c>
      <c r="J257" s="227">
        <v>37</v>
      </c>
      <c r="K257" s="227">
        <v>75</v>
      </c>
      <c r="L257" s="227">
        <v>14</v>
      </c>
      <c r="M257" s="227">
        <v>313</v>
      </c>
    </row>
    <row r="258" spans="1:13" x14ac:dyDescent="0.15">
      <c r="A258" s="227">
        <v>20832</v>
      </c>
      <c r="B258" s="227" t="s">
        <v>507</v>
      </c>
      <c r="C258" s="227">
        <v>47</v>
      </c>
      <c r="D258" s="227">
        <v>80</v>
      </c>
      <c r="E258" s="227">
        <v>54</v>
      </c>
      <c r="F258" s="227">
        <v>34</v>
      </c>
      <c r="G258" s="227" t="s">
        <v>768</v>
      </c>
      <c r="H258" s="227">
        <v>36</v>
      </c>
      <c r="I258" s="227" t="s">
        <v>771</v>
      </c>
      <c r="J258" s="227">
        <v>30</v>
      </c>
      <c r="K258" s="227">
        <v>110</v>
      </c>
      <c r="L258" s="227">
        <v>19</v>
      </c>
      <c r="M258" s="227">
        <v>281</v>
      </c>
    </row>
    <row r="259" spans="1:13" x14ac:dyDescent="0.15">
      <c r="A259" s="227">
        <v>20833</v>
      </c>
      <c r="B259" s="227" t="s">
        <v>570</v>
      </c>
      <c r="C259" s="227">
        <v>42</v>
      </c>
      <c r="D259" s="227">
        <v>62</v>
      </c>
      <c r="E259" s="227">
        <v>57</v>
      </c>
      <c r="F259" s="227">
        <v>39</v>
      </c>
      <c r="G259" s="227" t="s">
        <v>768</v>
      </c>
      <c r="H259" s="227">
        <v>33</v>
      </c>
      <c r="I259" s="227" t="s">
        <v>771</v>
      </c>
      <c r="J259" s="227">
        <v>48</v>
      </c>
      <c r="K259" s="227">
        <v>110</v>
      </c>
      <c r="L259" s="227">
        <v>19</v>
      </c>
      <c r="M259" s="227">
        <v>281</v>
      </c>
    </row>
    <row r="260" spans="1:13" x14ac:dyDescent="0.15">
      <c r="A260" s="227">
        <v>20835</v>
      </c>
      <c r="B260" s="227" t="s">
        <v>387</v>
      </c>
      <c r="C260" s="227">
        <v>67</v>
      </c>
      <c r="D260" s="227">
        <v>72</v>
      </c>
      <c r="E260" s="227">
        <v>67</v>
      </c>
      <c r="F260" s="227">
        <v>31</v>
      </c>
      <c r="G260" s="227" t="s">
        <v>768</v>
      </c>
      <c r="H260" s="227">
        <v>33</v>
      </c>
      <c r="I260" s="227" t="s">
        <v>771</v>
      </c>
      <c r="J260" s="227">
        <v>50</v>
      </c>
      <c r="K260" s="227">
        <v>64</v>
      </c>
      <c r="L260" s="227">
        <v>12</v>
      </c>
      <c r="M260" s="227">
        <v>320</v>
      </c>
    </row>
    <row r="261" spans="1:13" x14ac:dyDescent="0.15">
      <c r="A261" s="227">
        <v>20836</v>
      </c>
      <c r="B261" s="227" t="s">
        <v>390</v>
      </c>
      <c r="C261" s="227">
        <v>45</v>
      </c>
      <c r="D261" s="227">
        <v>77</v>
      </c>
      <c r="E261" s="227">
        <v>52</v>
      </c>
      <c r="F261" s="227">
        <v>41</v>
      </c>
      <c r="G261" s="227" t="s">
        <v>768</v>
      </c>
      <c r="H261" s="227">
        <v>44</v>
      </c>
      <c r="I261" s="227" t="s">
        <v>771</v>
      </c>
      <c r="J261" s="227">
        <v>40</v>
      </c>
      <c r="K261" s="227">
        <v>88</v>
      </c>
      <c r="L261" s="227">
        <v>17</v>
      </c>
      <c r="M261" s="227">
        <v>299</v>
      </c>
    </row>
    <row r="262" spans="1:13" x14ac:dyDescent="0.15">
      <c r="A262" s="227">
        <v>20901</v>
      </c>
      <c r="B262" s="227" t="s">
        <v>424</v>
      </c>
      <c r="C262" s="227">
        <v>72</v>
      </c>
      <c r="D262" s="227">
        <v>57</v>
      </c>
      <c r="E262" s="227">
        <v>79</v>
      </c>
      <c r="F262" s="227">
        <v>32</v>
      </c>
      <c r="G262" s="227" t="s">
        <v>768</v>
      </c>
      <c r="H262" s="227">
        <v>39</v>
      </c>
      <c r="I262" s="227" t="s">
        <v>771</v>
      </c>
      <c r="J262" s="227">
        <v>41</v>
      </c>
      <c r="K262" s="227">
        <v>64</v>
      </c>
      <c r="L262" s="227">
        <v>14</v>
      </c>
      <c r="M262" s="227">
        <v>320</v>
      </c>
    </row>
    <row r="263" spans="1:13" x14ac:dyDescent="0.15">
      <c r="A263" s="227">
        <v>20902</v>
      </c>
      <c r="B263" s="227" t="s">
        <v>636</v>
      </c>
      <c r="C263" s="227">
        <v>75</v>
      </c>
      <c r="D263" s="227">
        <v>55</v>
      </c>
      <c r="E263" s="227">
        <v>50</v>
      </c>
      <c r="F263" s="227">
        <v>35</v>
      </c>
      <c r="G263" s="227" t="s">
        <v>768</v>
      </c>
      <c r="H263" s="227">
        <v>20</v>
      </c>
      <c r="I263" s="227" t="s">
        <v>771</v>
      </c>
      <c r="J263" s="227">
        <v>38</v>
      </c>
      <c r="K263" s="227">
        <v>118</v>
      </c>
      <c r="L263" s="227">
        <v>22</v>
      </c>
      <c r="M263" s="227">
        <v>273</v>
      </c>
    </row>
    <row r="264" spans="1:13" x14ac:dyDescent="0.15">
      <c r="A264" s="227">
        <v>20903</v>
      </c>
      <c r="B264" s="227" t="s">
        <v>542</v>
      </c>
      <c r="C264" s="227">
        <v>70</v>
      </c>
      <c r="D264" s="227">
        <v>41</v>
      </c>
      <c r="E264" s="227">
        <v>42</v>
      </c>
      <c r="F264" s="227">
        <v>35</v>
      </c>
      <c r="G264" s="227" t="s">
        <v>769</v>
      </c>
      <c r="H264" s="227">
        <v>12</v>
      </c>
      <c r="I264" s="227" t="s">
        <v>771</v>
      </c>
      <c r="J264" s="227">
        <v>27</v>
      </c>
      <c r="K264" s="227">
        <v>160</v>
      </c>
      <c r="L264" s="227">
        <v>26</v>
      </c>
      <c r="M264" s="227">
        <v>227</v>
      </c>
    </row>
    <row r="265" spans="1:13" x14ac:dyDescent="0.15">
      <c r="A265" s="227">
        <v>20904</v>
      </c>
      <c r="B265" s="227" t="s">
        <v>360</v>
      </c>
      <c r="C265" s="227">
        <v>89</v>
      </c>
      <c r="D265" s="227">
        <v>60</v>
      </c>
      <c r="E265" s="227">
        <v>65</v>
      </c>
      <c r="F265" s="227">
        <v>37</v>
      </c>
      <c r="G265" s="227" t="s">
        <v>768</v>
      </c>
      <c r="H265" s="227">
        <v>24</v>
      </c>
      <c r="I265" s="227" t="s">
        <v>771</v>
      </c>
      <c r="J265" s="227">
        <v>38</v>
      </c>
      <c r="K265" s="227">
        <v>75</v>
      </c>
      <c r="L265" s="227">
        <v>16</v>
      </c>
      <c r="M265" s="227">
        <v>313</v>
      </c>
    </row>
    <row r="266" spans="1:13" x14ac:dyDescent="0.15">
      <c r="A266" s="227">
        <v>20905</v>
      </c>
      <c r="B266" s="227" t="s">
        <v>457</v>
      </c>
      <c r="C266" s="227">
        <v>58</v>
      </c>
      <c r="D266" s="227">
        <v>69</v>
      </c>
      <c r="E266" s="227">
        <v>46</v>
      </c>
      <c r="F266" s="227">
        <v>23</v>
      </c>
      <c r="G266" s="227" t="s">
        <v>768</v>
      </c>
      <c r="H266" s="227">
        <v>30</v>
      </c>
      <c r="I266" s="227" t="s">
        <v>771</v>
      </c>
      <c r="J266" s="227">
        <v>46</v>
      </c>
      <c r="K266" s="227">
        <v>120</v>
      </c>
      <c r="L266" s="227">
        <v>23</v>
      </c>
      <c r="M266" s="227">
        <v>272</v>
      </c>
    </row>
    <row r="267" spans="1:13" x14ac:dyDescent="0.15">
      <c r="A267" s="227">
        <v>20906</v>
      </c>
      <c r="B267" s="227" t="s">
        <v>427</v>
      </c>
      <c r="C267" s="227">
        <v>26</v>
      </c>
      <c r="D267" s="227">
        <v>20</v>
      </c>
      <c r="E267" s="227">
        <v>30</v>
      </c>
      <c r="F267" s="227">
        <v>13</v>
      </c>
      <c r="G267" s="227" t="s">
        <v>768</v>
      </c>
      <c r="H267" s="227">
        <v>3</v>
      </c>
      <c r="I267" s="227" t="s">
        <v>771</v>
      </c>
      <c r="J267" s="227">
        <v>19</v>
      </c>
      <c r="K267" s="227">
        <v>298</v>
      </c>
      <c r="L267" s="227">
        <v>34</v>
      </c>
      <c r="M267" s="227">
        <v>111</v>
      </c>
    </row>
    <row r="268" spans="1:13" x14ac:dyDescent="0.15">
      <c r="A268" s="227">
        <v>20907</v>
      </c>
      <c r="B268" s="227" t="s">
        <v>545</v>
      </c>
      <c r="C268" s="227">
        <v>37</v>
      </c>
      <c r="D268" s="227">
        <v>47</v>
      </c>
      <c r="E268" s="227">
        <v>57</v>
      </c>
      <c r="F268" s="227">
        <v>8</v>
      </c>
      <c r="G268" s="227" t="s">
        <v>768</v>
      </c>
      <c r="H268" s="227">
        <v>22</v>
      </c>
      <c r="I268" s="227" t="s">
        <v>771</v>
      </c>
      <c r="J268" s="227">
        <v>26</v>
      </c>
      <c r="K268" s="227">
        <v>204</v>
      </c>
      <c r="L268" s="227">
        <v>29</v>
      </c>
      <c r="M268" s="227">
        <v>197</v>
      </c>
    </row>
    <row r="269" spans="1:13" x14ac:dyDescent="0.15">
      <c r="A269" s="227">
        <v>20908</v>
      </c>
      <c r="B269" s="227" t="s">
        <v>610</v>
      </c>
      <c r="C269" s="227">
        <v>36</v>
      </c>
      <c r="D269" s="227">
        <v>32</v>
      </c>
      <c r="E269" s="227">
        <v>52</v>
      </c>
      <c r="F269" s="227">
        <v>14</v>
      </c>
      <c r="G269" s="227" t="s">
        <v>768</v>
      </c>
      <c r="H269" s="227">
        <v>19</v>
      </c>
      <c r="I269" s="227" t="s">
        <v>771</v>
      </c>
      <c r="J269" s="227">
        <v>12</v>
      </c>
      <c r="K269" s="227">
        <v>248</v>
      </c>
      <c r="L269" s="227">
        <v>33</v>
      </c>
      <c r="M269" s="227">
        <v>165</v>
      </c>
    </row>
    <row r="270" spans="1:13" x14ac:dyDescent="0.15">
      <c r="A270" s="227">
        <v>20909</v>
      </c>
      <c r="B270" s="227" t="s">
        <v>430</v>
      </c>
      <c r="C270" s="227">
        <v>53</v>
      </c>
      <c r="D270" s="227">
        <v>17</v>
      </c>
      <c r="E270" s="227">
        <v>51</v>
      </c>
      <c r="F270" s="227">
        <v>19</v>
      </c>
      <c r="G270" s="227" t="s">
        <v>768</v>
      </c>
      <c r="H270" s="227">
        <v>17</v>
      </c>
      <c r="I270" s="227" t="s">
        <v>771</v>
      </c>
      <c r="J270" s="227">
        <v>26</v>
      </c>
      <c r="K270" s="227">
        <v>227</v>
      </c>
      <c r="L270" s="227">
        <v>31</v>
      </c>
      <c r="M270" s="227">
        <v>183</v>
      </c>
    </row>
    <row r="271" spans="1:13" x14ac:dyDescent="0.15">
      <c r="A271" s="227">
        <v>20911</v>
      </c>
      <c r="B271" s="227" t="s">
        <v>431</v>
      </c>
      <c r="C271" s="227">
        <v>63</v>
      </c>
      <c r="D271" s="227">
        <v>26</v>
      </c>
      <c r="E271" s="227">
        <v>45</v>
      </c>
      <c r="F271" s="227">
        <v>25</v>
      </c>
      <c r="G271" s="227" t="s">
        <v>768</v>
      </c>
      <c r="H271" s="227">
        <v>22</v>
      </c>
      <c r="I271" s="227" t="s">
        <v>771</v>
      </c>
      <c r="J271" s="227">
        <v>13</v>
      </c>
      <c r="K271" s="227">
        <v>212</v>
      </c>
      <c r="L271" s="227">
        <v>30</v>
      </c>
      <c r="M271" s="227">
        <v>194</v>
      </c>
    </row>
    <row r="272" spans="1:13" x14ac:dyDescent="0.15">
      <c r="A272" s="227">
        <v>20912</v>
      </c>
      <c r="B272" s="227" t="s">
        <v>366</v>
      </c>
      <c r="C272" s="227">
        <v>71</v>
      </c>
      <c r="D272" s="227">
        <v>72</v>
      </c>
      <c r="E272" s="227">
        <v>77</v>
      </c>
      <c r="F272" s="227">
        <v>36</v>
      </c>
      <c r="G272" s="227" t="s">
        <v>768</v>
      </c>
      <c r="H272" s="227">
        <v>29</v>
      </c>
      <c r="I272" s="227" t="s">
        <v>771</v>
      </c>
      <c r="J272" s="227">
        <v>38</v>
      </c>
      <c r="K272" s="227">
        <v>56</v>
      </c>
      <c r="L272" s="227">
        <v>12</v>
      </c>
      <c r="M272" s="227">
        <v>323</v>
      </c>
    </row>
    <row r="273" spans="1:13" x14ac:dyDescent="0.15">
      <c r="A273" s="227">
        <v>20913</v>
      </c>
      <c r="B273" s="227" t="s">
        <v>548</v>
      </c>
      <c r="C273" s="227">
        <v>60</v>
      </c>
      <c r="D273" s="227">
        <v>70</v>
      </c>
      <c r="E273" s="227">
        <v>60</v>
      </c>
      <c r="F273" s="227">
        <v>26</v>
      </c>
      <c r="G273" s="227" t="s">
        <v>768</v>
      </c>
      <c r="H273" s="227">
        <v>29</v>
      </c>
      <c r="I273" s="227" t="s">
        <v>771</v>
      </c>
      <c r="J273" s="227">
        <v>40</v>
      </c>
      <c r="K273" s="227">
        <v>105</v>
      </c>
      <c r="L273" s="227">
        <v>21</v>
      </c>
      <c r="M273" s="227">
        <v>285</v>
      </c>
    </row>
    <row r="274" spans="1:13" x14ac:dyDescent="0.15">
      <c r="A274" s="227">
        <v>20914</v>
      </c>
      <c r="B274" s="227" t="s">
        <v>551</v>
      </c>
      <c r="C274" s="227">
        <v>80</v>
      </c>
      <c r="D274" s="227">
        <v>76</v>
      </c>
      <c r="E274" s="227">
        <v>84</v>
      </c>
      <c r="F274" s="227">
        <v>28</v>
      </c>
      <c r="G274" s="227" t="s">
        <v>768</v>
      </c>
      <c r="H274" s="227">
        <v>35</v>
      </c>
      <c r="I274" s="227" t="s">
        <v>771</v>
      </c>
      <c r="J274" s="227">
        <v>48</v>
      </c>
      <c r="K274" s="227">
        <v>32</v>
      </c>
      <c r="L274" s="227">
        <v>7</v>
      </c>
      <c r="M274" s="227">
        <v>351</v>
      </c>
    </row>
    <row r="275" spans="1:13" x14ac:dyDescent="0.15">
      <c r="A275" s="227">
        <v>20915</v>
      </c>
      <c r="B275" s="227" t="s">
        <v>617</v>
      </c>
      <c r="C275" s="227">
        <v>88</v>
      </c>
      <c r="D275" s="227">
        <v>48</v>
      </c>
      <c r="E275" s="227">
        <v>86</v>
      </c>
      <c r="F275" s="227">
        <v>31</v>
      </c>
      <c r="G275" s="227" t="s">
        <v>768</v>
      </c>
      <c r="H275" s="227">
        <v>17</v>
      </c>
      <c r="I275" s="227" t="s">
        <v>771</v>
      </c>
      <c r="J275" s="227">
        <v>33</v>
      </c>
      <c r="K275" s="227">
        <v>86</v>
      </c>
      <c r="L275" s="227">
        <v>18</v>
      </c>
      <c r="M275" s="227">
        <v>303</v>
      </c>
    </row>
    <row r="276" spans="1:13" x14ac:dyDescent="0.15">
      <c r="A276" s="227">
        <v>20916</v>
      </c>
      <c r="B276" s="227" t="s">
        <v>524</v>
      </c>
      <c r="C276" s="227">
        <v>85</v>
      </c>
      <c r="D276" s="227">
        <v>92</v>
      </c>
      <c r="E276" s="227">
        <v>94</v>
      </c>
      <c r="F276" s="227">
        <v>47</v>
      </c>
      <c r="G276" s="227" t="s">
        <v>768</v>
      </c>
      <c r="H276" s="227">
        <v>44</v>
      </c>
      <c r="I276" s="227" t="s">
        <v>771</v>
      </c>
      <c r="J276" s="227">
        <v>50</v>
      </c>
      <c r="K276" s="227">
        <v>5</v>
      </c>
      <c r="L276" s="227">
        <v>2</v>
      </c>
      <c r="M276" s="227">
        <v>412</v>
      </c>
    </row>
    <row r="277" spans="1:13" x14ac:dyDescent="0.15">
      <c r="A277" s="227">
        <v>20917</v>
      </c>
      <c r="B277" s="227" t="s">
        <v>437</v>
      </c>
      <c r="C277" s="227">
        <v>72</v>
      </c>
      <c r="D277" s="227">
        <v>89</v>
      </c>
      <c r="E277" s="227">
        <v>47</v>
      </c>
      <c r="F277" s="227">
        <v>26</v>
      </c>
      <c r="G277" s="227" t="s">
        <v>768</v>
      </c>
      <c r="H277" s="227">
        <v>44</v>
      </c>
      <c r="I277" s="227" t="s">
        <v>771</v>
      </c>
      <c r="J277" s="227">
        <v>46</v>
      </c>
      <c r="K277" s="227">
        <v>54</v>
      </c>
      <c r="L277" s="227">
        <v>11</v>
      </c>
      <c r="M277" s="227">
        <v>324</v>
      </c>
    </row>
    <row r="278" spans="1:13" x14ac:dyDescent="0.15">
      <c r="A278" s="227">
        <v>20918</v>
      </c>
      <c r="B278" s="227" t="s">
        <v>496</v>
      </c>
      <c r="C278" s="227">
        <v>75</v>
      </c>
      <c r="D278" s="227">
        <v>72</v>
      </c>
      <c r="E278" s="227">
        <v>73</v>
      </c>
      <c r="F278" s="227">
        <v>27</v>
      </c>
      <c r="G278" s="227" t="s">
        <v>768</v>
      </c>
      <c r="H278" s="227">
        <v>41</v>
      </c>
      <c r="I278" s="227" t="s">
        <v>771</v>
      </c>
      <c r="J278" s="227">
        <v>47</v>
      </c>
      <c r="K278" s="227">
        <v>42</v>
      </c>
      <c r="L278" s="227">
        <v>9</v>
      </c>
      <c r="M278" s="227">
        <v>335</v>
      </c>
    </row>
    <row r="279" spans="1:13" x14ac:dyDescent="0.15">
      <c r="A279" s="227">
        <v>20919</v>
      </c>
      <c r="B279" s="227" t="s">
        <v>622</v>
      </c>
      <c r="C279" s="227">
        <v>80</v>
      </c>
      <c r="D279" s="227">
        <v>54</v>
      </c>
      <c r="E279" s="227">
        <v>50</v>
      </c>
      <c r="F279" s="227">
        <v>45</v>
      </c>
      <c r="G279" s="227" t="s">
        <v>768</v>
      </c>
      <c r="H279" s="227">
        <v>34</v>
      </c>
      <c r="I279" s="227" t="s">
        <v>771</v>
      </c>
      <c r="J279" s="227">
        <v>37</v>
      </c>
      <c r="K279" s="227">
        <v>87</v>
      </c>
      <c r="L279" s="227">
        <v>19</v>
      </c>
      <c r="M279" s="227">
        <v>300</v>
      </c>
    </row>
    <row r="280" spans="1:13" x14ac:dyDescent="0.15">
      <c r="A280" s="227">
        <v>20920</v>
      </c>
      <c r="B280" s="227" t="s">
        <v>468</v>
      </c>
      <c r="C280" s="227">
        <v>70</v>
      </c>
      <c r="D280" s="227">
        <v>33</v>
      </c>
      <c r="E280" s="227">
        <v>68</v>
      </c>
      <c r="F280" s="227">
        <v>34</v>
      </c>
      <c r="G280" s="227" t="s">
        <v>768</v>
      </c>
      <c r="H280" s="227">
        <v>27</v>
      </c>
      <c r="I280" s="227" t="s">
        <v>771</v>
      </c>
      <c r="J280" s="227">
        <v>29</v>
      </c>
      <c r="K280" s="227">
        <v>128</v>
      </c>
      <c r="L280" s="227">
        <v>24</v>
      </c>
      <c r="M280" s="227">
        <v>261</v>
      </c>
    </row>
    <row r="281" spans="1:13" x14ac:dyDescent="0.15">
      <c r="A281" s="227">
        <v>20921</v>
      </c>
      <c r="B281" s="227" t="s">
        <v>528</v>
      </c>
      <c r="C281" s="227">
        <v>64</v>
      </c>
      <c r="D281" s="227">
        <v>54</v>
      </c>
      <c r="E281" s="227">
        <v>52</v>
      </c>
      <c r="F281" s="227">
        <v>22</v>
      </c>
      <c r="G281" s="227" t="s">
        <v>768</v>
      </c>
      <c r="H281" s="227">
        <v>24</v>
      </c>
      <c r="I281" s="227" t="s">
        <v>771</v>
      </c>
      <c r="J281" s="227">
        <v>34</v>
      </c>
      <c r="K281" s="227">
        <v>144</v>
      </c>
      <c r="L281" s="227">
        <v>25</v>
      </c>
      <c r="M281" s="227">
        <v>250</v>
      </c>
    </row>
    <row r="282" spans="1:13" x14ac:dyDescent="0.15">
      <c r="A282" s="227">
        <v>20922</v>
      </c>
      <c r="B282" s="227" t="s">
        <v>653</v>
      </c>
      <c r="C282" s="227">
        <v>63</v>
      </c>
      <c r="D282" s="227">
        <v>77</v>
      </c>
      <c r="E282" s="227">
        <v>62</v>
      </c>
      <c r="F282" s="227">
        <v>34</v>
      </c>
      <c r="G282" s="227" t="s">
        <v>768</v>
      </c>
      <c r="H282" s="227">
        <v>31</v>
      </c>
      <c r="I282" s="227" t="s">
        <v>771</v>
      </c>
      <c r="J282" s="227">
        <v>43</v>
      </c>
      <c r="K282" s="227">
        <v>81</v>
      </c>
      <c r="L282" s="227">
        <v>17</v>
      </c>
      <c r="M282" s="227">
        <v>310</v>
      </c>
    </row>
    <row r="283" spans="1:13" x14ac:dyDescent="0.15">
      <c r="A283" s="227">
        <v>20923</v>
      </c>
      <c r="B283" s="227" t="s">
        <v>624</v>
      </c>
      <c r="C283" s="227">
        <v>89</v>
      </c>
      <c r="D283" s="227">
        <v>70</v>
      </c>
      <c r="E283" s="227">
        <v>85</v>
      </c>
      <c r="F283" s="227">
        <v>44</v>
      </c>
      <c r="G283" s="227" t="s">
        <v>768</v>
      </c>
      <c r="H283" s="227">
        <v>47</v>
      </c>
      <c r="I283" s="227" t="s">
        <v>771</v>
      </c>
      <c r="J283" s="227">
        <v>48</v>
      </c>
      <c r="K283" s="227">
        <v>12</v>
      </c>
      <c r="L283" s="227">
        <v>4</v>
      </c>
      <c r="M283" s="227">
        <v>383</v>
      </c>
    </row>
    <row r="284" spans="1:13" x14ac:dyDescent="0.15">
      <c r="A284" s="227">
        <v>20924</v>
      </c>
      <c r="B284" s="227" t="s">
        <v>533</v>
      </c>
      <c r="C284" s="227">
        <v>43</v>
      </c>
      <c r="D284" s="227">
        <v>44</v>
      </c>
      <c r="E284" s="227">
        <v>70</v>
      </c>
      <c r="F284" s="227">
        <v>21</v>
      </c>
      <c r="G284" s="227" t="s">
        <v>768</v>
      </c>
      <c r="H284" s="227">
        <v>20</v>
      </c>
      <c r="I284" s="227" t="s">
        <v>771</v>
      </c>
      <c r="J284" s="227">
        <v>15</v>
      </c>
      <c r="K284" s="227">
        <v>177</v>
      </c>
      <c r="L284" s="227">
        <v>28</v>
      </c>
      <c r="M284" s="227">
        <v>213</v>
      </c>
    </row>
    <row r="285" spans="1:13" x14ac:dyDescent="0.15">
      <c r="A285" s="227">
        <v>20925</v>
      </c>
      <c r="B285" s="227" t="s">
        <v>30</v>
      </c>
      <c r="C285" s="227">
        <v>80</v>
      </c>
      <c r="D285" s="227">
        <v>84</v>
      </c>
      <c r="E285" s="227">
        <v>97</v>
      </c>
      <c r="F285" s="227">
        <v>36</v>
      </c>
      <c r="G285" s="227" t="s">
        <v>768</v>
      </c>
      <c r="H285" s="227">
        <v>30</v>
      </c>
      <c r="I285" s="227" t="s">
        <v>771</v>
      </c>
      <c r="J285" s="227">
        <v>41</v>
      </c>
      <c r="K285" s="227">
        <v>22</v>
      </c>
      <c r="L285" s="227">
        <v>5</v>
      </c>
      <c r="M285" s="227">
        <v>368</v>
      </c>
    </row>
    <row r="286" spans="1:13" x14ac:dyDescent="0.15">
      <c r="A286" s="227">
        <v>20926</v>
      </c>
      <c r="B286" s="227" t="s">
        <v>625</v>
      </c>
      <c r="C286" s="227">
        <v>89</v>
      </c>
      <c r="D286" s="227">
        <v>76</v>
      </c>
      <c r="E286" s="227">
        <v>94</v>
      </c>
      <c r="F286" s="227">
        <v>44</v>
      </c>
      <c r="G286" s="227" t="s">
        <v>768</v>
      </c>
      <c r="H286" s="227">
        <v>47</v>
      </c>
      <c r="I286" s="227" t="s">
        <v>771</v>
      </c>
      <c r="J286" s="227">
        <v>50</v>
      </c>
      <c r="K286" s="227">
        <v>6</v>
      </c>
      <c r="L286" s="227">
        <v>3</v>
      </c>
      <c r="M286" s="227">
        <v>400</v>
      </c>
    </row>
    <row r="287" spans="1:13" x14ac:dyDescent="0.15">
      <c r="A287" s="227">
        <v>20927</v>
      </c>
      <c r="B287" s="227" t="s">
        <v>445</v>
      </c>
      <c r="C287" s="227">
        <v>95</v>
      </c>
      <c r="D287" s="227">
        <v>92</v>
      </c>
      <c r="E287" s="227">
        <v>92</v>
      </c>
      <c r="F287" s="227">
        <v>44</v>
      </c>
      <c r="G287" s="227" t="s">
        <v>769</v>
      </c>
      <c r="H287" s="227">
        <v>46</v>
      </c>
      <c r="I287" s="227" t="s">
        <v>768</v>
      </c>
      <c r="J287" s="227">
        <v>50</v>
      </c>
      <c r="K287" s="227">
        <v>2</v>
      </c>
      <c r="L287" s="227">
        <v>1</v>
      </c>
      <c r="M287" s="227">
        <v>419</v>
      </c>
    </row>
    <row r="288" spans="1:13" x14ac:dyDescent="0.15">
      <c r="A288" s="227">
        <v>20929</v>
      </c>
      <c r="B288" s="227" t="s">
        <v>475</v>
      </c>
      <c r="C288" s="227">
        <v>81</v>
      </c>
      <c r="D288" s="227">
        <v>33</v>
      </c>
      <c r="E288" s="227">
        <v>89</v>
      </c>
      <c r="F288" s="227">
        <v>34</v>
      </c>
      <c r="G288" s="227" t="s">
        <v>769</v>
      </c>
      <c r="H288" s="227">
        <v>29</v>
      </c>
      <c r="I288" s="227" t="s">
        <v>768</v>
      </c>
      <c r="J288" s="227">
        <v>29</v>
      </c>
      <c r="K288" s="227">
        <v>91</v>
      </c>
      <c r="L288" s="227">
        <v>20</v>
      </c>
      <c r="M288" s="227">
        <v>295</v>
      </c>
    </row>
    <row r="289" spans="1:13" x14ac:dyDescent="0.15">
      <c r="A289" s="227">
        <v>20930</v>
      </c>
      <c r="B289" s="227" t="s">
        <v>414</v>
      </c>
      <c r="C289" s="227">
        <v>52</v>
      </c>
      <c r="D289" s="227">
        <v>80</v>
      </c>
      <c r="E289" s="227">
        <v>68</v>
      </c>
      <c r="F289" s="227">
        <v>39</v>
      </c>
      <c r="G289" s="227" t="s">
        <v>768</v>
      </c>
      <c r="H289" s="227">
        <v>37</v>
      </c>
      <c r="I289" s="227" t="s">
        <v>771</v>
      </c>
      <c r="J289" s="227">
        <v>45</v>
      </c>
      <c r="K289" s="227">
        <v>59</v>
      </c>
      <c r="L289" s="227">
        <v>13</v>
      </c>
      <c r="M289" s="227">
        <v>321</v>
      </c>
    </row>
    <row r="290" spans="1:13" x14ac:dyDescent="0.15">
      <c r="A290" s="227">
        <v>20931</v>
      </c>
      <c r="B290" s="227" t="s">
        <v>662</v>
      </c>
      <c r="C290" s="227">
        <v>79</v>
      </c>
      <c r="D290" s="227">
        <v>69</v>
      </c>
      <c r="E290" s="227">
        <v>76</v>
      </c>
      <c r="F290" s="227">
        <v>25</v>
      </c>
      <c r="G290" s="227" t="s">
        <v>768</v>
      </c>
      <c r="H290" s="227">
        <v>39</v>
      </c>
      <c r="I290" s="227" t="s">
        <v>771</v>
      </c>
      <c r="J290" s="227">
        <v>47</v>
      </c>
      <c r="K290" s="227">
        <v>42</v>
      </c>
      <c r="L290" s="227">
        <v>9</v>
      </c>
      <c r="M290" s="227">
        <v>335</v>
      </c>
    </row>
    <row r="291" spans="1:13" x14ac:dyDescent="0.15">
      <c r="A291" s="227">
        <v>20932</v>
      </c>
      <c r="B291" s="227" t="s">
        <v>629</v>
      </c>
      <c r="C291" s="227">
        <v>87</v>
      </c>
      <c r="D291" s="227">
        <v>76</v>
      </c>
      <c r="E291" s="227">
        <v>78</v>
      </c>
      <c r="F291" s="227">
        <v>31</v>
      </c>
      <c r="G291" s="227" t="s">
        <v>768</v>
      </c>
      <c r="H291" s="227">
        <v>42</v>
      </c>
      <c r="I291" s="227" t="s">
        <v>771</v>
      </c>
      <c r="J291" s="227">
        <v>48</v>
      </c>
      <c r="K291" s="227">
        <v>25</v>
      </c>
      <c r="L291" s="227">
        <v>6</v>
      </c>
      <c r="M291" s="227">
        <v>362</v>
      </c>
    </row>
    <row r="292" spans="1:13" x14ac:dyDescent="0.15">
      <c r="A292" s="227">
        <v>20933</v>
      </c>
      <c r="B292" s="227" t="s">
        <v>385</v>
      </c>
      <c r="C292" s="227">
        <v>88</v>
      </c>
      <c r="D292" s="227">
        <v>58</v>
      </c>
      <c r="E292" s="227">
        <v>72</v>
      </c>
      <c r="F292" s="227">
        <v>47</v>
      </c>
      <c r="G292" s="227" t="s">
        <v>768</v>
      </c>
      <c r="H292" s="227">
        <v>37</v>
      </c>
      <c r="I292" s="227" t="s">
        <v>771</v>
      </c>
      <c r="J292" s="227">
        <v>43</v>
      </c>
      <c r="K292" s="227">
        <v>34</v>
      </c>
      <c r="L292" s="227">
        <v>8</v>
      </c>
      <c r="M292" s="227">
        <v>345</v>
      </c>
    </row>
    <row r="293" spans="1:13" x14ac:dyDescent="0.15">
      <c r="A293" s="227">
        <v>20934</v>
      </c>
      <c r="B293" s="227" t="s">
        <v>452</v>
      </c>
      <c r="C293" s="227">
        <v>33</v>
      </c>
      <c r="D293" s="227">
        <v>20</v>
      </c>
      <c r="E293" s="227">
        <v>50</v>
      </c>
      <c r="F293" s="227">
        <v>24</v>
      </c>
      <c r="G293" s="227" t="s">
        <v>768</v>
      </c>
      <c r="H293" s="227">
        <v>20</v>
      </c>
      <c r="I293" s="227" t="s">
        <v>771</v>
      </c>
      <c r="J293" s="227">
        <v>23</v>
      </c>
      <c r="K293" s="227">
        <v>244</v>
      </c>
      <c r="L293" s="227">
        <v>32</v>
      </c>
      <c r="M293" s="227">
        <v>170</v>
      </c>
    </row>
    <row r="294" spans="1:13" x14ac:dyDescent="0.15">
      <c r="A294" s="227">
        <v>20935</v>
      </c>
      <c r="B294" s="227" t="s">
        <v>479</v>
      </c>
      <c r="C294" s="227">
        <v>77</v>
      </c>
      <c r="D294" s="227">
        <v>50</v>
      </c>
      <c r="E294" s="227">
        <v>64</v>
      </c>
      <c r="F294" s="227">
        <v>50</v>
      </c>
      <c r="G294" s="227" t="s">
        <v>768</v>
      </c>
      <c r="H294" s="227">
        <v>31</v>
      </c>
      <c r="I294" s="227" t="s">
        <v>771</v>
      </c>
      <c r="J294" s="227">
        <v>48</v>
      </c>
      <c r="K294" s="227">
        <v>64</v>
      </c>
      <c r="L294" s="227">
        <v>14</v>
      </c>
      <c r="M294" s="227">
        <v>320</v>
      </c>
    </row>
    <row r="295" spans="1:13" x14ac:dyDescent="0.15">
      <c r="A295" s="227">
        <v>20936</v>
      </c>
      <c r="B295" s="227" t="s">
        <v>664</v>
      </c>
      <c r="C295" s="227">
        <v>55</v>
      </c>
      <c r="D295" s="227">
        <v>40</v>
      </c>
      <c r="E295" s="227">
        <v>42</v>
      </c>
      <c r="F295" s="227">
        <v>24</v>
      </c>
      <c r="G295" s="227" t="s">
        <v>768</v>
      </c>
      <c r="H295" s="227">
        <v>22</v>
      </c>
      <c r="I295" s="227" t="s">
        <v>771</v>
      </c>
      <c r="J295" s="227">
        <v>41</v>
      </c>
      <c r="K295" s="227">
        <v>164</v>
      </c>
      <c r="L295" s="227">
        <v>27</v>
      </c>
      <c r="M295" s="227">
        <v>224</v>
      </c>
    </row>
    <row r="296" spans="1:13" x14ac:dyDescent="0.15">
      <c r="A296" s="227">
        <v>21001</v>
      </c>
      <c r="B296" s="227" t="s">
        <v>392</v>
      </c>
      <c r="C296" s="227">
        <v>63</v>
      </c>
      <c r="D296" s="227">
        <v>76</v>
      </c>
      <c r="E296" s="227">
        <v>77</v>
      </c>
      <c r="F296" s="227">
        <v>35</v>
      </c>
      <c r="G296" s="227" t="s">
        <v>768</v>
      </c>
      <c r="H296" s="227">
        <v>47</v>
      </c>
      <c r="I296" s="227" t="s">
        <v>771</v>
      </c>
      <c r="J296" s="227">
        <v>41</v>
      </c>
      <c r="K296" s="227">
        <v>38</v>
      </c>
      <c r="L296" s="227">
        <v>8</v>
      </c>
      <c r="M296" s="227">
        <v>339</v>
      </c>
    </row>
    <row r="297" spans="1:13" x14ac:dyDescent="0.15">
      <c r="A297" s="227">
        <v>21002</v>
      </c>
      <c r="B297" s="227" t="s">
        <v>483</v>
      </c>
      <c r="C297" s="227">
        <v>68</v>
      </c>
      <c r="D297" s="227">
        <v>54</v>
      </c>
      <c r="E297" s="227">
        <v>57</v>
      </c>
      <c r="F297" s="227">
        <v>47</v>
      </c>
      <c r="G297" s="227" t="s">
        <v>769</v>
      </c>
      <c r="H297" s="227">
        <v>39</v>
      </c>
      <c r="I297" s="227" t="s">
        <v>768</v>
      </c>
      <c r="J297" s="227">
        <v>42</v>
      </c>
      <c r="K297" s="227">
        <v>84</v>
      </c>
      <c r="L297" s="227">
        <v>19</v>
      </c>
      <c r="M297" s="227">
        <v>307</v>
      </c>
    </row>
    <row r="298" spans="1:13" x14ac:dyDescent="0.15">
      <c r="A298" s="227">
        <v>21003</v>
      </c>
      <c r="B298" s="227" t="s">
        <v>458</v>
      </c>
      <c r="C298" s="227">
        <v>78</v>
      </c>
      <c r="D298" s="227">
        <v>76</v>
      </c>
      <c r="E298" s="227">
        <v>85</v>
      </c>
      <c r="F298" s="227">
        <v>23</v>
      </c>
      <c r="G298" s="227" t="s">
        <v>768</v>
      </c>
      <c r="H298" s="227">
        <v>21</v>
      </c>
      <c r="I298" s="227" t="s">
        <v>771</v>
      </c>
      <c r="J298" s="227">
        <v>25</v>
      </c>
      <c r="K298" s="227">
        <v>83</v>
      </c>
      <c r="L298" s="227">
        <v>18</v>
      </c>
      <c r="M298" s="227">
        <v>308</v>
      </c>
    </row>
    <row r="299" spans="1:13" x14ac:dyDescent="0.15">
      <c r="A299" s="227">
        <v>21004</v>
      </c>
      <c r="B299" s="227" t="s">
        <v>121</v>
      </c>
      <c r="C299" s="227">
        <v>53</v>
      </c>
      <c r="D299" s="227">
        <v>45</v>
      </c>
      <c r="E299" s="227">
        <v>59</v>
      </c>
      <c r="F299" s="227">
        <v>24</v>
      </c>
      <c r="G299" s="227" t="s">
        <v>768</v>
      </c>
      <c r="H299" s="227">
        <v>17</v>
      </c>
      <c r="I299" s="227" t="s">
        <v>771</v>
      </c>
      <c r="J299" s="227">
        <v>14</v>
      </c>
      <c r="K299" s="227">
        <v>180</v>
      </c>
      <c r="L299" s="227">
        <v>29</v>
      </c>
      <c r="M299" s="227">
        <v>212</v>
      </c>
    </row>
    <row r="300" spans="1:13" x14ac:dyDescent="0.15">
      <c r="A300" s="227">
        <v>21005</v>
      </c>
      <c r="B300" s="227" t="s">
        <v>583</v>
      </c>
      <c r="C300" s="227">
        <v>85</v>
      </c>
      <c r="D300" s="227">
        <v>92</v>
      </c>
      <c r="E300" s="227">
        <v>97</v>
      </c>
      <c r="F300" s="227">
        <v>47</v>
      </c>
      <c r="G300" s="227" t="s">
        <v>768</v>
      </c>
      <c r="H300" s="227">
        <v>44</v>
      </c>
      <c r="I300" s="227" t="s">
        <v>771</v>
      </c>
      <c r="J300" s="227">
        <v>50</v>
      </c>
      <c r="K300" s="227">
        <v>4</v>
      </c>
      <c r="L300" s="227">
        <v>2</v>
      </c>
      <c r="M300" s="227">
        <v>415</v>
      </c>
    </row>
    <row r="301" spans="1:13" x14ac:dyDescent="0.15">
      <c r="A301" s="227">
        <v>21006</v>
      </c>
      <c r="B301" s="227" t="s">
        <v>517</v>
      </c>
      <c r="C301" s="227">
        <v>51</v>
      </c>
      <c r="D301" s="227">
        <v>43</v>
      </c>
      <c r="E301" s="227">
        <v>43</v>
      </c>
      <c r="F301" s="227">
        <v>41</v>
      </c>
      <c r="G301" s="227" t="s">
        <v>768</v>
      </c>
      <c r="H301" s="227">
        <v>19</v>
      </c>
      <c r="I301" s="227" t="s">
        <v>771</v>
      </c>
      <c r="J301" s="227">
        <v>32</v>
      </c>
      <c r="K301" s="227">
        <v>156</v>
      </c>
      <c r="L301" s="227">
        <v>27</v>
      </c>
      <c r="M301" s="227">
        <v>229</v>
      </c>
    </row>
    <row r="302" spans="1:13" x14ac:dyDescent="0.15">
      <c r="A302" s="227">
        <v>21007</v>
      </c>
      <c r="B302" s="227" t="s">
        <v>643</v>
      </c>
      <c r="C302" s="227">
        <v>76</v>
      </c>
      <c r="D302" s="227">
        <v>44</v>
      </c>
      <c r="E302" s="227">
        <v>57</v>
      </c>
      <c r="F302" s="227">
        <v>36</v>
      </c>
      <c r="G302" s="227" t="s">
        <v>768</v>
      </c>
      <c r="H302" s="227">
        <v>34</v>
      </c>
      <c r="I302" s="227" t="s">
        <v>771</v>
      </c>
      <c r="J302" s="227">
        <v>41</v>
      </c>
      <c r="K302" s="227">
        <v>102</v>
      </c>
      <c r="L302" s="227">
        <v>21</v>
      </c>
      <c r="M302" s="227">
        <v>288</v>
      </c>
    </row>
    <row r="303" spans="1:13" x14ac:dyDescent="0.15">
      <c r="A303" s="227">
        <v>21008</v>
      </c>
      <c r="B303" s="227" t="s">
        <v>462</v>
      </c>
      <c r="C303" s="227">
        <v>48</v>
      </c>
      <c r="D303" s="227">
        <v>37</v>
      </c>
      <c r="E303" s="227">
        <v>45</v>
      </c>
      <c r="F303" s="227">
        <v>23</v>
      </c>
      <c r="G303" s="227" t="s">
        <v>768</v>
      </c>
      <c r="H303" s="227">
        <v>13</v>
      </c>
      <c r="I303" s="227" t="s">
        <v>771</v>
      </c>
      <c r="J303" s="227">
        <v>16</v>
      </c>
      <c r="K303" s="227">
        <v>229</v>
      </c>
      <c r="L303" s="227">
        <v>33</v>
      </c>
      <c r="M303" s="227">
        <v>182</v>
      </c>
    </row>
    <row r="304" spans="1:13" x14ac:dyDescent="0.15">
      <c r="A304" s="227">
        <v>21009</v>
      </c>
      <c r="B304" s="227" t="s">
        <v>644</v>
      </c>
      <c r="C304" s="227">
        <v>46</v>
      </c>
      <c r="D304" s="227">
        <v>61</v>
      </c>
      <c r="E304" s="227">
        <v>61</v>
      </c>
      <c r="F304" s="227">
        <v>20</v>
      </c>
      <c r="G304" s="227" t="s">
        <v>769</v>
      </c>
      <c r="H304" s="227">
        <v>9</v>
      </c>
      <c r="I304" s="227" t="s">
        <v>770</v>
      </c>
      <c r="J304" s="227">
        <v>9</v>
      </c>
      <c r="K304" s="227">
        <v>190</v>
      </c>
      <c r="L304" s="227">
        <v>30</v>
      </c>
      <c r="M304" s="227">
        <v>206</v>
      </c>
    </row>
    <row r="305" spans="1:13" x14ac:dyDescent="0.15">
      <c r="A305" s="227">
        <v>21010</v>
      </c>
      <c r="B305" s="227" t="s">
        <v>491</v>
      </c>
      <c r="C305" s="227">
        <v>68</v>
      </c>
      <c r="D305" s="227">
        <v>72</v>
      </c>
      <c r="E305" s="227">
        <v>76</v>
      </c>
      <c r="F305" s="227">
        <v>36</v>
      </c>
      <c r="G305" s="227" t="s">
        <v>768</v>
      </c>
      <c r="H305" s="227">
        <v>36</v>
      </c>
      <c r="I305" s="227" t="s">
        <v>771</v>
      </c>
      <c r="J305" s="227">
        <v>43</v>
      </c>
      <c r="K305" s="227">
        <v>47</v>
      </c>
      <c r="L305" s="227">
        <v>12</v>
      </c>
      <c r="M305" s="227">
        <v>331</v>
      </c>
    </row>
    <row r="306" spans="1:13" x14ac:dyDescent="0.15">
      <c r="A306" s="227">
        <v>21011</v>
      </c>
      <c r="B306" s="227" t="s">
        <v>646</v>
      </c>
      <c r="C306" s="227">
        <v>84</v>
      </c>
      <c r="D306" s="227">
        <v>65</v>
      </c>
      <c r="E306" s="227">
        <v>72</v>
      </c>
      <c r="F306" s="227">
        <v>41</v>
      </c>
      <c r="G306" s="227" t="s">
        <v>768</v>
      </c>
      <c r="H306" s="227">
        <v>34</v>
      </c>
      <c r="I306" s="227" t="s">
        <v>771</v>
      </c>
      <c r="J306" s="227">
        <v>40</v>
      </c>
      <c r="K306" s="227">
        <v>41</v>
      </c>
      <c r="L306" s="227">
        <v>10</v>
      </c>
      <c r="M306" s="227">
        <v>336</v>
      </c>
    </row>
    <row r="307" spans="1:13" x14ac:dyDescent="0.15">
      <c r="A307" s="227">
        <v>21012</v>
      </c>
      <c r="B307" s="227" t="s">
        <v>616</v>
      </c>
      <c r="C307" s="227">
        <v>38</v>
      </c>
      <c r="D307" s="227">
        <v>45</v>
      </c>
      <c r="E307" s="227">
        <v>46</v>
      </c>
      <c r="F307" s="227">
        <v>24</v>
      </c>
      <c r="G307" s="227" t="s">
        <v>769</v>
      </c>
      <c r="H307" s="227">
        <v>13</v>
      </c>
      <c r="I307" s="227" t="s">
        <v>771</v>
      </c>
      <c r="J307" s="227">
        <v>30</v>
      </c>
      <c r="K307" s="227">
        <v>206</v>
      </c>
      <c r="L307" s="227">
        <v>31</v>
      </c>
      <c r="M307" s="227">
        <v>196</v>
      </c>
    </row>
    <row r="308" spans="1:13" x14ac:dyDescent="0.15">
      <c r="A308" s="227">
        <v>21013</v>
      </c>
      <c r="B308" s="227" t="s">
        <v>434</v>
      </c>
      <c r="C308" s="227">
        <v>89</v>
      </c>
      <c r="D308" s="227">
        <v>76</v>
      </c>
      <c r="E308" s="227">
        <v>75</v>
      </c>
      <c r="F308" s="227">
        <v>50</v>
      </c>
      <c r="G308" s="227" t="s">
        <v>768</v>
      </c>
      <c r="H308" s="227">
        <v>39</v>
      </c>
      <c r="I308" s="227" t="s">
        <v>771</v>
      </c>
      <c r="J308" s="227">
        <v>45</v>
      </c>
      <c r="K308" s="227">
        <v>20</v>
      </c>
      <c r="L308" s="227">
        <v>5</v>
      </c>
      <c r="M308" s="227">
        <v>374</v>
      </c>
    </row>
    <row r="309" spans="1:13" x14ac:dyDescent="0.15">
      <c r="A309" s="227">
        <v>21014</v>
      </c>
      <c r="B309" s="227" t="s">
        <v>494</v>
      </c>
      <c r="C309" s="227">
        <v>32</v>
      </c>
      <c r="D309" s="227">
        <v>20</v>
      </c>
      <c r="E309" s="227">
        <v>33</v>
      </c>
      <c r="F309" s="227">
        <v>24</v>
      </c>
      <c r="G309" s="227" t="s">
        <v>770</v>
      </c>
      <c r="H309" s="227">
        <v>6</v>
      </c>
      <c r="I309" s="227" t="s">
        <v>771</v>
      </c>
      <c r="J309" s="227">
        <v>8</v>
      </c>
      <c r="K309" s="227">
        <v>290</v>
      </c>
      <c r="L309" s="227">
        <v>35</v>
      </c>
      <c r="M309" s="227">
        <v>123</v>
      </c>
    </row>
    <row r="310" spans="1:13" x14ac:dyDescent="0.15">
      <c r="A310" s="227">
        <v>21015</v>
      </c>
      <c r="B310" s="227" t="s">
        <v>590</v>
      </c>
      <c r="C310" s="227">
        <v>73</v>
      </c>
      <c r="D310" s="227">
        <v>62</v>
      </c>
      <c r="E310" s="227">
        <v>79</v>
      </c>
      <c r="F310" s="227">
        <v>35</v>
      </c>
      <c r="G310" s="227" t="s">
        <v>768</v>
      </c>
      <c r="H310" s="227">
        <v>39</v>
      </c>
      <c r="I310" s="227" t="s">
        <v>771</v>
      </c>
      <c r="J310" s="227">
        <v>42</v>
      </c>
      <c r="K310" s="227">
        <v>49</v>
      </c>
      <c r="L310" s="227">
        <v>13</v>
      </c>
      <c r="M310" s="227">
        <v>330</v>
      </c>
    </row>
    <row r="311" spans="1:13" x14ac:dyDescent="0.15">
      <c r="A311" s="227">
        <v>21016</v>
      </c>
      <c r="B311" s="227" t="s">
        <v>623</v>
      </c>
      <c r="C311" s="227">
        <v>65</v>
      </c>
      <c r="D311" s="227">
        <v>52</v>
      </c>
      <c r="E311" s="227">
        <v>68</v>
      </c>
      <c r="F311" s="227">
        <v>32</v>
      </c>
      <c r="G311" s="227" t="s">
        <v>768</v>
      </c>
      <c r="H311" s="227">
        <v>24</v>
      </c>
      <c r="I311" s="227" t="s">
        <v>771</v>
      </c>
      <c r="J311" s="227">
        <v>27</v>
      </c>
      <c r="K311" s="227">
        <v>122</v>
      </c>
      <c r="L311" s="227">
        <v>23</v>
      </c>
      <c r="M311" s="227">
        <v>268</v>
      </c>
    </row>
    <row r="312" spans="1:13" x14ac:dyDescent="0.15">
      <c r="A312" s="227">
        <v>21017</v>
      </c>
      <c r="B312" s="227" t="s">
        <v>441</v>
      </c>
      <c r="C312" s="227">
        <v>76</v>
      </c>
      <c r="D312" s="227">
        <v>72</v>
      </c>
      <c r="E312" s="227">
        <v>78</v>
      </c>
      <c r="F312" s="227">
        <v>33</v>
      </c>
      <c r="G312" s="227" t="s">
        <v>768</v>
      </c>
      <c r="H312" s="227">
        <v>34</v>
      </c>
      <c r="I312" s="227" t="s">
        <v>771</v>
      </c>
      <c r="J312" s="227">
        <v>37</v>
      </c>
      <c r="K312" s="227">
        <v>49</v>
      </c>
      <c r="L312" s="227">
        <v>13</v>
      </c>
      <c r="M312" s="227">
        <v>330</v>
      </c>
    </row>
    <row r="313" spans="1:13" x14ac:dyDescent="0.15">
      <c r="A313" s="227">
        <v>21018</v>
      </c>
      <c r="B313" s="227" t="s">
        <v>656</v>
      </c>
      <c r="C313" s="227">
        <v>91</v>
      </c>
      <c r="D313" s="227">
        <v>88</v>
      </c>
      <c r="E313" s="227">
        <v>80</v>
      </c>
      <c r="F313" s="227">
        <v>39</v>
      </c>
      <c r="G313" s="227" t="s">
        <v>768</v>
      </c>
      <c r="H313" s="227">
        <v>47</v>
      </c>
      <c r="I313" s="227" t="s">
        <v>771</v>
      </c>
      <c r="J313" s="227">
        <v>43</v>
      </c>
      <c r="K313" s="227">
        <v>9</v>
      </c>
      <c r="L313" s="227">
        <v>3</v>
      </c>
      <c r="M313" s="227">
        <v>388</v>
      </c>
    </row>
    <row r="314" spans="1:13" x14ac:dyDescent="0.15">
      <c r="A314" s="227">
        <v>21020</v>
      </c>
      <c r="B314" s="227" t="s">
        <v>532</v>
      </c>
      <c r="C314" s="227">
        <v>62</v>
      </c>
      <c r="D314" s="227">
        <v>84</v>
      </c>
      <c r="E314" s="227">
        <v>64</v>
      </c>
      <c r="F314" s="227">
        <v>21</v>
      </c>
      <c r="G314" s="227" t="s">
        <v>768</v>
      </c>
      <c r="H314" s="227">
        <v>18</v>
      </c>
      <c r="I314" s="227" t="s">
        <v>771</v>
      </c>
      <c r="J314" s="227">
        <v>20</v>
      </c>
      <c r="K314" s="227">
        <v>121</v>
      </c>
      <c r="L314" s="227">
        <v>22</v>
      </c>
      <c r="M314" s="227">
        <v>269</v>
      </c>
    </row>
    <row r="315" spans="1:13" x14ac:dyDescent="0.15">
      <c r="A315" s="227">
        <v>21021</v>
      </c>
      <c r="B315" s="227" t="s">
        <v>380</v>
      </c>
      <c r="C315" s="227">
        <v>22</v>
      </c>
      <c r="D315" s="227">
        <v>21</v>
      </c>
      <c r="E315" s="227">
        <v>50</v>
      </c>
      <c r="F315" s="227">
        <v>8</v>
      </c>
      <c r="G315" s="227" t="s">
        <v>769</v>
      </c>
      <c r="H315" s="227">
        <v>17</v>
      </c>
      <c r="I315" s="227" t="s">
        <v>768</v>
      </c>
      <c r="J315" s="227">
        <v>17</v>
      </c>
      <c r="K315" s="227">
        <v>281</v>
      </c>
      <c r="L315" s="227">
        <v>34</v>
      </c>
      <c r="M315" s="227">
        <v>135</v>
      </c>
    </row>
    <row r="316" spans="1:13" x14ac:dyDescent="0.15">
      <c r="A316" s="227">
        <v>21022</v>
      </c>
      <c r="B316" s="227" t="s">
        <v>442</v>
      </c>
      <c r="C316" s="227">
        <v>76</v>
      </c>
      <c r="D316" s="227">
        <v>76</v>
      </c>
      <c r="E316" s="227">
        <v>91</v>
      </c>
      <c r="F316" s="227">
        <v>31</v>
      </c>
      <c r="G316" s="227" t="s">
        <v>768</v>
      </c>
      <c r="H316" s="227">
        <v>36</v>
      </c>
      <c r="I316" s="227" t="s">
        <v>771</v>
      </c>
      <c r="J316" s="227">
        <v>27</v>
      </c>
      <c r="K316" s="227">
        <v>40</v>
      </c>
      <c r="L316" s="227">
        <v>9</v>
      </c>
      <c r="M316" s="227">
        <v>337</v>
      </c>
    </row>
    <row r="317" spans="1:13" x14ac:dyDescent="0.15">
      <c r="A317" s="227">
        <v>21023</v>
      </c>
      <c r="B317" s="227" t="s">
        <v>443</v>
      </c>
      <c r="C317" s="227">
        <v>76</v>
      </c>
      <c r="D317" s="227">
        <v>70</v>
      </c>
      <c r="E317" s="227">
        <v>80</v>
      </c>
      <c r="F317" s="227">
        <v>21</v>
      </c>
      <c r="G317" s="227" t="s">
        <v>768</v>
      </c>
      <c r="H317" s="227">
        <v>34</v>
      </c>
      <c r="I317" s="227" t="s">
        <v>771</v>
      </c>
      <c r="J317" s="227">
        <v>40</v>
      </c>
      <c r="K317" s="227">
        <v>59</v>
      </c>
      <c r="L317" s="227">
        <v>16</v>
      </c>
      <c r="M317" s="227">
        <v>321</v>
      </c>
    </row>
    <row r="318" spans="1:13" x14ac:dyDescent="0.15">
      <c r="A318" s="227">
        <v>21024</v>
      </c>
      <c r="B318" s="227" t="s">
        <v>444</v>
      </c>
      <c r="C318" s="227">
        <v>60</v>
      </c>
      <c r="D318" s="227">
        <v>56</v>
      </c>
      <c r="E318" s="227">
        <v>56</v>
      </c>
      <c r="F318" s="227">
        <v>30</v>
      </c>
      <c r="G318" s="227" t="s">
        <v>768</v>
      </c>
      <c r="H318" s="227">
        <v>29</v>
      </c>
      <c r="I318" s="227" t="s">
        <v>771</v>
      </c>
      <c r="J318" s="227">
        <v>21</v>
      </c>
      <c r="K318" s="227">
        <v>141</v>
      </c>
      <c r="L318" s="227">
        <v>25</v>
      </c>
      <c r="M318" s="227">
        <v>252</v>
      </c>
    </row>
    <row r="319" spans="1:13" x14ac:dyDescent="0.15">
      <c r="A319" s="227">
        <v>21025</v>
      </c>
      <c r="B319" s="227" t="s">
        <v>471</v>
      </c>
      <c r="C319" s="227">
        <v>86</v>
      </c>
      <c r="D319" s="227">
        <v>64</v>
      </c>
      <c r="E319" s="227">
        <v>77</v>
      </c>
      <c r="F319" s="227">
        <v>41</v>
      </c>
      <c r="G319" s="227" t="s">
        <v>768</v>
      </c>
      <c r="H319" s="227">
        <v>20</v>
      </c>
      <c r="I319" s="227" t="s">
        <v>771</v>
      </c>
      <c r="J319" s="227">
        <v>33</v>
      </c>
      <c r="K319" s="227">
        <v>59</v>
      </c>
      <c r="L319" s="227">
        <v>16</v>
      </c>
      <c r="M319" s="227">
        <v>321</v>
      </c>
    </row>
    <row r="320" spans="1:13" x14ac:dyDescent="0.15">
      <c r="A320" s="227">
        <v>21026</v>
      </c>
      <c r="B320" s="227" t="s">
        <v>560</v>
      </c>
      <c r="C320" s="227">
        <v>92</v>
      </c>
      <c r="D320" s="227">
        <v>88</v>
      </c>
      <c r="E320" s="227">
        <v>95</v>
      </c>
      <c r="F320" s="227">
        <v>45</v>
      </c>
      <c r="G320" s="227" t="s">
        <v>768</v>
      </c>
      <c r="H320" s="227">
        <v>47</v>
      </c>
      <c r="I320" s="227" t="s">
        <v>771</v>
      </c>
      <c r="J320" s="227">
        <v>50</v>
      </c>
      <c r="K320" s="227">
        <v>3</v>
      </c>
      <c r="L320" s="227">
        <v>1</v>
      </c>
      <c r="M320" s="227">
        <v>417</v>
      </c>
    </row>
    <row r="321" spans="1:13" x14ac:dyDescent="0.15">
      <c r="A321" s="227">
        <v>21027</v>
      </c>
      <c r="B321" s="227" t="s">
        <v>381</v>
      </c>
      <c r="C321" s="227">
        <v>88</v>
      </c>
      <c r="D321" s="227">
        <v>84</v>
      </c>
      <c r="E321" s="227">
        <v>78</v>
      </c>
      <c r="F321" s="227">
        <v>47</v>
      </c>
      <c r="G321" s="227" t="s">
        <v>768</v>
      </c>
      <c r="H321" s="227">
        <v>41</v>
      </c>
      <c r="I321" s="227" t="s">
        <v>771</v>
      </c>
      <c r="J321" s="227">
        <v>50</v>
      </c>
      <c r="K321" s="227">
        <v>9</v>
      </c>
      <c r="L321" s="227">
        <v>3</v>
      </c>
      <c r="M321" s="227">
        <v>388</v>
      </c>
    </row>
    <row r="322" spans="1:13" x14ac:dyDescent="0.15">
      <c r="A322" s="227">
        <v>21028</v>
      </c>
      <c r="B322" s="227" t="s">
        <v>628</v>
      </c>
      <c r="C322" s="227">
        <v>44</v>
      </c>
      <c r="D322" s="227">
        <v>39</v>
      </c>
      <c r="E322" s="227">
        <v>60</v>
      </c>
      <c r="F322" s="227">
        <v>13</v>
      </c>
      <c r="G322" s="227" t="s">
        <v>768</v>
      </c>
      <c r="H322" s="227">
        <v>17</v>
      </c>
      <c r="I322" s="227" t="s">
        <v>771</v>
      </c>
      <c r="J322" s="227">
        <v>16</v>
      </c>
      <c r="K322" s="227">
        <v>221</v>
      </c>
      <c r="L322" s="227">
        <v>32</v>
      </c>
      <c r="M322" s="227">
        <v>189</v>
      </c>
    </row>
    <row r="323" spans="1:13" x14ac:dyDescent="0.15">
      <c r="A323" s="227">
        <v>21029</v>
      </c>
      <c r="B323" s="227" t="s">
        <v>450</v>
      </c>
      <c r="C323" s="227">
        <v>95</v>
      </c>
      <c r="D323" s="227">
        <v>54</v>
      </c>
      <c r="E323" s="227">
        <v>91</v>
      </c>
      <c r="F323" s="227">
        <v>47</v>
      </c>
      <c r="G323" s="227" t="s">
        <v>768</v>
      </c>
      <c r="H323" s="227">
        <v>29</v>
      </c>
      <c r="I323" s="227" t="s">
        <v>771</v>
      </c>
      <c r="J323" s="227">
        <v>40</v>
      </c>
      <c r="K323" s="227">
        <v>27</v>
      </c>
      <c r="L323" s="227">
        <v>7</v>
      </c>
      <c r="M323" s="227">
        <v>356</v>
      </c>
    </row>
    <row r="324" spans="1:13" x14ac:dyDescent="0.15">
      <c r="A324" s="227">
        <v>21030</v>
      </c>
      <c r="B324" s="227" t="s">
        <v>566</v>
      </c>
      <c r="C324" s="227">
        <v>57</v>
      </c>
      <c r="D324" s="227">
        <v>61</v>
      </c>
      <c r="E324" s="227">
        <v>70</v>
      </c>
      <c r="F324" s="227">
        <v>35</v>
      </c>
      <c r="G324" s="227" t="s">
        <v>768</v>
      </c>
      <c r="H324" s="227">
        <v>18</v>
      </c>
      <c r="I324" s="227" t="s">
        <v>771</v>
      </c>
      <c r="J324" s="227">
        <v>24</v>
      </c>
      <c r="K324" s="227">
        <v>125</v>
      </c>
      <c r="L324" s="227">
        <v>24</v>
      </c>
      <c r="M324" s="227">
        <v>265</v>
      </c>
    </row>
    <row r="325" spans="1:13" x14ac:dyDescent="0.15">
      <c r="A325" s="227">
        <v>21031</v>
      </c>
      <c r="B325" s="227" t="s">
        <v>567</v>
      </c>
      <c r="C325" s="227">
        <v>40</v>
      </c>
      <c r="D325" s="227">
        <v>66</v>
      </c>
      <c r="E325" s="227">
        <v>64</v>
      </c>
      <c r="F325" s="227">
        <v>26</v>
      </c>
      <c r="G325" s="227" t="s">
        <v>768</v>
      </c>
      <c r="H325" s="227">
        <v>23</v>
      </c>
      <c r="I325" s="227" t="s">
        <v>771</v>
      </c>
      <c r="J325" s="227">
        <v>32</v>
      </c>
      <c r="K325" s="227">
        <v>142</v>
      </c>
      <c r="L325" s="227">
        <v>26</v>
      </c>
      <c r="M325" s="227">
        <v>251</v>
      </c>
    </row>
    <row r="326" spans="1:13" x14ac:dyDescent="0.15">
      <c r="A326" s="227">
        <v>21032</v>
      </c>
      <c r="B326" s="227" t="s">
        <v>539</v>
      </c>
      <c r="C326" s="227">
        <v>45</v>
      </c>
      <c r="D326" s="227">
        <v>47</v>
      </c>
      <c r="E326" s="227">
        <v>70</v>
      </c>
      <c r="F326" s="227">
        <v>17</v>
      </c>
      <c r="G326" s="227" t="s">
        <v>768</v>
      </c>
      <c r="H326" s="227">
        <v>16</v>
      </c>
      <c r="I326" s="227" t="s">
        <v>771</v>
      </c>
      <c r="J326" s="227">
        <v>19</v>
      </c>
      <c r="K326" s="227">
        <v>174</v>
      </c>
      <c r="L326" s="227">
        <v>28</v>
      </c>
      <c r="M326" s="227">
        <v>214</v>
      </c>
    </row>
    <row r="327" spans="1:13" x14ac:dyDescent="0.15">
      <c r="A327" s="227">
        <v>21033</v>
      </c>
      <c r="B327" s="227" t="s">
        <v>420</v>
      </c>
      <c r="C327" s="227">
        <v>83</v>
      </c>
      <c r="D327" s="227">
        <v>65</v>
      </c>
      <c r="E327" s="227">
        <v>84</v>
      </c>
      <c r="F327" s="227">
        <v>38</v>
      </c>
      <c r="G327" s="227" t="s">
        <v>768</v>
      </c>
      <c r="H327" s="227">
        <v>24</v>
      </c>
      <c r="I327" s="227" t="s">
        <v>771</v>
      </c>
      <c r="J327" s="227">
        <v>34</v>
      </c>
      <c r="K327" s="227">
        <v>51</v>
      </c>
      <c r="L327" s="227">
        <v>15</v>
      </c>
      <c r="M327" s="227">
        <v>328</v>
      </c>
    </row>
    <row r="328" spans="1:13" x14ac:dyDescent="0.15">
      <c r="A328" s="227">
        <v>21034</v>
      </c>
      <c r="B328" s="227" t="s">
        <v>634</v>
      </c>
      <c r="C328" s="227">
        <v>78</v>
      </c>
      <c r="D328" s="227">
        <v>80</v>
      </c>
      <c r="E328" s="227">
        <v>56</v>
      </c>
      <c r="F328" s="227">
        <v>30</v>
      </c>
      <c r="G328" s="227" t="s">
        <v>768</v>
      </c>
      <c r="H328" s="227">
        <v>44</v>
      </c>
      <c r="I328" s="227" t="s">
        <v>771</v>
      </c>
      <c r="J328" s="227">
        <v>45</v>
      </c>
      <c r="K328" s="227">
        <v>45</v>
      </c>
      <c r="L328" s="227">
        <v>11</v>
      </c>
      <c r="M328" s="227">
        <v>333</v>
      </c>
    </row>
    <row r="329" spans="1:13" x14ac:dyDescent="0.15">
      <c r="A329" s="227">
        <v>21035</v>
      </c>
      <c r="B329" s="227" t="s">
        <v>480</v>
      </c>
      <c r="C329" s="227">
        <v>69</v>
      </c>
      <c r="D329" s="227">
        <v>88</v>
      </c>
      <c r="E329" s="227">
        <v>83</v>
      </c>
      <c r="F329" s="227">
        <v>36</v>
      </c>
      <c r="G329" s="227" t="s">
        <v>768</v>
      </c>
      <c r="H329" s="227">
        <v>39</v>
      </c>
      <c r="I329" s="227" t="s">
        <v>771</v>
      </c>
      <c r="J329" s="227">
        <v>42</v>
      </c>
      <c r="K329" s="227">
        <v>26</v>
      </c>
      <c r="L329" s="227">
        <v>6</v>
      </c>
      <c r="M329" s="227">
        <v>357</v>
      </c>
    </row>
    <row r="330" spans="1:13" x14ac:dyDescent="0.15">
      <c r="A330" s="227">
        <v>21036</v>
      </c>
      <c r="B330" s="227" t="s">
        <v>510</v>
      </c>
      <c r="C330" s="227">
        <v>60</v>
      </c>
      <c r="D330" s="227">
        <v>70</v>
      </c>
      <c r="E330" s="227">
        <v>65</v>
      </c>
      <c r="F330" s="227">
        <v>29</v>
      </c>
      <c r="G330" s="227" t="s">
        <v>768</v>
      </c>
      <c r="H330" s="227">
        <v>24</v>
      </c>
      <c r="I330" s="227" t="s">
        <v>771</v>
      </c>
      <c r="J330" s="227">
        <v>42</v>
      </c>
      <c r="K330" s="227">
        <v>100</v>
      </c>
      <c r="L330" s="227">
        <v>20</v>
      </c>
      <c r="M330" s="227">
        <v>290</v>
      </c>
    </row>
  </sheetData>
  <mergeCells count="2">
    <mergeCell ref="G1:H1"/>
    <mergeCell ref="I1:J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2"/>
  <sheetViews>
    <sheetView topLeftCell="A10" zoomScaleNormal="100" workbookViewId="0">
      <selection activeCell="C4" sqref="C4:P42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05" t="s">
        <v>340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</row>
    <row r="2" spans="1:23" ht="33.75" customHeight="1" thickBot="1" x14ac:dyDescent="0.2">
      <c r="A2" s="306" t="s">
        <v>344</v>
      </c>
      <c r="B2" s="306"/>
      <c r="C2" s="306"/>
      <c r="D2" s="306"/>
      <c r="E2" s="306"/>
      <c r="F2" s="306"/>
      <c r="G2" s="38"/>
      <c r="H2" s="38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08" t="s">
        <v>5</v>
      </c>
      <c r="P3" s="308"/>
      <c r="Q3" s="43" t="s">
        <v>15</v>
      </c>
      <c r="R3" s="70" t="s">
        <v>6</v>
      </c>
      <c r="S3" s="42" t="s">
        <v>7</v>
      </c>
      <c r="T3" s="2"/>
      <c r="U3" s="309" t="s">
        <v>8</v>
      </c>
      <c r="V3" s="310"/>
    </row>
    <row r="4" spans="1:23" s="7" customFormat="1" ht="17.100000000000001" customHeight="1" x14ac:dyDescent="0.15">
      <c r="A4" s="40">
        <v>1</v>
      </c>
      <c r="B4" s="71" t="s">
        <v>228</v>
      </c>
      <c r="C4">
        <v>100</v>
      </c>
      <c r="D4" s="37">
        <f>LOOKUP(C4,예상등급!$A$5:$A$13,예상등급!$B$5:$B$13)</f>
        <v>1</v>
      </c>
      <c r="E4" s="44" t="e">
        <f>((C4-예상등급!#REF!)/예상등급!#REF!)*20+100</f>
        <v>#REF!</v>
      </c>
      <c r="F4">
        <v>85</v>
      </c>
      <c r="G4" s="37">
        <f>LOOKUP(F4,예상등급!$D$19:$D$27,예상등급!$E$19:$E$27)</f>
        <v>1</v>
      </c>
      <c r="H4" s="44" t="e">
        <f>((F4-예상등급!#REF!)/예상등급!#REF!)*20+100</f>
        <v>#REF!</v>
      </c>
      <c r="I4">
        <v>95</v>
      </c>
      <c r="J4" s="37">
        <f>LOOKUP(I4,예상등급!$D$5:$D$13,예상등급!$E$5:$E$13)</f>
        <v>1</v>
      </c>
      <c r="K4" s="44" t="e">
        <f>((I4-예상등급!#REF!)/예상등급!#REF!)*20+100</f>
        <v>#REF!</v>
      </c>
      <c r="L4" s="34">
        <f>SUM(C4,F4,I4)</f>
        <v>280</v>
      </c>
      <c r="M4" s="45" t="e">
        <f>SUM(E4,H4,K4)</f>
        <v>#REF!</v>
      </c>
      <c r="N4" s="34">
        <f>RANK(L4,$L$4:$L$42)</f>
        <v>2</v>
      </c>
      <c r="O4">
        <v>42</v>
      </c>
      <c r="P4">
        <v>45</v>
      </c>
      <c r="Q4" s="36">
        <f>(SUM(O4:P4))</f>
        <v>87</v>
      </c>
      <c r="R4" s="35">
        <f t="shared" ref="R4:R42" si="0">SUM(L4,Q4)</f>
        <v>367</v>
      </c>
      <c r="S4" s="35">
        <f t="shared" ref="S4:S42" si="1">RANK(R4,$R$4:$R$42)</f>
        <v>3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229</v>
      </c>
      <c r="C5">
        <v>0</v>
      </c>
      <c r="D5" s="37">
        <f>LOOKUP(C5,예상등급!$A$5:$A$13,예상등급!$B$5:$B$13)</f>
        <v>9</v>
      </c>
      <c r="E5" s="44" t="e">
        <f>((C5-예상등급!#REF!)/예상등급!#REF!)*20+100</f>
        <v>#REF!</v>
      </c>
      <c r="F5">
        <v>0</v>
      </c>
      <c r="G5" s="37">
        <f>LOOKUP(F5,예상등급!$D$19:$D$27,예상등급!$E$19:$E$27)</f>
        <v>9</v>
      </c>
      <c r="H5" s="44" t="e">
        <f>((F5-예상등급!#REF!)/예상등급!#REF!)*20+100</f>
        <v>#REF!</v>
      </c>
      <c r="I5">
        <v>0</v>
      </c>
      <c r="J5" s="37">
        <f>LOOKUP(I5,예상등급!$D$5:$D$13,예상등급!$E$5:$E$13)</f>
        <v>9</v>
      </c>
      <c r="K5" s="44" t="e">
        <f>((I5-예상등급!#REF!)/예상등급!#REF!)*20+100</f>
        <v>#REF!</v>
      </c>
      <c r="L5" s="34">
        <f t="shared" ref="L5:L37" si="2">SUM(C5,F5,I5)</f>
        <v>0</v>
      </c>
      <c r="M5" s="45" t="e">
        <f t="shared" ref="M5:M37" si="3">SUM(E5,H5,K5)</f>
        <v>#REF!</v>
      </c>
      <c r="N5" s="34">
        <f t="shared" ref="N5:N42" si="4">RANK(L5,$L$4:$L$42)</f>
        <v>39</v>
      </c>
      <c r="O5">
        <v>0</v>
      </c>
      <c r="P5">
        <v>0</v>
      </c>
      <c r="Q5" s="36">
        <f t="shared" ref="Q5:Q42" si="5">(SUM(O5:P5))</f>
        <v>0</v>
      </c>
      <c r="R5" s="35">
        <f t="shared" si="0"/>
        <v>0</v>
      </c>
      <c r="S5" s="35">
        <f t="shared" si="1"/>
        <v>39</v>
      </c>
      <c r="T5" s="4"/>
      <c r="U5" s="8">
        <v>390</v>
      </c>
      <c r="V5" s="9">
        <f t="shared" ref="V5:V18" si="6">FREQUENCY($R$4:$R$42,W4:W24)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230</v>
      </c>
      <c r="C6">
        <v>86</v>
      </c>
      <c r="D6" s="37">
        <f>LOOKUP(C6,예상등급!$A$5:$A$13,예상등급!$B$5:$B$13)</f>
        <v>1</v>
      </c>
      <c r="E6" s="44" t="e">
        <f>((C6-예상등급!#REF!)/예상등급!#REF!)*20+100</f>
        <v>#REF!</v>
      </c>
      <c r="F6">
        <v>24</v>
      </c>
      <c r="G6" s="37">
        <f>LOOKUP(F6,예상등급!$D$19:$D$27,예상등급!$E$19:$E$27)</f>
        <v>5</v>
      </c>
      <c r="H6" s="44" t="e">
        <f>((F6-예상등급!#REF!)/예상등급!#REF!)*20+100</f>
        <v>#REF!</v>
      </c>
      <c r="I6">
        <v>64</v>
      </c>
      <c r="J6" s="37">
        <f>LOOKUP(I6,예상등급!$D$5:$D$13,예상등급!$E$5:$E$13)</f>
        <v>4</v>
      </c>
      <c r="K6" s="44" t="e">
        <f>((I6-예상등급!#REF!)/예상등급!#REF!)*20+100</f>
        <v>#REF!</v>
      </c>
      <c r="L6" s="34">
        <f t="shared" si="2"/>
        <v>174</v>
      </c>
      <c r="M6" s="45" t="e">
        <f t="shared" si="3"/>
        <v>#REF!</v>
      </c>
      <c r="N6" s="34">
        <f t="shared" si="4"/>
        <v>26</v>
      </c>
      <c r="O6">
        <v>41</v>
      </c>
      <c r="P6">
        <v>42</v>
      </c>
      <c r="Q6" s="36">
        <f t="shared" si="5"/>
        <v>83</v>
      </c>
      <c r="R6" s="35">
        <f t="shared" si="0"/>
        <v>257</v>
      </c>
      <c r="S6" s="35">
        <f t="shared" si="1"/>
        <v>20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231</v>
      </c>
      <c r="C7">
        <v>92</v>
      </c>
      <c r="D7" s="37">
        <f>LOOKUP(C7,예상등급!$A$5:$A$13,예상등급!$B$5:$B$13)</f>
        <v>1</v>
      </c>
      <c r="E7" s="44" t="e">
        <f>((C7-예상등급!#REF!)/예상등급!#REF!)*20+100</f>
        <v>#REF!</v>
      </c>
      <c r="F7">
        <v>65</v>
      </c>
      <c r="G7" s="37">
        <f>LOOKUP(F7,예상등급!$D$19:$D$27,예상등급!$E$19:$E$27)</f>
        <v>1</v>
      </c>
      <c r="H7" s="44" t="e">
        <f>((F7-예상등급!#REF!)/예상등급!#REF!)*20+100</f>
        <v>#REF!</v>
      </c>
      <c r="I7">
        <v>69</v>
      </c>
      <c r="J7" s="37">
        <f>LOOKUP(I7,예상등급!$D$5:$D$13,예상등급!$E$5:$E$13)</f>
        <v>4</v>
      </c>
      <c r="K7" s="44" t="e">
        <f>((I7-예상등급!#REF!)/예상등급!#REF!)*20+100</f>
        <v>#REF!</v>
      </c>
      <c r="L7" s="34">
        <f t="shared" si="2"/>
        <v>226</v>
      </c>
      <c r="M7" s="45" t="e">
        <f t="shared" si="3"/>
        <v>#REF!</v>
      </c>
      <c r="N7" s="34">
        <f t="shared" si="4"/>
        <v>9</v>
      </c>
      <c r="O7">
        <v>44</v>
      </c>
      <c r="P7">
        <v>34</v>
      </c>
      <c r="Q7" s="36">
        <f t="shared" si="5"/>
        <v>78</v>
      </c>
      <c r="R7" s="35">
        <f t="shared" si="0"/>
        <v>304</v>
      </c>
      <c r="S7" s="35">
        <f t="shared" si="1"/>
        <v>11</v>
      </c>
      <c r="T7" s="4"/>
      <c r="U7" s="8">
        <v>370</v>
      </c>
      <c r="V7" s="9">
        <f t="shared" si="6"/>
        <v>2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232</v>
      </c>
      <c r="C8">
        <v>100</v>
      </c>
      <c r="D8" s="37">
        <f>LOOKUP(C8,예상등급!$A$5:$A$13,예상등급!$B$5:$B$13)</f>
        <v>1</v>
      </c>
      <c r="E8" s="44" t="e">
        <f>((C8-예상등급!#REF!)/예상등급!#REF!)*20+100</f>
        <v>#REF!</v>
      </c>
      <c r="F8">
        <v>66</v>
      </c>
      <c r="G8" s="37">
        <f>LOOKUP(F8,예상등급!$D$19:$D$27,예상등급!$E$19:$E$27)</f>
        <v>1</v>
      </c>
      <c r="H8" s="44" t="e">
        <f>((F8-예상등급!#REF!)/예상등급!#REF!)*20+100</f>
        <v>#REF!</v>
      </c>
      <c r="I8">
        <v>87</v>
      </c>
      <c r="J8" s="37">
        <f>LOOKUP(I8,예상등급!$D$5:$D$13,예상등급!$E$5:$E$13)</f>
        <v>2</v>
      </c>
      <c r="K8" s="44" t="e">
        <f>((I8-예상등급!#REF!)/예상등급!#REF!)*20+100</f>
        <v>#REF!</v>
      </c>
      <c r="L8" s="34">
        <f t="shared" si="2"/>
        <v>253</v>
      </c>
      <c r="M8" s="45" t="e">
        <f t="shared" si="3"/>
        <v>#REF!</v>
      </c>
      <c r="N8" s="34">
        <f t="shared" si="4"/>
        <v>6</v>
      </c>
      <c r="O8">
        <v>42</v>
      </c>
      <c r="P8">
        <v>38</v>
      </c>
      <c r="Q8" s="36">
        <f t="shared" si="5"/>
        <v>80</v>
      </c>
      <c r="R8" s="35">
        <f t="shared" si="0"/>
        <v>333</v>
      </c>
      <c r="S8" s="35">
        <f t="shared" si="1"/>
        <v>7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32</v>
      </c>
      <c r="C9">
        <v>98</v>
      </c>
      <c r="D9" s="37">
        <f>LOOKUP(C9,예상등급!$A$5:$A$13,예상등급!$B$5:$B$13)</f>
        <v>1</v>
      </c>
      <c r="E9" s="44" t="e">
        <f>((C9-예상등급!#REF!)/예상등급!#REF!)*20+100</f>
        <v>#REF!</v>
      </c>
      <c r="F9">
        <v>51</v>
      </c>
      <c r="G9" s="37">
        <f>LOOKUP(F9,예상등급!$D$19:$D$27,예상등급!$E$19:$E$27)</f>
        <v>1</v>
      </c>
      <c r="H9" s="44" t="e">
        <f>((F9-예상등급!#REF!)/예상등급!#REF!)*20+100</f>
        <v>#REF!</v>
      </c>
      <c r="I9">
        <v>61</v>
      </c>
      <c r="J9" s="37">
        <f>LOOKUP(I9,예상등급!$D$5:$D$13,예상등급!$E$5:$E$13)</f>
        <v>4</v>
      </c>
      <c r="K9" s="44" t="e">
        <f>((I9-예상등급!#REF!)/예상등급!#REF!)*20+100</f>
        <v>#REF!</v>
      </c>
      <c r="L9" s="34">
        <f t="shared" si="2"/>
        <v>210</v>
      </c>
      <c r="M9" s="45" t="e">
        <f t="shared" si="3"/>
        <v>#REF!</v>
      </c>
      <c r="N9" s="34">
        <f t="shared" si="4"/>
        <v>15</v>
      </c>
      <c r="O9">
        <v>41</v>
      </c>
      <c r="P9">
        <v>41</v>
      </c>
      <c r="Q9" s="36">
        <f t="shared" si="5"/>
        <v>82</v>
      </c>
      <c r="R9" s="35">
        <f t="shared" si="0"/>
        <v>292</v>
      </c>
      <c r="S9" s="35">
        <f t="shared" si="1"/>
        <v>14</v>
      </c>
      <c r="T9" s="4"/>
      <c r="U9" s="10">
        <v>350</v>
      </c>
      <c r="V9" s="9">
        <f t="shared" si="6"/>
        <v>2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233</v>
      </c>
      <c r="C10">
        <v>97</v>
      </c>
      <c r="D10" s="37">
        <f>LOOKUP(C10,예상등급!$A$5:$A$13,예상등급!$B$5:$B$13)</f>
        <v>1</v>
      </c>
      <c r="E10" s="44" t="e">
        <f>((C10-예상등급!#REF!)/예상등급!#REF!)*20+100</f>
        <v>#REF!</v>
      </c>
      <c r="F10">
        <v>96</v>
      </c>
      <c r="G10" s="37">
        <f>LOOKUP(F10,예상등급!$D$19:$D$27,예상등급!$E$19:$E$27)</f>
        <v>1</v>
      </c>
      <c r="H10" s="44" t="e">
        <f>((F10-예상등급!#REF!)/예상등급!#REF!)*20+100</f>
        <v>#REF!</v>
      </c>
      <c r="I10">
        <v>85</v>
      </c>
      <c r="J10" s="37">
        <f>LOOKUP(I10,예상등급!$D$5:$D$13,예상등급!$E$5:$E$13)</f>
        <v>2</v>
      </c>
      <c r="K10" s="44" t="e">
        <f>((I10-예상등급!#REF!)/예상등급!#REF!)*20+100</f>
        <v>#REF!</v>
      </c>
      <c r="L10" s="34">
        <f t="shared" si="2"/>
        <v>278</v>
      </c>
      <c r="M10" s="45" t="e">
        <f t="shared" si="3"/>
        <v>#REF!</v>
      </c>
      <c r="N10" s="34">
        <f t="shared" si="4"/>
        <v>4</v>
      </c>
      <c r="O10">
        <v>38</v>
      </c>
      <c r="P10">
        <v>35</v>
      </c>
      <c r="Q10" s="36">
        <f t="shared" si="5"/>
        <v>73</v>
      </c>
      <c r="R10" s="35">
        <f t="shared" si="0"/>
        <v>351</v>
      </c>
      <c r="S10" s="35">
        <f t="shared" si="1"/>
        <v>5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234</v>
      </c>
      <c r="C11">
        <v>86</v>
      </c>
      <c r="D11" s="37">
        <f>LOOKUP(C11,예상등급!$A$5:$A$13,예상등급!$B$5:$B$13)</f>
        <v>1</v>
      </c>
      <c r="E11" s="44" t="e">
        <f>((C11-예상등급!#REF!)/예상등급!#REF!)*20+100</f>
        <v>#REF!</v>
      </c>
      <c r="F11">
        <v>38</v>
      </c>
      <c r="G11" s="37">
        <f>LOOKUP(F11,예상등급!$D$19:$D$27,예상등급!$E$19:$E$27)</f>
        <v>2</v>
      </c>
      <c r="H11" s="44" t="e">
        <f>((F11-예상등급!#REF!)/예상등급!#REF!)*20+100</f>
        <v>#REF!</v>
      </c>
      <c r="I11">
        <v>49</v>
      </c>
      <c r="J11" s="37">
        <f>LOOKUP(I11,예상등급!$D$5:$D$13,예상등급!$E$5:$E$13)</f>
        <v>6</v>
      </c>
      <c r="K11" s="44" t="e">
        <f>((I11-예상등급!#REF!)/예상등급!#REF!)*20+100</f>
        <v>#REF!</v>
      </c>
      <c r="L11" s="34">
        <f t="shared" si="2"/>
        <v>173</v>
      </c>
      <c r="M11" s="45" t="e">
        <f t="shared" si="3"/>
        <v>#REF!</v>
      </c>
      <c r="N11" s="34">
        <f t="shared" si="4"/>
        <v>28</v>
      </c>
      <c r="O11">
        <v>32</v>
      </c>
      <c r="P11">
        <v>19</v>
      </c>
      <c r="Q11" s="36">
        <f t="shared" si="5"/>
        <v>51</v>
      </c>
      <c r="R11" s="35">
        <f t="shared" si="0"/>
        <v>224</v>
      </c>
      <c r="S11" s="35">
        <f t="shared" si="1"/>
        <v>29</v>
      </c>
      <c r="T11" s="4"/>
      <c r="U11" s="12">
        <v>330</v>
      </c>
      <c r="V11" s="9">
        <f t="shared" si="6"/>
        <v>2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235</v>
      </c>
      <c r="C12">
        <v>81</v>
      </c>
      <c r="D12" s="37">
        <f>LOOKUP(C12,예상등급!$A$5:$A$13,예상등급!$B$5:$B$13)</f>
        <v>1</v>
      </c>
      <c r="E12" s="44" t="e">
        <f>((C12-예상등급!#REF!)/예상등급!#REF!)*20+100</f>
        <v>#REF!</v>
      </c>
      <c r="F12">
        <v>32</v>
      </c>
      <c r="G12" s="37">
        <f>LOOKUP(F12,예상등급!$D$19:$D$27,예상등급!$E$19:$E$27)</f>
        <v>3</v>
      </c>
      <c r="H12" s="44" t="e">
        <f>((F12-예상등급!#REF!)/예상등급!#REF!)*20+100</f>
        <v>#REF!</v>
      </c>
      <c r="I12">
        <v>69</v>
      </c>
      <c r="J12" s="37">
        <f>LOOKUP(I12,예상등급!$D$5:$D$13,예상등급!$E$5:$E$13)</f>
        <v>4</v>
      </c>
      <c r="K12" s="44" t="e">
        <f>((I12-예상등급!#REF!)/예상등급!#REF!)*20+100</f>
        <v>#REF!</v>
      </c>
      <c r="L12" s="34">
        <f t="shared" si="2"/>
        <v>182</v>
      </c>
      <c r="M12" s="45" t="e">
        <f t="shared" si="3"/>
        <v>#REF!</v>
      </c>
      <c r="N12" s="34">
        <f t="shared" si="4"/>
        <v>22</v>
      </c>
      <c r="O12">
        <v>21</v>
      </c>
      <c r="P12">
        <v>45</v>
      </c>
      <c r="Q12" s="36">
        <f t="shared" si="5"/>
        <v>66</v>
      </c>
      <c r="R12" s="35">
        <f t="shared" si="0"/>
        <v>248</v>
      </c>
      <c r="S12" s="35">
        <f t="shared" si="1"/>
        <v>24</v>
      </c>
      <c r="T12" s="4"/>
      <c r="U12" s="12">
        <v>320</v>
      </c>
      <c r="V12" s="9">
        <f t="shared" si="6"/>
        <v>1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35</v>
      </c>
      <c r="C13">
        <v>91</v>
      </c>
      <c r="D13" s="37">
        <f>LOOKUP(C13,예상등급!$A$5:$A$13,예상등급!$B$5:$B$13)</f>
        <v>1</v>
      </c>
      <c r="E13" s="44" t="e">
        <f>((C13-예상등급!#REF!)/예상등급!#REF!)*20+100</f>
        <v>#REF!</v>
      </c>
      <c r="F13">
        <v>17</v>
      </c>
      <c r="G13" s="37">
        <f>LOOKUP(F13,예상등급!$D$19:$D$27,예상등급!$E$19:$E$27)</f>
        <v>6</v>
      </c>
      <c r="H13" s="44" t="e">
        <f>((F13-예상등급!#REF!)/예상등급!#REF!)*20+100</f>
        <v>#REF!</v>
      </c>
      <c r="I13">
        <v>76</v>
      </c>
      <c r="J13" s="37">
        <f>LOOKUP(I13,예상등급!$D$5:$D$13,예상등급!$E$5:$E$13)</f>
        <v>3</v>
      </c>
      <c r="K13" s="44" t="e">
        <f>((I13-예상등급!#REF!)/예상등급!#REF!)*20+100</f>
        <v>#REF!</v>
      </c>
      <c r="L13" s="34">
        <f t="shared" si="2"/>
        <v>184</v>
      </c>
      <c r="M13" s="45" t="e">
        <f t="shared" si="3"/>
        <v>#REF!</v>
      </c>
      <c r="N13" s="34">
        <f t="shared" si="4"/>
        <v>21</v>
      </c>
      <c r="O13">
        <v>32</v>
      </c>
      <c r="P13">
        <v>21</v>
      </c>
      <c r="Q13" s="36">
        <f t="shared" si="5"/>
        <v>53</v>
      </c>
      <c r="R13" s="35">
        <f t="shared" si="0"/>
        <v>237</v>
      </c>
      <c r="S13" s="35">
        <f t="shared" si="1"/>
        <v>25</v>
      </c>
      <c r="T13" s="4"/>
      <c r="U13" s="12">
        <v>310</v>
      </c>
      <c r="V13" s="9">
        <f t="shared" si="6"/>
        <v>0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236</v>
      </c>
      <c r="C14">
        <v>84</v>
      </c>
      <c r="D14" s="37">
        <f>LOOKUP(C14,예상등급!$A$5:$A$13,예상등급!$B$5:$B$13)</f>
        <v>1</v>
      </c>
      <c r="E14" s="44" t="e">
        <f>((C14-예상등급!#REF!)/예상등급!#REF!)*20+100</f>
        <v>#REF!</v>
      </c>
      <c r="F14">
        <v>19</v>
      </c>
      <c r="G14" s="37">
        <f>LOOKUP(F14,예상등급!$D$19:$D$27,예상등급!$E$19:$E$27)</f>
        <v>6</v>
      </c>
      <c r="H14" s="44" t="e">
        <f>((F14-예상등급!#REF!)/예상등급!#REF!)*20+100</f>
        <v>#REF!</v>
      </c>
      <c r="I14">
        <v>78</v>
      </c>
      <c r="J14" s="37">
        <f>LOOKUP(I14,예상등급!$D$5:$D$13,예상등급!$E$5:$E$13)</f>
        <v>3</v>
      </c>
      <c r="K14" s="44" t="e">
        <f>((I14-예상등급!#REF!)/예상등급!#REF!)*20+100</f>
        <v>#REF!</v>
      </c>
      <c r="L14" s="34">
        <f t="shared" si="2"/>
        <v>181</v>
      </c>
      <c r="M14" s="45" t="e">
        <f t="shared" si="3"/>
        <v>#REF!</v>
      </c>
      <c r="N14" s="34">
        <f t="shared" si="4"/>
        <v>23</v>
      </c>
      <c r="O14">
        <v>33</v>
      </c>
      <c r="P14">
        <v>41</v>
      </c>
      <c r="Q14" s="36">
        <f t="shared" si="5"/>
        <v>74</v>
      </c>
      <c r="R14" s="35">
        <f t="shared" si="0"/>
        <v>255</v>
      </c>
      <c r="S14" s="35">
        <f t="shared" si="1"/>
        <v>22</v>
      </c>
      <c r="T14" s="4"/>
      <c r="U14" s="13">
        <v>300</v>
      </c>
      <c r="V14" s="9">
        <f t="shared" si="6"/>
        <v>4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237</v>
      </c>
      <c r="C15">
        <v>98</v>
      </c>
      <c r="D15" s="37">
        <f>LOOKUP(C15,예상등급!$A$5:$A$13,예상등급!$B$5:$B$13)</f>
        <v>1</v>
      </c>
      <c r="E15" s="44" t="e">
        <f>((C15-예상등급!#REF!)/예상등급!#REF!)*20+100</f>
        <v>#REF!</v>
      </c>
      <c r="F15">
        <v>92</v>
      </c>
      <c r="G15" s="37">
        <f>LOOKUP(F15,예상등급!$D$19:$D$27,예상등급!$E$19:$E$27)</f>
        <v>1</v>
      </c>
      <c r="H15" s="44" t="e">
        <f>((F15-예상등급!#REF!)/예상등급!#REF!)*20+100</f>
        <v>#REF!</v>
      </c>
      <c r="I15">
        <v>89</v>
      </c>
      <c r="J15" s="37">
        <f>LOOKUP(I15,예상등급!$D$5:$D$13,예상등급!$E$5:$E$13)</f>
        <v>2</v>
      </c>
      <c r="K15" s="44" t="e">
        <f>((I15-예상등급!#REF!)/예상등급!#REF!)*20+100</f>
        <v>#REF!</v>
      </c>
      <c r="L15" s="34">
        <f t="shared" si="2"/>
        <v>279</v>
      </c>
      <c r="M15" s="45" t="e">
        <f t="shared" si="3"/>
        <v>#REF!</v>
      </c>
      <c r="N15" s="34">
        <f t="shared" si="4"/>
        <v>3</v>
      </c>
      <c r="O15">
        <v>44</v>
      </c>
      <c r="P15">
        <v>47</v>
      </c>
      <c r="Q15" s="36">
        <f t="shared" si="5"/>
        <v>91</v>
      </c>
      <c r="R15" s="35">
        <f t="shared" si="0"/>
        <v>370</v>
      </c>
      <c r="S15" s="35">
        <f t="shared" si="1"/>
        <v>2</v>
      </c>
      <c r="T15" s="4"/>
      <c r="U15" s="14">
        <v>290</v>
      </c>
      <c r="V15" s="9">
        <f t="shared" si="6"/>
        <v>2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238</v>
      </c>
      <c r="C16">
        <v>79</v>
      </c>
      <c r="D16" s="37">
        <f>LOOKUP(C16,예상등급!$A$5:$A$13,예상등급!$B$5:$B$13)</f>
        <v>1</v>
      </c>
      <c r="E16" s="44" t="e">
        <f>((C16-예상등급!#REF!)/예상등급!#REF!)*20+100</f>
        <v>#REF!</v>
      </c>
      <c r="F16">
        <v>47</v>
      </c>
      <c r="G16" s="37">
        <f>LOOKUP(F16,예상등급!$D$19:$D$27,예상등급!$E$19:$E$27)</f>
        <v>1</v>
      </c>
      <c r="H16" s="44" t="e">
        <f>((F16-예상등급!#REF!)/예상등급!#REF!)*20+100</f>
        <v>#REF!</v>
      </c>
      <c r="I16">
        <v>60</v>
      </c>
      <c r="J16" s="37">
        <f>LOOKUP(I16,예상등급!$D$5:$D$13,예상등급!$E$5:$E$13)</f>
        <v>4</v>
      </c>
      <c r="K16" s="44" t="e">
        <f>((I16-예상등급!#REF!)/예상등급!#REF!)*20+100</f>
        <v>#REF!</v>
      </c>
      <c r="L16" s="34">
        <f t="shared" si="2"/>
        <v>186</v>
      </c>
      <c r="M16" s="45" t="e">
        <f t="shared" si="3"/>
        <v>#REF!</v>
      </c>
      <c r="N16" s="34">
        <f t="shared" si="4"/>
        <v>19</v>
      </c>
      <c r="O16">
        <v>38</v>
      </c>
      <c r="P16">
        <v>47</v>
      </c>
      <c r="Q16" s="36">
        <f t="shared" si="5"/>
        <v>85</v>
      </c>
      <c r="R16" s="35">
        <f t="shared" si="0"/>
        <v>271</v>
      </c>
      <c r="S16" s="35">
        <f t="shared" si="1"/>
        <v>17</v>
      </c>
      <c r="T16" s="4"/>
      <c r="U16" s="15">
        <v>280</v>
      </c>
      <c r="V16" s="9">
        <f t="shared" si="6"/>
        <v>1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239</v>
      </c>
      <c r="C17">
        <v>41</v>
      </c>
      <c r="D17" s="37">
        <f>LOOKUP(C17,예상등급!$A$5:$A$13,예상등급!$B$5:$B$13)</f>
        <v>5</v>
      </c>
      <c r="E17" s="44" t="e">
        <f>((C17-예상등급!#REF!)/예상등급!#REF!)*20+100</f>
        <v>#REF!</v>
      </c>
      <c r="F17">
        <v>25</v>
      </c>
      <c r="G17" s="37">
        <f>LOOKUP(F17,예상등급!$D$19:$D$27,예상등급!$E$19:$E$27)</f>
        <v>4</v>
      </c>
      <c r="H17" s="44" t="e">
        <f>((F17-예상등급!#REF!)/예상등급!#REF!)*20+100</f>
        <v>#REF!</v>
      </c>
      <c r="I17">
        <v>41</v>
      </c>
      <c r="J17" s="37">
        <f>LOOKUP(I17,예상등급!$D$5:$D$13,예상등급!$E$5:$E$13)</f>
        <v>6</v>
      </c>
      <c r="K17" s="44" t="e">
        <f>((I17-예상등급!#REF!)/예상등급!#REF!)*20+100</f>
        <v>#REF!</v>
      </c>
      <c r="L17" s="34">
        <f t="shared" si="2"/>
        <v>107</v>
      </c>
      <c r="M17" s="45" t="e">
        <f t="shared" si="3"/>
        <v>#REF!</v>
      </c>
      <c r="N17" s="34">
        <f t="shared" si="4"/>
        <v>36</v>
      </c>
      <c r="O17">
        <v>44</v>
      </c>
      <c r="P17">
        <v>44</v>
      </c>
      <c r="Q17" s="36">
        <f t="shared" si="5"/>
        <v>88</v>
      </c>
      <c r="R17" s="35">
        <f t="shared" si="0"/>
        <v>195</v>
      </c>
      <c r="S17" s="35">
        <f t="shared" si="1"/>
        <v>35</v>
      </c>
      <c r="T17" s="4"/>
      <c r="U17" s="15">
        <v>270</v>
      </c>
      <c r="V17" s="9">
        <f t="shared" si="6"/>
        <v>2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57</v>
      </c>
      <c r="C18">
        <v>96</v>
      </c>
      <c r="D18" s="37">
        <f>LOOKUP(C18,예상등급!$A$5:$A$13,예상등급!$B$5:$B$13)</f>
        <v>1</v>
      </c>
      <c r="E18" s="44" t="e">
        <f>((C18-예상등급!#REF!)/예상등급!#REF!)*20+100</f>
        <v>#REF!</v>
      </c>
      <c r="F18">
        <v>33</v>
      </c>
      <c r="G18" s="37">
        <f>LOOKUP(F18,예상등급!$D$19:$D$27,예상등급!$E$19:$E$27)</f>
        <v>3</v>
      </c>
      <c r="H18" s="44" t="e">
        <f>((F18-예상등급!#REF!)/예상등급!#REF!)*20+100</f>
        <v>#REF!</v>
      </c>
      <c r="I18">
        <v>89</v>
      </c>
      <c r="J18" s="37">
        <f>LOOKUP(I18,예상등급!$D$5:$D$13,예상등급!$E$5:$E$13)</f>
        <v>2</v>
      </c>
      <c r="K18" s="44" t="e">
        <f>((I18-예상등급!#REF!)/예상등급!#REF!)*20+100</f>
        <v>#REF!</v>
      </c>
      <c r="L18" s="34">
        <f t="shared" si="2"/>
        <v>218</v>
      </c>
      <c r="M18" s="45" t="e">
        <f t="shared" si="3"/>
        <v>#REF!</v>
      </c>
      <c r="N18" s="34">
        <f t="shared" si="4"/>
        <v>12</v>
      </c>
      <c r="O18">
        <v>36</v>
      </c>
      <c r="P18">
        <v>47</v>
      </c>
      <c r="Q18" s="36">
        <f t="shared" si="5"/>
        <v>83</v>
      </c>
      <c r="R18" s="35">
        <f t="shared" si="0"/>
        <v>301</v>
      </c>
      <c r="S18" s="35">
        <f t="shared" si="1"/>
        <v>12</v>
      </c>
      <c r="T18" s="4"/>
      <c r="U18" s="15">
        <v>260</v>
      </c>
      <c r="V18" s="9">
        <f t="shared" si="6"/>
        <v>2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240</v>
      </c>
      <c r="C19">
        <v>94</v>
      </c>
      <c r="D19" s="37">
        <f>LOOKUP(C19,예상등급!$A$5:$A$13,예상등급!$B$5:$B$13)</f>
        <v>1</v>
      </c>
      <c r="E19" s="44" t="e">
        <f>((C19-예상등급!#REF!)/예상등급!#REF!)*20+100</f>
        <v>#REF!</v>
      </c>
      <c r="F19">
        <v>51</v>
      </c>
      <c r="G19" s="37">
        <f>LOOKUP(F19,예상등급!$D$19:$D$27,예상등급!$E$19:$E$27)</f>
        <v>1</v>
      </c>
      <c r="H19" s="44" t="e">
        <f>((F19-예상등급!#REF!)/예상등급!#REF!)*20+100</f>
        <v>#REF!</v>
      </c>
      <c r="I19">
        <v>52</v>
      </c>
      <c r="J19" s="37">
        <f>LOOKUP(I19,예상등급!$D$5:$D$13,예상등급!$E$5:$E$13)</f>
        <v>5</v>
      </c>
      <c r="K19" s="44" t="e">
        <f>((I19-예상등급!#REF!)/예상등급!#REF!)*20+100</f>
        <v>#REF!</v>
      </c>
      <c r="L19" s="34">
        <f t="shared" si="2"/>
        <v>197</v>
      </c>
      <c r="M19" s="45" t="e">
        <f t="shared" si="3"/>
        <v>#REF!</v>
      </c>
      <c r="N19" s="34">
        <f t="shared" si="4"/>
        <v>18</v>
      </c>
      <c r="O19">
        <v>35</v>
      </c>
      <c r="P19">
        <v>32</v>
      </c>
      <c r="Q19" s="36">
        <f t="shared" si="5"/>
        <v>67</v>
      </c>
      <c r="R19" s="35">
        <f t="shared" si="0"/>
        <v>264</v>
      </c>
      <c r="S19" s="35">
        <f t="shared" si="1"/>
        <v>19</v>
      </c>
      <c r="T19" s="4"/>
      <c r="U19" s="16">
        <v>250</v>
      </c>
      <c r="V19" s="9">
        <f>FREQUENCY($R$4:$R$42,W18:W42)</f>
        <v>4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241</v>
      </c>
      <c r="C20">
        <v>93</v>
      </c>
      <c r="D20" s="37">
        <f>LOOKUP(C20,예상등급!$A$5:$A$13,예상등급!$B$5:$B$13)</f>
        <v>1</v>
      </c>
      <c r="E20" s="44" t="e">
        <f>((C20-예상등급!#REF!)/예상등급!#REF!)*20+100</f>
        <v>#REF!</v>
      </c>
      <c r="F20">
        <v>51</v>
      </c>
      <c r="G20" s="37">
        <f>LOOKUP(F20,예상등급!$D$19:$D$27,예상등급!$E$19:$E$27)</f>
        <v>1</v>
      </c>
      <c r="H20" s="44" t="e">
        <f>((F20-예상등급!#REF!)/예상등급!#REF!)*20+100</f>
        <v>#REF!</v>
      </c>
      <c r="I20">
        <v>70</v>
      </c>
      <c r="J20" s="37">
        <f>LOOKUP(I20,예상등급!$D$5:$D$13,예상등급!$E$5:$E$13)</f>
        <v>3</v>
      </c>
      <c r="K20" s="44" t="e">
        <f>((I20-예상등급!#REF!)/예상등급!#REF!)*20+100</f>
        <v>#REF!</v>
      </c>
      <c r="L20" s="34">
        <f t="shared" si="2"/>
        <v>214</v>
      </c>
      <c r="M20" s="45" t="e">
        <f t="shared" si="3"/>
        <v>#REF!</v>
      </c>
      <c r="N20" s="34">
        <f t="shared" si="4"/>
        <v>13</v>
      </c>
      <c r="O20">
        <v>44</v>
      </c>
      <c r="P20">
        <v>48</v>
      </c>
      <c r="Q20" s="36">
        <f t="shared" si="5"/>
        <v>92</v>
      </c>
      <c r="R20" s="35">
        <f t="shared" si="0"/>
        <v>306</v>
      </c>
      <c r="S20" s="35">
        <f t="shared" si="1"/>
        <v>9</v>
      </c>
      <c r="T20" s="4"/>
      <c r="U20" s="17">
        <v>240</v>
      </c>
      <c r="V20" s="9">
        <f>FREQUENCY($R$4:$R$42,W19:W42)</f>
        <v>1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242</v>
      </c>
      <c r="C21">
        <v>79</v>
      </c>
      <c r="D21" s="37">
        <f>LOOKUP(C21,예상등급!$A$5:$A$13,예상등급!$B$5:$B$13)</f>
        <v>1</v>
      </c>
      <c r="E21" s="44" t="e">
        <f>((C21-예상등급!#REF!)/예상등급!#REF!)*20+100</f>
        <v>#REF!</v>
      </c>
      <c r="F21">
        <v>26</v>
      </c>
      <c r="G21" s="37">
        <f>LOOKUP(F21,예상등급!$D$19:$D$27,예상등급!$E$19:$E$27)</f>
        <v>4</v>
      </c>
      <c r="H21" s="44" t="e">
        <f>((F21-예상등급!#REF!)/예상등급!#REF!)*20+100</f>
        <v>#REF!</v>
      </c>
      <c r="I21">
        <v>57</v>
      </c>
      <c r="J21" s="37">
        <f>LOOKUP(I21,예상등급!$D$5:$D$13,예상등급!$E$5:$E$13)</f>
        <v>5</v>
      </c>
      <c r="K21" s="44" t="e">
        <f>((I21-예상등급!#REF!)/예상등급!#REF!)*20+100</f>
        <v>#REF!</v>
      </c>
      <c r="L21" s="34">
        <f t="shared" si="2"/>
        <v>162</v>
      </c>
      <c r="M21" s="45" t="e">
        <f t="shared" si="3"/>
        <v>#REF!</v>
      </c>
      <c r="N21" s="34">
        <f t="shared" si="4"/>
        <v>33</v>
      </c>
      <c r="O21">
        <v>33</v>
      </c>
      <c r="P21">
        <v>32</v>
      </c>
      <c r="Q21" s="36">
        <f t="shared" si="5"/>
        <v>65</v>
      </c>
      <c r="R21" s="35">
        <f t="shared" si="0"/>
        <v>227</v>
      </c>
      <c r="S21" s="35">
        <f t="shared" si="1"/>
        <v>28</v>
      </c>
      <c r="T21" s="4"/>
      <c r="U21" s="18">
        <v>230</v>
      </c>
      <c r="V21" s="9">
        <f t="shared" ref="V21:V26" si="7">FREQUENCY($R$4:$R$42,W20:W42)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243</v>
      </c>
      <c r="C22">
        <v>66</v>
      </c>
      <c r="D22" s="37">
        <f>LOOKUP(C22,예상등급!$A$5:$A$13,예상등급!$B$5:$B$13)</f>
        <v>3</v>
      </c>
      <c r="E22" s="44" t="e">
        <f>((C22-예상등급!#REF!)/예상등급!#REF!)*20+100</f>
        <v>#REF!</v>
      </c>
      <c r="F22">
        <v>15</v>
      </c>
      <c r="G22" s="37">
        <f>LOOKUP(F22,예상등급!$D$19:$D$27,예상등급!$E$19:$E$27)</f>
        <v>6</v>
      </c>
      <c r="H22" s="44" t="e">
        <f>((F22-예상등급!#REF!)/예상등급!#REF!)*20+100</f>
        <v>#REF!</v>
      </c>
      <c r="I22">
        <v>42</v>
      </c>
      <c r="J22" s="37">
        <f>LOOKUP(I22,예상등급!$D$5:$D$13,예상등급!$E$5:$E$13)</f>
        <v>6</v>
      </c>
      <c r="K22" s="44" t="e">
        <f>((I22-예상등급!#REF!)/예상등급!#REF!)*20+100</f>
        <v>#REF!</v>
      </c>
      <c r="L22" s="34">
        <f t="shared" si="2"/>
        <v>123</v>
      </c>
      <c r="M22" s="45" t="e">
        <f t="shared" si="3"/>
        <v>#REF!</v>
      </c>
      <c r="N22" s="34">
        <f t="shared" si="4"/>
        <v>35</v>
      </c>
      <c r="O22">
        <v>15</v>
      </c>
      <c r="P22">
        <v>26</v>
      </c>
      <c r="Q22" s="36">
        <f t="shared" si="5"/>
        <v>41</v>
      </c>
      <c r="R22" s="35">
        <f t="shared" si="0"/>
        <v>164</v>
      </c>
      <c r="S22" s="35">
        <f t="shared" si="1"/>
        <v>36</v>
      </c>
      <c r="T22" s="4"/>
      <c r="U22" s="18">
        <v>220</v>
      </c>
      <c r="V22" s="9">
        <f t="shared" si="7"/>
        <v>5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244</v>
      </c>
      <c r="C23">
        <v>51</v>
      </c>
      <c r="D23" s="37">
        <f>LOOKUP(C23,예상등급!$A$5:$A$13,예상등급!$B$5:$B$13)</f>
        <v>5</v>
      </c>
      <c r="E23" s="44" t="e">
        <f>((C23-예상등급!#REF!)/예상등급!#REF!)*20+100</f>
        <v>#REF!</v>
      </c>
      <c r="F23">
        <v>39</v>
      </c>
      <c r="G23" s="37">
        <f>LOOKUP(F23,예상등급!$D$19:$D$27,예상등급!$E$19:$E$27)</f>
        <v>2</v>
      </c>
      <c r="H23" s="44" t="e">
        <f>((F23-예상등급!#REF!)/예상등급!#REF!)*20+100</f>
        <v>#REF!</v>
      </c>
      <c r="I23">
        <v>74</v>
      </c>
      <c r="J23" s="37">
        <f>LOOKUP(I23,예상등급!$D$5:$D$13,예상등급!$E$5:$E$13)</f>
        <v>3</v>
      </c>
      <c r="K23" s="44" t="e">
        <f>((I23-예상등급!#REF!)/예상등급!#REF!)*20+100</f>
        <v>#REF!</v>
      </c>
      <c r="L23" s="34">
        <f t="shared" si="2"/>
        <v>164</v>
      </c>
      <c r="M23" s="45" t="e">
        <f t="shared" si="3"/>
        <v>#REF!</v>
      </c>
      <c r="N23" s="34">
        <f t="shared" si="4"/>
        <v>31</v>
      </c>
      <c r="O23">
        <v>17</v>
      </c>
      <c r="P23">
        <v>31</v>
      </c>
      <c r="Q23" s="36">
        <f t="shared" si="5"/>
        <v>48</v>
      </c>
      <c r="R23" s="35">
        <f t="shared" si="0"/>
        <v>212</v>
      </c>
      <c r="S23" s="35">
        <f t="shared" si="1"/>
        <v>33</v>
      </c>
      <c r="T23" s="4"/>
      <c r="U23" s="18">
        <v>210</v>
      </c>
      <c r="V23" s="9">
        <f t="shared" si="7"/>
        <v>3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245</v>
      </c>
      <c r="C24">
        <v>81</v>
      </c>
      <c r="D24" s="37">
        <f>LOOKUP(C24,예상등급!$A$5:$A$13,예상등급!$B$5:$B$13)</f>
        <v>1</v>
      </c>
      <c r="E24" s="44" t="e">
        <f>((C24-예상등급!#REF!)/예상등급!#REF!)*20+100</f>
        <v>#REF!</v>
      </c>
      <c r="F24">
        <v>55</v>
      </c>
      <c r="G24" s="37">
        <f>LOOKUP(F24,예상등급!$D$19:$D$27,예상등급!$E$19:$E$27)</f>
        <v>1</v>
      </c>
      <c r="H24" s="44" t="e">
        <f>((F24-예상등급!#REF!)/예상등급!#REF!)*20+100</f>
        <v>#REF!</v>
      </c>
      <c r="I24">
        <v>78</v>
      </c>
      <c r="J24" s="37">
        <f>LOOKUP(I24,예상등급!$D$5:$D$13,예상등급!$E$5:$E$13)</f>
        <v>3</v>
      </c>
      <c r="K24" s="44" t="e">
        <f>((I24-예상등급!#REF!)/예상등급!#REF!)*20+100</f>
        <v>#REF!</v>
      </c>
      <c r="L24" s="34">
        <f t="shared" si="2"/>
        <v>214</v>
      </c>
      <c r="M24" s="45" t="e">
        <f t="shared" si="3"/>
        <v>#REF!</v>
      </c>
      <c r="N24" s="34">
        <f t="shared" si="4"/>
        <v>13</v>
      </c>
      <c r="O24">
        <v>29</v>
      </c>
      <c r="P24">
        <v>26</v>
      </c>
      <c r="Q24" s="36">
        <f t="shared" si="5"/>
        <v>55</v>
      </c>
      <c r="R24" s="35">
        <f t="shared" si="0"/>
        <v>269</v>
      </c>
      <c r="S24" s="35">
        <f t="shared" si="1"/>
        <v>18</v>
      </c>
      <c r="T24" s="4"/>
      <c r="U24" s="19">
        <v>200</v>
      </c>
      <c r="V24" s="9">
        <f t="shared" si="7"/>
        <v>0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246</v>
      </c>
      <c r="C25">
        <v>18</v>
      </c>
      <c r="D25" s="37">
        <f>LOOKUP(C25,예상등급!$A$5:$A$13,예상등급!$B$5:$B$13)</f>
        <v>8</v>
      </c>
      <c r="E25" s="44" t="e">
        <f>((C25-예상등급!#REF!)/예상등급!#REF!)*20+100</f>
        <v>#REF!</v>
      </c>
      <c r="F25">
        <v>19</v>
      </c>
      <c r="G25" s="37">
        <f>LOOKUP(F25,예상등급!$D$19:$D$27,예상등급!$E$19:$E$27)</f>
        <v>6</v>
      </c>
      <c r="H25" s="44" t="e">
        <f>((F25-예상등급!#REF!)/예상등급!#REF!)*20+100</f>
        <v>#REF!</v>
      </c>
      <c r="I25">
        <v>38</v>
      </c>
      <c r="J25" s="37">
        <f>LOOKUP(I25,예상등급!$D$5:$D$13,예상등급!$E$5:$E$13)</f>
        <v>7</v>
      </c>
      <c r="K25" s="44" t="e">
        <f>((I25-예상등급!#REF!)/예상등급!#REF!)*20+100</f>
        <v>#REF!</v>
      </c>
      <c r="L25" s="34">
        <f t="shared" si="2"/>
        <v>75</v>
      </c>
      <c r="M25" s="45" t="e">
        <f t="shared" si="3"/>
        <v>#REF!</v>
      </c>
      <c r="N25" s="34">
        <f t="shared" si="4"/>
        <v>38</v>
      </c>
      <c r="O25">
        <v>9</v>
      </c>
      <c r="P25">
        <v>12</v>
      </c>
      <c r="Q25" s="36">
        <f t="shared" si="5"/>
        <v>21</v>
      </c>
      <c r="R25" s="35">
        <f t="shared" si="0"/>
        <v>96</v>
      </c>
      <c r="S25" s="35">
        <f t="shared" si="1"/>
        <v>38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247</v>
      </c>
      <c r="C26">
        <v>90</v>
      </c>
      <c r="D26" s="37">
        <f>LOOKUP(C26,예상등급!$A$5:$A$13,예상등급!$B$5:$B$13)</f>
        <v>1</v>
      </c>
      <c r="E26" s="44" t="e">
        <f>((C26-예상등급!#REF!)/예상등급!#REF!)*20+100</f>
        <v>#REF!</v>
      </c>
      <c r="F26">
        <v>38</v>
      </c>
      <c r="G26" s="37">
        <f>LOOKUP(F26,예상등급!$D$19:$D$27,예상등급!$E$19:$E$27)</f>
        <v>2</v>
      </c>
      <c r="H26" s="44" t="e">
        <f>((F26-예상등급!#REF!)/예상등급!#REF!)*20+100</f>
        <v>#REF!</v>
      </c>
      <c r="I26">
        <v>57</v>
      </c>
      <c r="J26" s="37">
        <f>LOOKUP(I26,예상등급!$D$5:$D$13,예상등급!$E$5:$E$13)</f>
        <v>5</v>
      </c>
      <c r="K26" s="44" t="e">
        <f>((I26-예상등급!#REF!)/예상등급!#REF!)*20+100</f>
        <v>#REF!</v>
      </c>
      <c r="L26" s="34">
        <f t="shared" si="2"/>
        <v>185</v>
      </c>
      <c r="M26" s="45" t="e">
        <f t="shared" si="3"/>
        <v>#REF!</v>
      </c>
      <c r="N26" s="34">
        <f t="shared" si="4"/>
        <v>20</v>
      </c>
      <c r="O26">
        <v>38</v>
      </c>
      <c r="P26">
        <v>33</v>
      </c>
      <c r="Q26" s="36">
        <f t="shared" si="5"/>
        <v>71</v>
      </c>
      <c r="R26" s="35">
        <f t="shared" si="0"/>
        <v>256</v>
      </c>
      <c r="S26" s="35">
        <f t="shared" si="1"/>
        <v>21</v>
      </c>
      <c r="T26" s="4"/>
      <c r="U26" s="21" t="s">
        <v>20</v>
      </c>
      <c r="V26" s="9">
        <f t="shared" si="7"/>
        <v>4</v>
      </c>
    </row>
    <row r="27" spans="1:23" s="7" customFormat="1" ht="17.100000000000001" customHeight="1" x14ac:dyDescent="0.15">
      <c r="A27" s="40">
        <v>24</v>
      </c>
      <c r="B27" s="72" t="s">
        <v>248</v>
      </c>
      <c r="C27">
        <v>98</v>
      </c>
      <c r="D27" s="37">
        <f>LOOKUP(C27,예상등급!$A$5:$A$13,예상등급!$B$5:$B$13)</f>
        <v>1</v>
      </c>
      <c r="E27" s="44" t="e">
        <f>((C27-예상등급!#REF!)/예상등급!#REF!)*20+100</f>
        <v>#REF!</v>
      </c>
      <c r="F27">
        <v>80</v>
      </c>
      <c r="G27" s="37">
        <f>LOOKUP(F27,예상등급!$D$19:$D$27,예상등급!$E$19:$E$27)</f>
        <v>1</v>
      </c>
      <c r="H27" s="44" t="e">
        <f>((F27-예상등급!#REF!)/예상등급!#REF!)*20+100</f>
        <v>#REF!</v>
      </c>
      <c r="I27">
        <v>85</v>
      </c>
      <c r="J27" s="37">
        <f>LOOKUP(I27,예상등급!$D$5:$D$13,예상등급!$E$5:$E$13)</f>
        <v>2</v>
      </c>
      <c r="K27" s="44" t="e">
        <f>((I27-예상등급!#REF!)/예상등급!#REF!)*20+100</f>
        <v>#REF!</v>
      </c>
      <c r="L27" s="34">
        <f t="shared" si="2"/>
        <v>263</v>
      </c>
      <c r="M27" s="45" t="e">
        <f t="shared" si="3"/>
        <v>#REF!</v>
      </c>
      <c r="N27" s="34">
        <f t="shared" si="4"/>
        <v>5</v>
      </c>
      <c r="O27">
        <v>47</v>
      </c>
      <c r="P27">
        <v>45</v>
      </c>
      <c r="Q27" s="36">
        <f t="shared" si="5"/>
        <v>92</v>
      </c>
      <c r="R27" s="35">
        <f t="shared" si="0"/>
        <v>355</v>
      </c>
      <c r="S27" s="35">
        <f t="shared" si="1"/>
        <v>4</v>
      </c>
      <c r="T27" s="4"/>
      <c r="U27" s="311" t="s">
        <v>9</v>
      </c>
      <c r="V27" s="313">
        <f>SUM(V4:V26)</f>
        <v>39</v>
      </c>
    </row>
    <row r="28" spans="1:23" s="7" customFormat="1" ht="17.100000000000001" customHeight="1" thickBot="1" x14ac:dyDescent="0.2">
      <c r="A28" s="40">
        <v>25</v>
      </c>
      <c r="B28" s="72" t="s">
        <v>249</v>
      </c>
      <c r="C28">
        <v>100</v>
      </c>
      <c r="D28" s="37">
        <f>LOOKUP(C28,예상등급!$A$5:$A$13,예상등급!$B$5:$B$13)</f>
        <v>1</v>
      </c>
      <c r="E28" s="44" t="e">
        <f>((C28-예상등급!#REF!)/예상등급!#REF!)*20+100</f>
        <v>#REF!</v>
      </c>
      <c r="F28">
        <v>89</v>
      </c>
      <c r="G28" s="37">
        <f>LOOKUP(F28,예상등급!$D$19:$D$27,예상등급!$E$19:$E$27)</f>
        <v>1</v>
      </c>
      <c r="H28" s="44" t="e">
        <f>((F28-예상등급!#REF!)/예상등급!#REF!)*20+100</f>
        <v>#REF!</v>
      </c>
      <c r="I28">
        <v>94</v>
      </c>
      <c r="J28" s="37">
        <f>LOOKUP(I28,예상등급!$D$5:$D$13,예상등급!$E$5:$E$13)</f>
        <v>1</v>
      </c>
      <c r="K28" s="44" t="e">
        <f>((I28-예상등급!#REF!)/예상등급!#REF!)*20+100</f>
        <v>#REF!</v>
      </c>
      <c r="L28" s="34">
        <f t="shared" si="2"/>
        <v>283</v>
      </c>
      <c r="M28" s="45" t="e">
        <f t="shared" si="3"/>
        <v>#REF!</v>
      </c>
      <c r="N28" s="34">
        <f t="shared" si="4"/>
        <v>1</v>
      </c>
      <c r="O28">
        <v>50</v>
      </c>
      <c r="P28">
        <v>45</v>
      </c>
      <c r="Q28" s="36">
        <f t="shared" si="5"/>
        <v>95</v>
      </c>
      <c r="R28" s="35">
        <f t="shared" si="0"/>
        <v>378</v>
      </c>
      <c r="S28" s="35">
        <f t="shared" si="1"/>
        <v>1</v>
      </c>
      <c r="T28" s="4"/>
      <c r="U28" s="312"/>
      <c r="V28" s="314"/>
    </row>
    <row r="29" spans="1:23" s="7" customFormat="1" ht="17.100000000000001" customHeight="1" thickBot="1" x14ac:dyDescent="0.2">
      <c r="A29" s="40">
        <v>26</v>
      </c>
      <c r="B29" s="72" t="s">
        <v>250</v>
      </c>
      <c r="C29">
        <v>97</v>
      </c>
      <c r="D29" s="37">
        <f>LOOKUP(C29,예상등급!$A$5:$A$13,예상등급!$B$5:$B$13)</f>
        <v>1</v>
      </c>
      <c r="E29" s="44" t="e">
        <f>((C29-예상등급!#REF!)/예상등급!#REF!)*20+100</f>
        <v>#REF!</v>
      </c>
      <c r="F29">
        <v>69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83</v>
      </c>
      <c r="J29" s="37">
        <f>LOOKUP(I29,예상등급!$D$5:$D$13,예상등급!$E$5:$E$13)</f>
        <v>2</v>
      </c>
      <c r="K29" s="44" t="e">
        <f>((I29-예상등급!#REF!)/예상등급!#REF!)*20+100</f>
        <v>#REF!</v>
      </c>
      <c r="L29" s="34">
        <f t="shared" si="2"/>
        <v>249</v>
      </c>
      <c r="M29" s="45" t="e">
        <f t="shared" si="3"/>
        <v>#REF!</v>
      </c>
      <c r="N29" s="34">
        <f t="shared" si="4"/>
        <v>7</v>
      </c>
      <c r="O29">
        <v>47</v>
      </c>
      <c r="P29">
        <v>38</v>
      </c>
      <c r="Q29" s="36">
        <f t="shared" si="5"/>
        <v>85</v>
      </c>
      <c r="R29" s="35">
        <f t="shared" si="0"/>
        <v>334</v>
      </c>
      <c r="S29" s="35">
        <f t="shared" si="1"/>
        <v>6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251</v>
      </c>
      <c r="C30">
        <v>97</v>
      </c>
      <c r="D30" s="37">
        <f>LOOKUP(C30,예상등급!$A$5:$A$13,예상등급!$B$5:$B$13)</f>
        <v>1</v>
      </c>
      <c r="E30" s="44" t="e">
        <f>((C30-예상등급!#REF!)/예상등급!#REF!)*20+100</f>
        <v>#REF!</v>
      </c>
      <c r="F30">
        <v>36</v>
      </c>
      <c r="G30" s="37">
        <f>LOOKUP(F30,예상등급!$D$19:$D$27,예상등급!$E$19:$E$27)</f>
        <v>2</v>
      </c>
      <c r="H30" s="44" t="e">
        <f>((F30-예상등급!#REF!)/예상등급!#REF!)*20+100</f>
        <v>#REF!</v>
      </c>
      <c r="I30">
        <v>87</v>
      </c>
      <c r="J30" s="37">
        <f>LOOKUP(I30,예상등급!$D$5:$D$13,예상등급!$E$5:$E$13)</f>
        <v>2</v>
      </c>
      <c r="K30" s="44" t="e">
        <f>((I30-예상등급!#REF!)/예상등급!#REF!)*20+100</f>
        <v>#REF!</v>
      </c>
      <c r="L30" s="34">
        <f t="shared" si="2"/>
        <v>220</v>
      </c>
      <c r="M30" s="45" t="e">
        <f t="shared" si="3"/>
        <v>#REF!</v>
      </c>
      <c r="N30" s="34">
        <f t="shared" si="4"/>
        <v>11</v>
      </c>
      <c r="O30">
        <v>33</v>
      </c>
      <c r="P30">
        <v>40</v>
      </c>
      <c r="Q30" s="36">
        <f t="shared" si="5"/>
        <v>73</v>
      </c>
      <c r="R30" s="35">
        <f t="shared" si="0"/>
        <v>293</v>
      </c>
      <c r="S30" s="35">
        <f t="shared" si="1"/>
        <v>13</v>
      </c>
      <c r="T30" s="4"/>
      <c r="U30" s="315" t="s">
        <v>10</v>
      </c>
      <c r="V30" s="316"/>
    </row>
    <row r="31" spans="1:23" s="7" customFormat="1" ht="17.100000000000001" customHeight="1" x14ac:dyDescent="0.15">
      <c r="A31" s="40">
        <v>28</v>
      </c>
      <c r="B31" s="72" t="s">
        <v>176</v>
      </c>
      <c r="C31">
        <v>30</v>
      </c>
      <c r="D31" s="37">
        <f>LOOKUP(C31,예상등급!$A$5:$A$13,예상등급!$B$5:$B$13)</f>
        <v>6</v>
      </c>
      <c r="E31" s="44" t="e">
        <f>((C31-예상등급!#REF!)/예상등급!#REF!)*20+100</f>
        <v>#REF!</v>
      </c>
      <c r="F31">
        <v>17</v>
      </c>
      <c r="G31" s="37">
        <f>LOOKUP(F31,예상등급!$D$19:$D$27,예상등급!$E$19:$E$27)</f>
        <v>6</v>
      </c>
      <c r="H31" s="44" t="e">
        <f>((F31-예상등급!#REF!)/예상등급!#REF!)*20+100</f>
        <v>#REF!</v>
      </c>
      <c r="I31">
        <v>40</v>
      </c>
      <c r="J31" s="37">
        <f>LOOKUP(I31,예상등급!$D$5:$D$13,예상등급!$E$5:$E$13)</f>
        <v>6</v>
      </c>
      <c r="K31" s="44" t="e">
        <f>((I31-예상등급!#REF!)/예상등급!#REF!)*20+100</f>
        <v>#REF!</v>
      </c>
      <c r="L31" s="34">
        <f t="shared" si="2"/>
        <v>87</v>
      </c>
      <c r="M31" s="45" t="e">
        <f t="shared" si="3"/>
        <v>#REF!</v>
      </c>
      <c r="N31" s="34">
        <f t="shared" si="4"/>
        <v>37</v>
      </c>
      <c r="O31">
        <v>22</v>
      </c>
      <c r="P31">
        <v>9</v>
      </c>
      <c r="Q31" s="36">
        <f t="shared" si="5"/>
        <v>31</v>
      </c>
      <c r="R31" s="35">
        <f t="shared" si="0"/>
        <v>118</v>
      </c>
      <c r="S31" s="35">
        <f t="shared" si="1"/>
        <v>37</v>
      </c>
      <c r="T31" s="4"/>
      <c r="U31" s="317">
        <f>MAX(R4:R42)</f>
        <v>378</v>
      </c>
      <c r="V31" s="318"/>
    </row>
    <row r="32" spans="1:23" s="7" customFormat="1" ht="17.100000000000001" customHeight="1" thickBot="1" x14ac:dyDescent="0.2">
      <c r="A32" s="40">
        <v>29</v>
      </c>
      <c r="B32" s="72" t="s">
        <v>252</v>
      </c>
      <c r="C32">
        <v>66</v>
      </c>
      <c r="D32" s="37">
        <f>LOOKUP(C32,예상등급!$A$5:$A$13,예상등급!$B$5:$B$13)</f>
        <v>3</v>
      </c>
      <c r="E32" s="44" t="e">
        <f>((C32-예상등급!#REF!)/예상등급!#REF!)*20+100</f>
        <v>#REF!</v>
      </c>
      <c r="F32">
        <v>55</v>
      </c>
      <c r="G32" s="37">
        <f>LOOKUP(F32,예상등급!$D$19:$D$27,예상등급!$E$19:$E$27)</f>
        <v>1</v>
      </c>
      <c r="H32" s="44" t="e">
        <f>((F32-예상등급!#REF!)/예상등급!#REF!)*20+100</f>
        <v>#REF!</v>
      </c>
      <c r="I32">
        <v>54</v>
      </c>
      <c r="J32" s="37">
        <f>LOOKUP(I32,예상등급!$D$5:$D$13,예상등급!$E$5:$E$13)</f>
        <v>5</v>
      </c>
      <c r="K32" s="44" t="e">
        <f>((I32-예상등급!#REF!)/예상등급!#REF!)*20+100</f>
        <v>#REF!</v>
      </c>
      <c r="L32" s="34">
        <f t="shared" si="2"/>
        <v>175</v>
      </c>
      <c r="M32" s="45" t="e">
        <f t="shared" si="3"/>
        <v>#REF!</v>
      </c>
      <c r="N32" s="34">
        <f t="shared" si="4"/>
        <v>25</v>
      </c>
      <c r="O32">
        <v>28</v>
      </c>
      <c r="P32">
        <v>15</v>
      </c>
      <c r="Q32" s="36">
        <f t="shared" si="5"/>
        <v>43</v>
      </c>
      <c r="R32" s="35">
        <f t="shared" si="0"/>
        <v>218</v>
      </c>
      <c r="S32" s="35">
        <f t="shared" si="1"/>
        <v>32</v>
      </c>
      <c r="T32" s="4"/>
      <c r="U32" s="319"/>
      <c r="V32" s="320"/>
    </row>
    <row r="33" spans="1:22" s="7" customFormat="1" ht="17.100000000000001" customHeight="1" x14ac:dyDescent="0.15">
      <c r="A33" s="40">
        <v>30</v>
      </c>
      <c r="B33" s="72" t="s">
        <v>253</v>
      </c>
      <c r="C33">
        <v>96</v>
      </c>
      <c r="D33" s="37">
        <f>LOOKUP(C33,예상등급!$A$5:$A$13,예상등급!$B$5:$B$13)</f>
        <v>1</v>
      </c>
      <c r="E33" s="44" t="e">
        <f>((C33-예상등급!#REF!)/예상등급!#REF!)*20+100</f>
        <v>#REF!</v>
      </c>
      <c r="F33">
        <v>28</v>
      </c>
      <c r="G33" s="37">
        <f>LOOKUP(F33,예상등급!$D$19:$D$27,예상등급!$E$19:$E$27)</f>
        <v>4</v>
      </c>
      <c r="H33" s="44" t="e">
        <f>((F33-예상등급!#REF!)/예상등급!#REF!)*20+100</f>
        <v>#REF!</v>
      </c>
      <c r="I33">
        <v>42</v>
      </c>
      <c r="J33" s="37">
        <f>LOOKUP(I33,예상등급!$D$5:$D$13,예상등급!$E$5:$E$13)</f>
        <v>6</v>
      </c>
      <c r="K33" s="44" t="e">
        <f>((I33-예상등급!#REF!)/예상등급!#REF!)*20+100</f>
        <v>#REF!</v>
      </c>
      <c r="L33" s="34">
        <f t="shared" si="2"/>
        <v>166</v>
      </c>
      <c r="M33" s="45" t="e">
        <f t="shared" si="3"/>
        <v>#REF!</v>
      </c>
      <c r="N33" s="34">
        <f t="shared" si="4"/>
        <v>30</v>
      </c>
      <c r="O33">
        <v>32</v>
      </c>
      <c r="P33">
        <v>31</v>
      </c>
      <c r="Q33" s="36">
        <f t="shared" si="5"/>
        <v>63</v>
      </c>
      <c r="R33" s="35">
        <f t="shared" si="0"/>
        <v>229</v>
      </c>
      <c r="S33" s="35">
        <f t="shared" si="1"/>
        <v>27</v>
      </c>
      <c r="T33" s="4"/>
      <c r="U33" s="315" t="s">
        <v>11</v>
      </c>
      <c r="V33" s="316"/>
    </row>
    <row r="34" spans="1:22" s="7" customFormat="1" ht="17.100000000000001" customHeight="1" x14ac:dyDescent="0.15">
      <c r="A34" s="40">
        <v>31</v>
      </c>
      <c r="B34" s="71" t="s">
        <v>254</v>
      </c>
      <c r="C34">
        <v>82</v>
      </c>
      <c r="D34" s="37">
        <f>LOOKUP(C34,예상등급!$A$5:$A$13,예상등급!$B$5:$B$13)</f>
        <v>1</v>
      </c>
      <c r="E34" s="44" t="e">
        <f>((C34-예상등급!#REF!)/예상등급!#REF!)*20+100</f>
        <v>#REF!</v>
      </c>
      <c r="F34">
        <v>46</v>
      </c>
      <c r="G34" s="37">
        <f>LOOKUP(F34,예상등급!$D$19:$D$27,예상등급!$E$19:$E$27)</f>
        <v>1</v>
      </c>
      <c r="H34" s="44" t="e">
        <f>((F34-예상등급!#REF!)/예상등급!#REF!)*20+100</f>
        <v>#REF!</v>
      </c>
      <c r="I34">
        <v>43</v>
      </c>
      <c r="J34" s="37">
        <f>LOOKUP(I34,예상등급!$D$5:$D$13,예상등급!$E$5:$E$13)</f>
        <v>6</v>
      </c>
      <c r="K34" s="44" t="e">
        <f>((I34-예상등급!#REF!)/예상등급!#REF!)*20+100</f>
        <v>#REF!</v>
      </c>
      <c r="L34" s="34">
        <f t="shared" si="2"/>
        <v>171</v>
      </c>
      <c r="M34" s="45" t="e">
        <f t="shared" si="3"/>
        <v>#REF!</v>
      </c>
      <c r="N34" s="34">
        <f t="shared" si="4"/>
        <v>29</v>
      </c>
      <c r="O34">
        <v>27</v>
      </c>
      <c r="P34">
        <v>22</v>
      </c>
      <c r="Q34" s="36">
        <f t="shared" si="5"/>
        <v>49</v>
      </c>
      <c r="R34" s="35">
        <f t="shared" si="0"/>
        <v>220</v>
      </c>
      <c r="S34" s="35">
        <f t="shared" si="1"/>
        <v>31</v>
      </c>
      <c r="T34" s="4"/>
      <c r="U34" s="321">
        <f>MIN(R4:R42)</f>
        <v>0</v>
      </c>
      <c r="V34" s="322"/>
    </row>
    <row r="35" spans="1:22" s="7" customFormat="1" ht="17.100000000000001" customHeight="1" thickBot="1" x14ac:dyDescent="0.2">
      <c r="A35" s="40">
        <v>32</v>
      </c>
      <c r="B35" s="71" t="s">
        <v>255</v>
      </c>
      <c r="C35">
        <v>76</v>
      </c>
      <c r="D35" s="37">
        <f>LOOKUP(C35,예상등급!$A$5:$A$13,예상등급!$B$5:$B$13)</f>
        <v>2</v>
      </c>
      <c r="E35" s="44" t="e">
        <f>((C35-예상등급!#REF!)/예상등급!#REF!)*20+100</f>
        <v>#REF!</v>
      </c>
      <c r="F35">
        <v>24</v>
      </c>
      <c r="G35" s="37">
        <f>LOOKUP(F35,예상등급!$D$19:$D$27,예상등급!$E$19:$E$27)</f>
        <v>5</v>
      </c>
      <c r="H35" s="44" t="e">
        <f>((F35-예상등급!#REF!)/예상등급!#REF!)*20+100</f>
        <v>#REF!</v>
      </c>
      <c r="I35">
        <v>74</v>
      </c>
      <c r="J35" s="37">
        <f>LOOKUP(I35,예상등급!$D$5:$D$13,예상등급!$E$5:$E$13)</f>
        <v>3</v>
      </c>
      <c r="K35" s="44" t="e">
        <f>((I35-예상등급!#REF!)/예상등급!#REF!)*20+100</f>
        <v>#REF!</v>
      </c>
      <c r="L35" s="34">
        <f t="shared" si="2"/>
        <v>174</v>
      </c>
      <c r="M35" s="45" t="e">
        <f t="shared" si="3"/>
        <v>#REF!</v>
      </c>
      <c r="N35" s="34">
        <f t="shared" si="4"/>
        <v>26</v>
      </c>
      <c r="O35">
        <v>25</v>
      </c>
      <c r="P35">
        <v>33</v>
      </c>
      <c r="Q35" s="36">
        <f t="shared" si="5"/>
        <v>58</v>
      </c>
      <c r="R35" s="35">
        <f t="shared" si="0"/>
        <v>232</v>
      </c>
      <c r="S35" s="35">
        <f t="shared" si="1"/>
        <v>26</v>
      </c>
      <c r="T35" s="4"/>
      <c r="U35" s="323"/>
      <c r="V35" s="324"/>
    </row>
    <row r="36" spans="1:22" s="7" customFormat="1" ht="17.100000000000001" customHeight="1" x14ac:dyDescent="0.15">
      <c r="A36" s="40">
        <v>33</v>
      </c>
      <c r="B36" s="71" t="s">
        <v>256</v>
      </c>
      <c r="C36">
        <v>98</v>
      </c>
      <c r="D36" s="37">
        <f>LOOKUP(C36,예상등급!$A$5:$A$13,예상등급!$B$5:$B$13)</f>
        <v>1</v>
      </c>
      <c r="E36" s="44" t="e">
        <f>((C36-예상등급!#REF!)/예상등급!#REF!)*20+100</f>
        <v>#REF!</v>
      </c>
      <c r="F36">
        <v>80</v>
      </c>
      <c r="G36" s="37">
        <f>LOOKUP(F36,예상등급!$D$19:$D$27,예상등급!$E$19:$E$27)</f>
        <v>1</v>
      </c>
      <c r="H36" s="44" t="e">
        <f>((F36-예상등급!#REF!)/예상등급!#REF!)*20+100</f>
        <v>#REF!</v>
      </c>
      <c r="I36">
        <v>71</v>
      </c>
      <c r="J36" s="37">
        <f>LOOKUP(I36,예상등급!$D$5:$D$13,예상등급!$E$5:$E$13)</f>
        <v>3</v>
      </c>
      <c r="K36" s="44" t="e">
        <f>((I36-예상등급!#REF!)/예상등급!#REF!)*20+100</f>
        <v>#REF!</v>
      </c>
      <c r="L36" s="34">
        <f t="shared" si="2"/>
        <v>249</v>
      </c>
      <c r="M36" s="45" t="e">
        <f t="shared" si="3"/>
        <v>#REF!</v>
      </c>
      <c r="N36" s="34">
        <f t="shared" si="4"/>
        <v>7</v>
      </c>
      <c r="O36">
        <v>37</v>
      </c>
      <c r="P36">
        <v>34</v>
      </c>
      <c r="Q36" s="36">
        <f t="shared" si="5"/>
        <v>71</v>
      </c>
      <c r="R36" s="35">
        <f t="shared" si="0"/>
        <v>320</v>
      </c>
      <c r="S36" s="35">
        <f t="shared" si="1"/>
        <v>8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257</v>
      </c>
      <c r="C37">
        <v>93</v>
      </c>
      <c r="D37" s="37">
        <f>LOOKUP(C37,예상등급!$A$5:$A$13,예상등급!$B$5:$B$13)</f>
        <v>1</v>
      </c>
      <c r="E37" s="44" t="e">
        <f>((C37-예상등급!#REF!)/예상등급!#REF!)*20+100</f>
        <v>#REF!</v>
      </c>
      <c r="F37">
        <v>47</v>
      </c>
      <c r="G37" s="37">
        <f>LOOKUP(F37,예상등급!$D$19:$D$27,예상등급!$E$19:$E$27)</f>
        <v>1</v>
      </c>
      <c r="H37" s="44" t="e">
        <f>((F37-예상등급!#REF!)/예상등급!#REF!)*20+100</f>
        <v>#REF!</v>
      </c>
      <c r="I37">
        <v>66</v>
      </c>
      <c r="J37" s="37">
        <f>LOOKUP(I37,예상등급!$D$5:$D$13,예상등급!$E$5:$E$13)</f>
        <v>4</v>
      </c>
      <c r="K37" s="44" t="e">
        <f>((I37-예상등급!#REF!)/예상등급!#REF!)*20+100</f>
        <v>#REF!</v>
      </c>
      <c r="L37" s="34">
        <f t="shared" si="2"/>
        <v>206</v>
      </c>
      <c r="M37" s="45" t="e">
        <f t="shared" si="3"/>
        <v>#REF!</v>
      </c>
      <c r="N37" s="34">
        <f t="shared" si="4"/>
        <v>17</v>
      </c>
      <c r="O37">
        <v>39</v>
      </c>
      <c r="P37">
        <v>32</v>
      </c>
      <c r="Q37" s="36">
        <f t="shared" si="5"/>
        <v>71</v>
      </c>
      <c r="R37" s="35">
        <f t="shared" si="0"/>
        <v>277</v>
      </c>
      <c r="S37" s="35">
        <f t="shared" si="1"/>
        <v>16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258</v>
      </c>
      <c r="C38">
        <v>90</v>
      </c>
      <c r="D38" s="37">
        <f>LOOKUP(C38,예상등급!$A$5:$A$13,예상등급!$B$5:$B$13)</f>
        <v>1</v>
      </c>
      <c r="E38" s="44" t="e">
        <f>((C38-예상등급!#REF!)/예상등급!#REF!)*20+100</f>
        <v>#REF!</v>
      </c>
      <c r="F38">
        <v>26</v>
      </c>
      <c r="G38" s="37">
        <f>LOOKUP(F38,예상등급!$D$19:$D$27,예상등급!$E$19:$E$27)</f>
        <v>4</v>
      </c>
      <c r="H38" s="44" t="e">
        <f>((F38-예상등급!#REF!)/예상등급!#REF!)*20+100</f>
        <v>#REF!</v>
      </c>
      <c r="I38">
        <v>64</v>
      </c>
      <c r="J38" s="37">
        <f>LOOKUP(I38,예상등급!$D$5:$D$13,예상등급!$E$5:$E$13)</f>
        <v>4</v>
      </c>
      <c r="K38" s="44" t="e">
        <f>((I38-예상등급!#REF!)/예상등급!#REF!)*20+100</f>
        <v>#REF!</v>
      </c>
      <c r="L38" s="34">
        <f>SUM(C38,F38,I38)</f>
        <v>180</v>
      </c>
      <c r="M38" s="45" t="e">
        <f>SUM(E38,H38,K38)</f>
        <v>#REF!</v>
      </c>
      <c r="N38" s="34">
        <f t="shared" si="4"/>
        <v>24</v>
      </c>
      <c r="O38">
        <v>31</v>
      </c>
      <c r="P38">
        <v>39</v>
      </c>
      <c r="Q38" s="36">
        <f t="shared" si="5"/>
        <v>70</v>
      </c>
      <c r="R38" s="35">
        <f t="shared" si="0"/>
        <v>250</v>
      </c>
      <c r="S38" s="35">
        <f t="shared" si="1"/>
        <v>23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259</v>
      </c>
      <c r="C39">
        <v>94</v>
      </c>
      <c r="D39" s="37">
        <f>LOOKUP(C39,예상등급!$A$5:$A$13,예상등급!$B$5:$B$13)</f>
        <v>1</v>
      </c>
      <c r="E39" s="44" t="e">
        <f>((C39-예상등급!#REF!)/예상등급!#REF!)*20+100</f>
        <v>#REF!</v>
      </c>
      <c r="F39">
        <v>32</v>
      </c>
      <c r="G39" s="37">
        <f>LOOKUP(F39,예상등급!$D$19:$D$27,예상등급!$E$19:$E$27)</f>
        <v>3</v>
      </c>
      <c r="H39" s="44" t="e">
        <f>((F39-예상등급!#REF!)/예상등급!#REF!)*20+100</f>
        <v>#REF!</v>
      </c>
      <c r="I39">
        <v>97</v>
      </c>
      <c r="J39" s="37">
        <f>LOOKUP(I39,예상등급!$D$5:$D$13,예상등급!$E$5:$E$13)</f>
        <v>1</v>
      </c>
      <c r="K39" s="44" t="e">
        <f>((I39-예상등급!#REF!)/예상등급!#REF!)*20+100</f>
        <v>#REF!</v>
      </c>
      <c r="L39" s="34">
        <f>SUM(C39,F39,I39)</f>
        <v>223</v>
      </c>
      <c r="M39" s="45" t="e">
        <f>SUM(E39,H39,K39)</f>
        <v>#REF!</v>
      </c>
      <c r="N39" s="34">
        <f t="shared" si="4"/>
        <v>10</v>
      </c>
      <c r="O39">
        <v>39</v>
      </c>
      <c r="P39">
        <v>43</v>
      </c>
      <c r="Q39" s="36">
        <f t="shared" si="5"/>
        <v>82</v>
      </c>
      <c r="R39" s="35">
        <f t="shared" si="0"/>
        <v>305</v>
      </c>
      <c r="S39" s="35">
        <f t="shared" si="1"/>
        <v>10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260</v>
      </c>
      <c r="C40">
        <v>46</v>
      </c>
      <c r="D40" s="37">
        <f>LOOKUP(C40,예상등급!$A$5:$A$13,예상등급!$B$5:$B$13)</f>
        <v>5</v>
      </c>
      <c r="E40" s="44" t="e">
        <f>((C40-예상등급!#REF!)/예상등급!#REF!)*20+100</f>
        <v>#REF!</v>
      </c>
      <c r="F40">
        <v>37</v>
      </c>
      <c r="G40" s="37">
        <f>LOOKUP(F40,예상등급!$D$19:$D$27,예상등급!$E$19:$E$27)</f>
        <v>2</v>
      </c>
      <c r="H40" s="44" t="e">
        <f>((F40-예상등급!#REF!)/예상등급!#REF!)*20+100</f>
        <v>#REF!</v>
      </c>
      <c r="I40">
        <v>63</v>
      </c>
      <c r="J40" s="37">
        <f>LOOKUP(I40,예상등급!$D$5:$D$13,예상등급!$E$5:$E$13)</f>
        <v>4</v>
      </c>
      <c r="K40" s="44" t="e">
        <f>((I40-예상등급!#REF!)/예상등급!#REF!)*20+100</f>
        <v>#REF!</v>
      </c>
      <c r="L40" s="34">
        <f>SUM(C40,F40,I40)</f>
        <v>146</v>
      </c>
      <c r="M40" s="45" t="e">
        <f>SUM(E40,H40,K40)</f>
        <v>#REF!</v>
      </c>
      <c r="N40" s="34">
        <f t="shared" si="4"/>
        <v>34</v>
      </c>
      <c r="O40">
        <v>31</v>
      </c>
      <c r="P40">
        <v>47</v>
      </c>
      <c r="Q40" s="36">
        <f t="shared" si="5"/>
        <v>78</v>
      </c>
      <c r="R40" s="35">
        <f t="shared" si="0"/>
        <v>224</v>
      </c>
      <c r="S40" s="35">
        <f t="shared" si="1"/>
        <v>29</v>
      </c>
      <c r="T40" s="4"/>
      <c r="U40" s="47"/>
      <c r="V40" s="47"/>
    </row>
    <row r="41" spans="1:22" s="7" customFormat="1" ht="17.100000000000001" customHeight="1" x14ac:dyDescent="0.15">
      <c r="A41" s="40">
        <v>38</v>
      </c>
      <c r="B41" s="71" t="s">
        <v>261</v>
      </c>
      <c r="C41">
        <v>96</v>
      </c>
      <c r="D41" s="37">
        <f>LOOKUP(C41,예상등급!$A$5:$A$13,예상등급!$B$5:$B$13)</f>
        <v>1</v>
      </c>
      <c r="E41" s="44" t="e">
        <f>((C41-예상등급!#REF!)/예상등급!#REF!)*20+100</f>
        <v>#REF!</v>
      </c>
      <c r="F41">
        <v>56</v>
      </c>
      <c r="G41" s="37">
        <f>LOOKUP(F41,예상등급!$D$19:$D$27,예상등급!$E$19:$E$27)</f>
        <v>1</v>
      </c>
      <c r="H41" s="44" t="e">
        <f>((F41-예상등급!#REF!)/예상등급!#REF!)*20+100</f>
        <v>#REF!</v>
      </c>
      <c r="I41">
        <v>55</v>
      </c>
      <c r="J41" s="37">
        <f>LOOKUP(I41,예상등급!$D$5:$D$13,예상등급!$E$5:$E$13)</f>
        <v>5</v>
      </c>
      <c r="K41" s="44" t="e">
        <f>((I41-예상등급!#REF!)/예상등급!#REF!)*20+100</f>
        <v>#REF!</v>
      </c>
      <c r="L41" s="34">
        <f>SUM(C41,F41,I41)</f>
        <v>207</v>
      </c>
      <c r="M41" s="45" t="e">
        <f>SUM(E41,H41,K41)</f>
        <v>#REF!</v>
      </c>
      <c r="N41" s="34">
        <f t="shared" si="4"/>
        <v>16</v>
      </c>
      <c r="O41">
        <v>34</v>
      </c>
      <c r="P41">
        <v>45</v>
      </c>
      <c r="Q41" s="36">
        <f t="shared" si="5"/>
        <v>79</v>
      </c>
      <c r="R41" s="35">
        <f t="shared" si="0"/>
        <v>286</v>
      </c>
      <c r="S41" s="35">
        <f t="shared" si="1"/>
        <v>15</v>
      </c>
      <c r="T41" s="4"/>
      <c r="U41" s="47"/>
      <c r="V41" s="47"/>
    </row>
    <row r="42" spans="1:22" s="7" customFormat="1" ht="17.100000000000001" customHeight="1" x14ac:dyDescent="0.15">
      <c r="A42" s="40">
        <v>39</v>
      </c>
      <c r="B42" s="71" t="s">
        <v>262</v>
      </c>
      <c r="C42">
        <v>80</v>
      </c>
      <c r="D42" s="37">
        <f>LOOKUP(C42,예상등급!$A$5:$A$13,예상등급!$B$5:$B$13)</f>
        <v>1</v>
      </c>
      <c r="E42" s="44" t="e">
        <f>((C42-예상등급!#REF!)/예상등급!#REF!)*20+100</f>
        <v>#REF!</v>
      </c>
      <c r="F42">
        <v>47</v>
      </c>
      <c r="G42" s="37">
        <f>LOOKUP(F42,예상등급!$D$19:$D$27,예상등급!$E$19:$E$27)</f>
        <v>1</v>
      </c>
      <c r="H42" s="44" t="e">
        <f>((F42-예상등급!#REF!)/예상등급!#REF!)*20+100</f>
        <v>#REF!</v>
      </c>
      <c r="I42">
        <v>36</v>
      </c>
      <c r="J42" s="37">
        <f>LOOKUP(I42,예상등급!$D$5:$D$13,예상등급!$E$5:$E$13)</f>
        <v>7</v>
      </c>
      <c r="K42" s="44" t="e">
        <f>((I42-예상등급!#REF!)/예상등급!#REF!)*20+100</f>
        <v>#REF!</v>
      </c>
      <c r="L42" s="34">
        <f>SUM(C42,F42,I42)</f>
        <v>163</v>
      </c>
      <c r="M42" s="45" t="e">
        <f>SUM(E42,H42,K42)</f>
        <v>#REF!</v>
      </c>
      <c r="N42" s="34">
        <f t="shared" si="4"/>
        <v>32</v>
      </c>
      <c r="O42">
        <v>26</v>
      </c>
      <c r="P42">
        <v>23</v>
      </c>
      <c r="Q42" s="36">
        <f t="shared" si="5"/>
        <v>49</v>
      </c>
      <c r="R42" s="35">
        <f t="shared" si="0"/>
        <v>212</v>
      </c>
      <c r="S42" s="35">
        <f t="shared" si="1"/>
        <v>33</v>
      </c>
      <c r="T42" s="4"/>
      <c r="U42" s="47"/>
      <c r="V42" s="47"/>
    </row>
    <row r="43" spans="1:22" s="7" customFormat="1" ht="17.100000000000001" customHeight="1" x14ac:dyDescent="0.15">
      <c r="A43" s="304" t="s">
        <v>6</v>
      </c>
      <c r="B43" s="304"/>
      <c r="C43" s="41">
        <f>SUM(C4:C42)</f>
        <v>3140</v>
      </c>
      <c r="D43" s="41">
        <f t="shared" ref="D43:R43" si="8">SUM(D4:D42)</f>
        <v>76</v>
      </c>
      <c r="E43" s="41" t="e">
        <f t="shared" si="8"/>
        <v>#REF!</v>
      </c>
      <c r="F43" s="41">
        <f t="shared" si="8"/>
        <v>1753</v>
      </c>
      <c r="G43" s="41">
        <f t="shared" si="8"/>
        <v>103</v>
      </c>
      <c r="H43" s="41" t="e">
        <f t="shared" si="8"/>
        <v>#REF!</v>
      </c>
      <c r="I43" s="41">
        <f t="shared" si="8"/>
        <v>2534</v>
      </c>
      <c r="J43" s="41">
        <f t="shared" si="8"/>
        <v>154</v>
      </c>
      <c r="K43" s="41" t="e">
        <f t="shared" si="8"/>
        <v>#REF!</v>
      </c>
      <c r="L43" s="41">
        <f t="shared" si="8"/>
        <v>7427</v>
      </c>
      <c r="M43" s="41" t="e">
        <f t="shared" si="8"/>
        <v>#REF!</v>
      </c>
      <c r="N43" s="41"/>
      <c r="O43" s="41">
        <f t="shared" si="8"/>
        <v>1296</v>
      </c>
      <c r="P43" s="41">
        <f t="shared" si="8"/>
        <v>1327</v>
      </c>
      <c r="Q43" s="41">
        <f t="shared" si="8"/>
        <v>2623</v>
      </c>
      <c r="R43" s="41">
        <f t="shared" si="8"/>
        <v>10050</v>
      </c>
      <c r="S43" s="41"/>
      <c r="T43" s="4"/>
      <c r="U43" s="47"/>
      <c r="V43" s="47"/>
    </row>
    <row r="44" spans="1:22" s="7" customFormat="1" ht="17.100000000000001" customHeight="1" x14ac:dyDescent="0.15">
      <c r="A44" s="304" t="s">
        <v>12</v>
      </c>
      <c r="B44" s="304"/>
      <c r="C44" s="41">
        <f>AVERAGE(C4:C42)</f>
        <v>80.512820512820511</v>
      </c>
      <c r="D44" s="41">
        <f t="shared" ref="D44:R44" si="9">AVERAGE(D4:D42)</f>
        <v>1.9487179487179487</v>
      </c>
      <c r="E44" s="41" t="e">
        <f t="shared" si="9"/>
        <v>#REF!</v>
      </c>
      <c r="F44" s="41">
        <f t="shared" si="9"/>
        <v>44.948717948717949</v>
      </c>
      <c r="G44" s="41">
        <f t="shared" si="9"/>
        <v>2.641025641025641</v>
      </c>
      <c r="H44" s="41" t="e">
        <f t="shared" si="9"/>
        <v>#REF!</v>
      </c>
      <c r="I44" s="41">
        <f t="shared" si="9"/>
        <v>64.974358974358978</v>
      </c>
      <c r="J44" s="41">
        <f t="shared" si="9"/>
        <v>3.9487179487179489</v>
      </c>
      <c r="K44" s="41" t="e">
        <f t="shared" si="9"/>
        <v>#REF!</v>
      </c>
      <c r="L44" s="41">
        <f t="shared" si="9"/>
        <v>190.43589743589743</v>
      </c>
      <c r="M44" s="41" t="e">
        <f t="shared" si="9"/>
        <v>#REF!</v>
      </c>
      <c r="N44" s="41"/>
      <c r="O44" s="41">
        <f t="shared" si="9"/>
        <v>33.230769230769234</v>
      </c>
      <c r="P44" s="41">
        <f t="shared" si="9"/>
        <v>34.025641025641029</v>
      </c>
      <c r="Q44" s="41">
        <f t="shared" si="9"/>
        <v>67.256410256410263</v>
      </c>
      <c r="R44" s="41">
        <f t="shared" si="9"/>
        <v>257.69230769230768</v>
      </c>
      <c r="S44" s="41"/>
      <c r="T44" s="4"/>
      <c r="U44" s="47"/>
      <c r="V44" s="47"/>
    </row>
    <row r="45" spans="1:22" s="7" customFormat="1" ht="14.25" x14ac:dyDescent="0.15">
      <c r="T45" s="4"/>
      <c r="U45" s="47"/>
      <c r="V45" s="47"/>
    </row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s="7" customFormat="1" ht="14.25" x14ac:dyDescent="0.15"/>
    <row r="71" spans="3:24" s="7" customFormat="1" ht="14.25" x14ac:dyDescent="0.15"/>
    <row r="72" spans="3:24" ht="14.25" x14ac:dyDescent="0.1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</sheetData>
  <mergeCells count="13">
    <mergeCell ref="A44:B44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3:B43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72"/>
  <sheetViews>
    <sheetView topLeftCell="A10" zoomScaleNormal="100" workbookViewId="0">
      <selection activeCell="D23" sqref="D23:E23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05" t="s">
        <v>341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</row>
    <row r="2" spans="1:23" ht="33.75" customHeight="1" thickBot="1" x14ac:dyDescent="0.2">
      <c r="A2" s="306" t="s">
        <v>344</v>
      </c>
      <c r="B2" s="306"/>
      <c r="C2" s="306"/>
      <c r="D2" s="306"/>
      <c r="E2" s="306"/>
      <c r="F2" s="306"/>
      <c r="G2" s="38"/>
      <c r="H2" s="38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08" t="s">
        <v>5</v>
      </c>
      <c r="P3" s="308"/>
      <c r="Q3" s="43" t="s">
        <v>15</v>
      </c>
      <c r="R3" s="70" t="s">
        <v>6</v>
      </c>
      <c r="S3" s="42" t="s">
        <v>7</v>
      </c>
      <c r="T3" s="2"/>
      <c r="U3" s="309" t="s">
        <v>8</v>
      </c>
      <c r="V3" s="310"/>
    </row>
    <row r="4" spans="1:23" s="7" customFormat="1" ht="17.100000000000001" customHeight="1" x14ac:dyDescent="0.15">
      <c r="A4" s="40">
        <v>1</v>
      </c>
      <c r="B4" s="71" t="s">
        <v>263</v>
      </c>
      <c r="C4">
        <v>54</v>
      </c>
      <c r="D4" s="37">
        <f>LOOKUP(C4,예상등급!$A$5:$A$13,예상등급!$B$5:$B$13)</f>
        <v>4</v>
      </c>
      <c r="E4" s="44" t="e">
        <f>((C4-예상등급!#REF!)/예상등급!#REF!)*20+100</f>
        <v>#REF!</v>
      </c>
      <c r="F4">
        <v>17</v>
      </c>
      <c r="G4" s="37">
        <f>LOOKUP(F4,예상등급!$D$19:$D$27,예상등급!$E$19:$E$27)</f>
        <v>6</v>
      </c>
      <c r="H4" s="44" t="e">
        <f>((F4-예상등급!#REF!)/예상등급!#REF!)*20+100</f>
        <v>#REF!</v>
      </c>
      <c r="I4">
        <v>58</v>
      </c>
      <c r="J4" s="37">
        <f>LOOKUP(I4,예상등급!$D$5:$D$13,예상등급!$E$5:$E$13)</f>
        <v>5</v>
      </c>
      <c r="K4" s="44" t="e">
        <f>((I4-예상등급!#REF!)/예상등급!#REF!)*20+100</f>
        <v>#REF!</v>
      </c>
      <c r="L4" s="34">
        <f>SUM(C4,F4,I4)</f>
        <v>129</v>
      </c>
      <c r="M4" s="45" t="e">
        <f>SUM(E4,H4,K4)</f>
        <v>#REF!</v>
      </c>
      <c r="N4" s="34">
        <f>RANK(L4,$L$4:$L$42)</f>
        <v>34</v>
      </c>
      <c r="O4">
        <v>27</v>
      </c>
      <c r="P4">
        <v>24</v>
      </c>
      <c r="Q4" s="36">
        <f>(SUM(O4:P4))</f>
        <v>51</v>
      </c>
      <c r="R4" s="35">
        <f t="shared" ref="R4:R42" si="0">SUM(L4,Q4)</f>
        <v>180</v>
      </c>
      <c r="S4" s="35">
        <f t="shared" ref="S4:S42" si="1">RANK(R4,$R$4:$R$42)</f>
        <v>35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34</v>
      </c>
      <c r="C5">
        <v>89</v>
      </c>
      <c r="D5" s="37">
        <f>LOOKUP(C5,예상등급!$A$5:$A$13,예상등급!$B$5:$B$13)</f>
        <v>1</v>
      </c>
      <c r="E5" s="44" t="e">
        <f>((C5-예상등급!#REF!)/예상등급!#REF!)*20+100</f>
        <v>#REF!</v>
      </c>
      <c r="F5">
        <v>44</v>
      </c>
      <c r="G5" s="37">
        <f>LOOKUP(F5,예상등급!$D$19:$D$27,예상등급!$E$19:$E$27)</f>
        <v>1</v>
      </c>
      <c r="H5" s="44" t="e">
        <f>((F5-예상등급!#REF!)/예상등급!#REF!)*20+100</f>
        <v>#REF!</v>
      </c>
      <c r="I5">
        <v>66</v>
      </c>
      <c r="J5" s="37">
        <f>LOOKUP(I5,예상등급!$D$5:$D$13,예상등급!$E$5:$E$13)</f>
        <v>4</v>
      </c>
      <c r="K5" s="44" t="e">
        <f>((I5-예상등급!#REF!)/예상등급!#REF!)*20+100</f>
        <v>#REF!</v>
      </c>
      <c r="L5" s="34">
        <f t="shared" ref="L5:L37" si="2">SUM(C5,F5,I5)</f>
        <v>199</v>
      </c>
      <c r="M5" s="45" t="e">
        <f t="shared" ref="M5:M37" si="3">SUM(E5,H5,K5)</f>
        <v>#REF!</v>
      </c>
      <c r="N5" s="34">
        <f t="shared" ref="N5:N42" si="4">RANK(L5,$L$4:$L$42)</f>
        <v>19</v>
      </c>
      <c r="O5">
        <v>38</v>
      </c>
      <c r="P5">
        <v>38</v>
      </c>
      <c r="Q5" s="36">
        <f t="shared" ref="Q5:Q42" si="5">(SUM(O5:P5))</f>
        <v>76</v>
      </c>
      <c r="R5" s="35">
        <f t="shared" si="0"/>
        <v>275</v>
      </c>
      <c r="S5" s="35">
        <f t="shared" si="1"/>
        <v>18</v>
      </c>
      <c r="T5" s="4"/>
      <c r="U5" s="8">
        <v>390</v>
      </c>
      <c r="V5" s="9">
        <f t="shared" ref="V5:V18" si="6">FREQUENCY($R$4:$R$42,W4:W24)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264</v>
      </c>
      <c r="C6">
        <v>100</v>
      </c>
      <c r="D6" s="37">
        <f>LOOKUP(C6,예상등급!$A$5:$A$13,예상등급!$B$5:$B$13)</f>
        <v>1</v>
      </c>
      <c r="E6" s="44" t="e">
        <f>((C6-예상등급!#REF!)/예상등급!#REF!)*20+100</f>
        <v>#REF!</v>
      </c>
      <c r="F6">
        <v>49</v>
      </c>
      <c r="G6" s="37">
        <f>LOOKUP(F6,예상등급!$D$19:$D$27,예상등급!$E$19:$E$27)</f>
        <v>1</v>
      </c>
      <c r="H6" s="44" t="e">
        <f>((F6-예상등급!#REF!)/예상등급!#REF!)*20+100</f>
        <v>#REF!</v>
      </c>
      <c r="I6">
        <v>64</v>
      </c>
      <c r="J6" s="37">
        <f>LOOKUP(I6,예상등급!$D$5:$D$13,예상등급!$E$5:$E$13)</f>
        <v>4</v>
      </c>
      <c r="K6" s="44" t="e">
        <f>((I6-예상등급!#REF!)/예상등급!#REF!)*20+100</f>
        <v>#REF!</v>
      </c>
      <c r="L6" s="34">
        <f t="shared" si="2"/>
        <v>213</v>
      </c>
      <c r="M6" s="45" t="e">
        <f t="shared" si="3"/>
        <v>#REF!</v>
      </c>
      <c r="N6" s="34">
        <f t="shared" si="4"/>
        <v>13</v>
      </c>
      <c r="O6">
        <v>50</v>
      </c>
      <c r="P6">
        <v>42</v>
      </c>
      <c r="Q6" s="36">
        <f t="shared" si="5"/>
        <v>92</v>
      </c>
      <c r="R6" s="35">
        <f t="shared" si="0"/>
        <v>305</v>
      </c>
      <c r="S6" s="35">
        <f t="shared" si="1"/>
        <v>7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265</v>
      </c>
      <c r="C7">
        <v>87</v>
      </c>
      <c r="D7" s="37">
        <f>LOOKUP(C7,예상등급!$A$5:$A$13,예상등급!$B$5:$B$13)</f>
        <v>1</v>
      </c>
      <c r="E7" s="44" t="e">
        <f>((C7-예상등급!#REF!)/예상등급!#REF!)*20+100</f>
        <v>#REF!</v>
      </c>
      <c r="F7">
        <v>49</v>
      </c>
      <c r="G7" s="37">
        <f>LOOKUP(F7,예상등급!$D$19:$D$27,예상등급!$E$19:$E$27)</f>
        <v>1</v>
      </c>
      <c r="H7" s="44" t="e">
        <f>((F7-예상등급!#REF!)/예상등급!#REF!)*20+100</f>
        <v>#REF!</v>
      </c>
      <c r="I7">
        <v>66</v>
      </c>
      <c r="J7" s="37">
        <f>LOOKUP(I7,예상등급!$D$5:$D$13,예상등급!$E$5:$E$13)</f>
        <v>4</v>
      </c>
      <c r="K7" s="44" t="e">
        <f>((I7-예상등급!#REF!)/예상등급!#REF!)*20+100</f>
        <v>#REF!</v>
      </c>
      <c r="L7" s="34">
        <f t="shared" si="2"/>
        <v>202</v>
      </c>
      <c r="M7" s="45" t="e">
        <f t="shared" si="3"/>
        <v>#REF!</v>
      </c>
      <c r="N7" s="34">
        <f t="shared" si="4"/>
        <v>16</v>
      </c>
      <c r="O7">
        <v>38</v>
      </c>
      <c r="P7">
        <v>39</v>
      </c>
      <c r="Q7" s="36">
        <f t="shared" si="5"/>
        <v>77</v>
      </c>
      <c r="R7" s="35">
        <f t="shared" si="0"/>
        <v>279</v>
      </c>
      <c r="S7" s="35">
        <f t="shared" si="1"/>
        <v>16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225</v>
      </c>
      <c r="C8">
        <v>89</v>
      </c>
      <c r="D8" s="37">
        <f>LOOKUP(C8,예상등급!$A$5:$A$13,예상등급!$B$5:$B$13)</f>
        <v>1</v>
      </c>
      <c r="E8" s="44" t="e">
        <f>((C8-예상등급!#REF!)/예상등급!#REF!)*20+100</f>
        <v>#REF!</v>
      </c>
      <c r="F8">
        <v>32</v>
      </c>
      <c r="G8" s="37">
        <f>LOOKUP(F8,예상등급!$D$19:$D$27,예상등급!$E$19:$E$27)</f>
        <v>3</v>
      </c>
      <c r="H8" s="44" t="e">
        <f>((F8-예상등급!#REF!)/예상등급!#REF!)*20+100</f>
        <v>#REF!</v>
      </c>
      <c r="I8">
        <v>74</v>
      </c>
      <c r="J8" s="37">
        <f>LOOKUP(I8,예상등급!$D$5:$D$13,예상등급!$E$5:$E$13)</f>
        <v>3</v>
      </c>
      <c r="K8" s="44" t="e">
        <f>((I8-예상등급!#REF!)/예상등급!#REF!)*20+100</f>
        <v>#REF!</v>
      </c>
      <c r="L8" s="34">
        <f t="shared" si="2"/>
        <v>195</v>
      </c>
      <c r="M8" s="45" t="e">
        <f t="shared" si="3"/>
        <v>#REF!</v>
      </c>
      <c r="N8" s="34">
        <f t="shared" si="4"/>
        <v>21</v>
      </c>
      <c r="O8">
        <v>33</v>
      </c>
      <c r="P8">
        <v>31</v>
      </c>
      <c r="Q8" s="36">
        <f t="shared" si="5"/>
        <v>64</v>
      </c>
      <c r="R8" s="35">
        <f t="shared" si="0"/>
        <v>259</v>
      </c>
      <c r="S8" s="35">
        <f t="shared" si="1"/>
        <v>23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29</v>
      </c>
      <c r="C9">
        <v>97</v>
      </c>
      <c r="D9" s="37">
        <f>LOOKUP(C9,예상등급!$A$5:$A$13,예상등급!$B$5:$B$13)</f>
        <v>1</v>
      </c>
      <c r="E9" s="44" t="e">
        <f>((C9-예상등급!#REF!)/예상등급!#REF!)*20+100</f>
        <v>#REF!</v>
      </c>
      <c r="F9">
        <v>61</v>
      </c>
      <c r="G9" s="37">
        <f>LOOKUP(F9,예상등급!$D$19:$D$27,예상등급!$E$19:$E$27)</f>
        <v>1</v>
      </c>
      <c r="H9" s="44" t="e">
        <f>((F9-예상등급!#REF!)/예상등급!#REF!)*20+100</f>
        <v>#REF!</v>
      </c>
      <c r="I9">
        <v>80</v>
      </c>
      <c r="J9" s="37">
        <f>LOOKUP(I9,예상등급!$D$5:$D$13,예상등급!$E$5:$E$13)</f>
        <v>2</v>
      </c>
      <c r="K9" s="44" t="e">
        <f>((I9-예상등급!#REF!)/예상등급!#REF!)*20+100</f>
        <v>#REF!</v>
      </c>
      <c r="L9" s="34">
        <f t="shared" si="2"/>
        <v>238</v>
      </c>
      <c r="M9" s="45" t="e">
        <f t="shared" si="3"/>
        <v>#REF!</v>
      </c>
      <c r="N9" s="34">
        <f t="shared" si="4"/>
        <v>4</v>
      </c>
      <c r="O9">
        <v>44</v>
      </c>
      <c r="P9">
        <v>40</v>
      </c>
      <c r="Q9" s="36">
        <f t="shared" si="5"/>
        <v>84</v>
      </c>
      <c r="R9" s="35">
        <f t="shared" si="0"/>
        <v>322</v>
      </c>
      <c r="S9" s="35">
        <f t="shared" si="1"/>
        <v>5</v>
      </c>
      <c r="T9" s="4"/>
      <c r="U9" s="10">
        <v>350</v>
      </c>
      <c r="V9" s="9">
        <f t="shared" si="6"/>
        <v>0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266</v>
      </c>
      <c r="C10">
        <v>97</v>
      </c>
      <c r="D10" s="37">
        <f>LOOKUP(C10,예상등급!$A$5:$A$13,예상등급!$B$5:$B$13)</f>
        <v>1</v>
      </c>
      <c r="E10" s="44" t="e">
        <f>((C10-예상등급!#REF!)/예상등급!#REF!)*20+100</f>
        <v>#REF!</v>
      </c>
      <c r="F10">
        <v>59</v>
      </c>
      <c r="G10" s="37">
        <f>LOOKUP(F10,예상등급!$D$19:$D$27,예상등급!$E$19:$E$27)</f>
        <v>1</v>
      </c>
      <c r="H10" s="44" t="e">
        <f>((F10-예상등급!#REF!)/예상등급!#REF!)*20+100</f>
        <v>#REF!</v>
      </c>
      <c r="I10">
        <v>71</v>
      </c>
      <c r="J10" s="37">
        <f>LOOKUP(I10,예상등급!$D$5:$D$13,예상등급!$E$5:$E$13)</f>
        <v>3</v>
      </c>
      <c r="K10" s="44" t="e">
        <f>((I10-예상등급!#REF!)/예상등급!#REF!)*20+100</f>
        <v>#REF!</v>
      </c>
      <c r="L10" s="34">
        <f t="shared" si="2"/>
        <v>227</v>
      </c>
      <c r="M10" s="45" t="e">
        <f t="shared" si="3"/>
        <v>#REF!</v>
      </c>
      <c r="N10" s="34">
        <f t="shared" si="4"/>
        <v>8</v>
      </c>
      <c r="O10">
        <v>32</v>
      </c>
      <c r="P10">
        <v>38</v>
      </c>
      <c r="Q10" s="36">
        <f t="shared" si="5"/>
        <v>70</v>
      </c>
      <c r="R10" s="35">
        <f t="shared" si="0"/>
        <v>297</v>
      </c>
      <c r="S10" s="35">
        <f t="shared" si="1"/>
        <v>11</v>
      </c>
      <c r="T10" s="4"/>
      <c r="U10" s="11">
        <v>340</v>
      </c>
      <c r="V10" s="9">
        <f t="shared" si="6"/>
        <v>2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227</v>
      </c>
      <c r="C11">
        <v>84</v>
      </c>
      <c r="D11" s="37">
        <f>LOOKUP(C11,예상등급!$A$5:$A$13,예상등급!$B$5:$B$13)</f>
        <v>1</v>
      </c>
      <c r="E11" s="44" t="e">
        <f>((C11-예상등급!#REF!)/예상등급!#REF!)*20+100</f>
        <v>#REF!</v>
      </c>
      <c r="F11">
        <v>39</v>
      </c>
      <c r="G11" s="37">
        <f>LOOKUP(F11,예상등급!$D$19:$D$27,예상등급!$E$19:$E$27)</f>
        <v>2</v>
      </c>
      <c r="H11" s="44" t="e">
        <f>((F11-예상등급!#REF!)/예상등급!#REF!)*20+100</f>
        <v>#REF!</v>
      </c>
      <c r="I11">
        <v>63</v>
      </c>
      <c r="J11" s="37">
        <f>LOOKUP(I11,예상등급!$D$5:$D$13,예상등급!$E$5:$E$13)</f>
        <v>4</v>
      </c>
      <c r="K11" s="44" t="e">
        <f>((I11-예상등급!#REF!)/예상등급!#REF!)*20+100</f>
        <v>#REF!</v>
      </c>
      <c r="L11" s="34">
        <f t="shared" si="2"/>
        <v>186</v>
      </c>
      <c r="M11" s="45" t="e">
        <f t="shared" si="3"/>
        <v>#REF!</v>
      </c>
      <c r="N11" s="34">
        <f t="shared" si="4"/>
        <v>26</v>
      </c>
      <c r="O11">
        <v>22</v>
      </c>
      <c r="P11">
        <v>12</v>
      </c>
      <c r="Q11" s="36">
        <f t="shared" si="5"/>
        <v>34</v>
      </c>
      <c r="R11" s="35">
        <f t="shared" si="0"/>
        <v>220</v>
      </c>
      <c r="S11" s="35">
        <f t="shared" si="1"/>
        <v>29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33</v>
      </c>
      <c r="C12">
        <v>71</v>
      </c>
      <c r="D12" s="37">
        <f>LOOKUP(C12,예상등급!$A$5:$A$13,예상등급!$B$5:$B$13)</f>
        <v>3</v>
      </c>
      <c r="E12" s="44" t="e">
        <f>((C12-예상등급!#REF!)/예상등급!#REF!)*20+100</f>
        <v>#REF!</v>
      </c>
      <c r="F12">
        <v>20</v>
      </c>
      <c r="G12" s="37">
        <f>LOOKUP(F12,예상등급!$D$19:$D$27,예상등급!$E$19:$E$27)</f>
        <v>5</v>
      </c>
      <c r="H12" s="44" t="e">
        <f>((F12-예상등급!#REF!)/예상등급!#REF!)*20+100</f>
        <v>#REF!</v>
      </c>
      <c r="I12">
        <v>46</v>
      </c>
      <c r="J12" s="37">
        <f>LOOKUP(I12,예상등급!$D$5:$D$13,예상등급!$E$5:$E$13)</f>
        <v>6</v>
      </c>
      <c r="K12" s="44" t="e">
        <f>((I12-예상등급!#REF!)/예상등급!#REF!)*20+100</f>
        <v>#REF!</v>
      </c>
      <c r="L12" s="34">
        <f t="shared" si="2"/>
        <v>137</v>
      </c>
      <c r="M12" s="45" t="e">
        <f t="shared" si="3"/>
        <v>#REF!</v>
      </c>
      <c r="N12" s="34">
        <f t="shared" si="4"/>
        <v>33</v>
      </c>
      <c r="O12">
        <v>27</v>
      </c>
      <c r="P12">
        <v>25</v>
      </c>
      <c r="Q12" s="36">
        <f t="shared" si="5"/>
        <v>52</v>
      </c>
      <c r="R12" s="35">
        <f t="shared" si="0"/>
        <v>189</v>
      </c>
      <c r="S12" s="35">
        <f t="shared" si="1"/>
        <v>32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267</v>
      </c>
      <c r="C13">
        <v>22</v>
      </c>
      <c r="D13" s="37">
        <f>LOOKUP(C13,예상등급!$A$5:$A$13,예상등급!$B$5:$B$13)</f>
        <v>7</v>
      </c>
      <c r="E13" s="44" t="e">
        <f>((C13-예상등급!#REF!)/예상등급!#REF!)*20+100</f>
        <v>#REF!</v>
      </c>
      <c r="F13">
        <v>10</v>
      </c>
      <c r="G13" s="37">
        <f>LOOKUP(F13,예상등급!$D$19:$D$27,예상등급!$E$19:$E$27)</f>
        <v>7</v>
      </c>
      <c r="H13" s="44" t="e">
        <f>((F13-예상등급!#REF!)/예상등급!#REF!)*20+100</f>
        <v>#REF!</v>
      </c>
      <c r="I13">
        <v>22</v>
      </c>
      <c r="J13" s="37">
        <f>LOOKUP(I13,예상등급!$D$5:$D$13,예상등급!$E$5:$E$13)</f>
        <v>8</v>
      </c>
      <c r="K13" s="44" t="e">
        <f>((I13-예상등급!#REF!)/예상등급!#REF!)*20+100</f>
        <v>#REF!</v>
      </c>
      <c r="L13" s="34">
        <f t="shared" si="2"/>
        <v>54</v>
      </c>
      <c r="M13" s="45" t="e">
        <f t="shared" si="3"/>
        <v>#REF!</v>
      </c>
      <c r="N13" s="34">
        <f t="shared" si="4"/>
        <v>38</v>
      </c>
      <c r="O13">
        <v>9</v>
      </c>
      <c r="P13">
        <v>9</v>
      </c>
      <c r="Q13" s="36">
        <f t="shared" si="5"/>
        <v>18</v>
      </c>
      <c r="R13" s="35">
        <f t="shared" si="0"/>
        <v>72</v>
      </c>
      <c r="S13" s="35">
        <f t="shared" si="1"/>
        <v>39</v>
      </c>
      <c r="T13" s="4"/>
      <c r="U13" s="12">
        <v>310</v>
      </c>
      <c r="V13" s="9">
        <f t="shared" si="6"/>
        <v>0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268</v>
      </c>
      <c r="C14">
        <v>96</v>
      </c>
      <c r="D14" s="37">
        <f>LOOKUP(C14,예상등급!$A$5:$A$13,예상등급!$B$5:$B$13)</f>
        <v>1</v>
      </c>
      <c r="E14" s="44" t="e">
        <f>((C14-예상등급!#REF!)/예상등급!#REF!)*20+100</f>
        <v>#REF!</v>
      </c>
      <c r="F14">
        <v>59</v>
      </c>
      <c r="G14" s="37">
        <f>LOOKUP(F14,예상등급!$D$19:$D$27,예상등급!$E$19:$E$27)</f>
        <v>1</v>
      </c>
      <c r="H14" s="44" t="e">
        <f>((F14-예상등급!#REF!)/예상등급!#REF!)*20+100</f>
        <v>#REF!</v>
      </c>
      <c r="I14">
        <v>83</v>
      </c>
      <c r="J14" s="37">
        <f>LOOKUP(I14,예상등급!$D$5:$D$13,예상등급!$E$5:$E$13)</f>
        <v>2</v>
      </c>
      <c r="K14" s="44" t="e">
        <f>((I14-예상등급!#REF!)/예상등급!#REF!)*20+100</f>
        <v>#REF!</v>
      </c>
      <c r="L14" s="34">
        <f t="shared" si="2"/>
        <v>238</v>
      </c>
      <c r="M14" s="45" t="e">
        <f t="shared" si="3"/>
        <v>#REF!</v>
      </c>
      <c r="N14" s="34">
        <f t="shared" si="4"/>
        <v>4</v>
      </c>
      <c r="O14">
        <v>42</v>
      </c>
      <c r="P14">
        <v>47</v>
      </c>
      <c r="Q14" s="36">
        <f t="shared" si="5"/>
        <v>89</v>
      </c>
      <c r="R14" s="35">
        <f t="shared" si="0"/>
        <v>327</v>
      </c>
      <c r="S14" s="35">
        <f t="shared" si="1"/>
        <v>4</v>
      </c>
      <c r="T14" s="4"/>
      <c r="U14" s="13">
        <v>300</v>
      </c>
      <c r="V14" s="9">
        <f t="shared" si="6"/>
        <v>4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269</v>
      </c>
      <c r="C15">
        <v>97</v>
      </c>
      <c r="D15" s="37">
        <f>LOOKUP(C15,예상등급!$A$5:$A$13,예상등급!$B$5:$B$13)</f>
        <v>1</v>
      </c>
      <c r="E15" s="44" t="e">
        <f>((C15-예상등급!#REF!)/예상등급!#REF!)*20+100</f>
        <v>#REF!</v>
      </c>
      <c r="F15">
        <v>17</v>
      </c>
      <c r="G15" s="37">
        <f>LOOKUP(F15,예상등급!$D$19:$D$27,예상등급!$E$19:$E$27)</f>
        <v>6</v>
      </c>
      <c r="H15" s="44" t="e">
        <f>((F15-예상등급!#REF!)/예상등급!#REF!)*20+100</f>
        <v>#REF!</v>
      </c>
      <c r="I15">
        <v>63</v>
      </c>
      <c r="J15" s="37">
        <f>LOOKUP(I15,예상등급!$D$5:$D$13,예상등급!$E$5:$E$13)</f>
        <v>4</v>
      </c>
      <c r="K15" s="44" t="e">
        <f>((I15-예상등급!#REF!)/예상등급!#REF!)*20+100</f>
        <v>#REF!</v>
      </c>
      <c r="L15" s="34">
        <f t="shared" si="2"/>
        <v>177</v>
      </c>
      <c r="M15" s="45" t="e">
        <f t="shared" si="3"/>
        <v>#REF!</v>
      </c>
      <c r="N15" s="34">
        <f t="shared" si="4"/>
        <v>28</v>
      </c>
      <c r="O15">
        <v>38</v>
      </c>
      <c r="P15">
        <v>30</v>
      </c>
      <c r="Q15" s="36">
        <f t="shared" si="5"/>
        <v>68</v>
      </c>
      <c r="R15" s="35">
        <f t="shared" si="0"/>
        <v>245</v>
      </c>
      <c r="S15" s="35">
        <f t="shared" si="1"/>
        <v>24</v>
      </c>
      <c r="T15" s="4"/>
      <c r="U15" s="14">
        <v>290</v>
      </c>
      <c r="V15" s="9">
        <f t="shared" si="6"/>
        <v>4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270</v>
      </c>
      <c r="C16">
        <v>91</v>
      </c>
      <c r="D16" s="37">
        <f>LOOKUP(C16,예상등급!$A$5:$A$13,예상등급!$B$5:$B$13)</f>
        <v>1</v>
      </c>
      <c r="E16" s="44" t="e">
        <f>((C16-예상등급!#REF!)/예상등급!#REF!)*20+100</f>
        <v>#REF!</v>
      </c>
      <c r="F16">
        <v>37</v>
      </c>
      <c r="G16" s="37">
        <f>LOOKUP(F16,예상등급!$D$19:$D$27,예상등급!$E$19:$E$27)</f>
        <v>2</v>
      </c>
      <c r="H16" s="44" t="e">
        <f>((F16-예상등급!#REF!)/예상등급!#REF!)*20+100</f>
        <v>#REF!</v>
      </c>
      <c r="I16">
        <v>64</v>
      </c>
      <c r="J16" s="37">
        <f>LOOKUP(I16,예상등급!$D$5:$D$13,예상등급!$E$5:$E$13)</f>
        <v>4</v>
      </c>
      <c r="K16" s="44" t="e">
        <f>((I16-예상등급!#REF!)/예상등급!#REF!)*20+100</f>
        <v>#REF!</v>
      </c>
      <c r="L16" s="34">
        <f t="shared" si="2"/>
        <v>192</v>
      </c>
      <c r="M16" s="45" t="e">
        <f t="shared" si="3"/>
        <v>#REF!</v>
      </c>
      <c r="N16" s="34">
        <f t="shared" si="4"/>
        <v>24</v>
      </c>
      <c r="O16">
        <v>45</v>
      </c>
      <c r="P16">
        <v>33</v>
      </c>
      <c r="Q16" s="36">
        <f t="shared" si="5"/>
        <v>78</v>
      </c>
      <c r="R16" s="35">
        <f t="shared" si="0"/>
        <v>270</v>
      </c>
      <c r="S16" s="35">
        <f t="shared" si="1"/>
        <v>19</v>
      </c>
      <c r="T16" s="4"/>
      <c r="U16" s="15">
        <v>280</v>
      </c>
      <c r="V16" s="9">
        <f t="shared" si="6"/>
        <v>2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271</v>
      </c>
      <c r="C17">
        <v>51</v>
      </c>
      <c r="D17" s="37">
        <f>LOOKUP(C17,예상등급!$A$5:$A$13,예상등급!$B$5:$B$13)</f>
        <v>5</v>
      </c>
      <c r="E17" s="44" t="e">
        <f>((C17-예상등급!#REF!)/예상등급!#REF!)*20+100</f>
        <v>#REF!</v>
      </c>
      <c r="F17">
        <v>17</v>
      </c>
      <c r="G17" s="37">
        <f>LOOKUP(F17,예상등급!$D$19:$D$27,예상등급!$E$19:$E$27)</f>
        <v>6</v>
      </c>
      <c r="H17" s="44" t="e">
        <f>((F17-예상등급!#REF!)/예상등급!#REF!)*20+100</f>
        <v>#REF!</v>
      </c>
      <c r="I17">
        <v>43</v>
      </c>
      <c r="J17" s="37">
        <f>LOOKUP(I17,예상등급!$D$5:$D$13,예상등급!$E$5:$E$13)</f>
        <v>6</v>
      </c>
      <c r="K17" s="44" t="e">
        <f>((I17-예상등급!#REF!)/예상등급!#REF!)*20+100</f>
        <v>#REF!</v>
      </c>
      <c r="L17" s="34">
        <f t="shared" si="2"/>
        <v>111</v>
      </c>
      <c r="M17" s="45" t="e">
        <f t="shared" si="3"/>
        <v>#REF!</v>
      </c>
      <c r="N17" s="34">
        <f t="shared" si="4"/>
        <v>35</v>
      </c>
      <c r="O17">
        <v>45</v>
      </c>
      <c r="P17">
        <v>40</v>
      </c>
      <c r="Q17" s="36">
        <f t="shared" si="5"/>
        <v>85</v>
      </c>
      <c r="R17" s="35">
        <f t="shared" si="0"/>
        <v>196</v>
      </c>
      <c r="S17" s="35">
        <f t="shared" si="1"/>
        <v>31</v>
      </c>
      <c r="T17" s="4"/>
      <c r="U17" s="15">
        <v>270</v>
      </c>
      <c r="V17" s="9">
        <f t="shared" si="6"/>
        <v>4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272</v>
      </c>
      <c r="C18">
        <v>92</v>
      </c>
      <c r="D18" s="37">
        <f>LOOKUP(C18,예상등급!$A$5:$A$13,예상등급!$B$5:$B$13)</f>
        <v>1</v>
      </c>
      <c r="E18" s="44" t="e">
        <f>((C18-예상등급!#REF!)/예상등급!#REF!)*20+100</f>
        <v>#REF!</v>
      </c>
      <c r="F18">
        <v>65</v>
      </c>
      <c r="G18" s="37">
        <f>LOOKUP(F18,예상등급!$D$19:$D$27,예상등급!$E$19:$E$27)</f>
        <v>1</v>
      </c>
      <c r="H18" s="44" t="e">
        <f>((F18-예상등급!#REF!)/예상등급!#REF!)*20+100</f>
        <v>#REF!</v>
      </c>
      <c r="I18">
        <v>57</v>
      </c>
      <c r="J18" s="37">
        <f>LOOKUP(I18,예상등급!$D$5:$D$13,예상등급!$E$5:$E$13)</f>
        <v>5</v>
      </c>
      <c r="K18" s="44" t="e">
        <f>((I18-예상등급!#REF!)/예상등급!#REF!)*20+100</f>
        <v>#REF!</v>
      </c>
      <c r="L18" s="34">
        <f t="shared" si="2"/>
        <v>214</v>
      </c>
      <c r="M18" s="45" t="e">
        <f t="shared" si="3"/>
        <v>#REF!</v>
      </c>
      <c r="N18" s="34">
        <f t="shared" si="4"/>
        <v>11</v>
      </c>
      <c r="O18">
        <v>37</v>
      </c>
      <c r="P18">
        <v>31</v>
      </c>
      <c r="Q18" s="36">
        <f t="shared" si="5"/>
        <v>68</v>
      </c>
      <c r="R18" s="35">
        <f t="shared" si="0"/>
        <v>282</v>
      </c>
      <c r="S18" s="35">
        <f t="shared" si="1"/>
        <v>15</v>
      </c>
      <c r="T18" s="4"/>
      <c r="U18" s="15">
        <v>260</v>
      </c>
      <c r="V18" s="9">
        <f t="shared" si="6"/>
        <v>3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273</v>
      </c>
      <c r="C19">
        <v>80</v>
      </c>
      <c r="D19" s="37">
        <f>LOOKUP(C19,예상등급!$A$5:$A$13,예상등급!$B$5:$B$13)</f>
        <v>1</v>
      </c>
      <c r="E19" s="44" t="e">
        <f>((C19-예상등급!#REF!)/예상등급!#REF!)*20+100</f>
        <v>#REF!</v>
      </c>
      <c r="F19">
        <v>43</v>
      </c>
      <c r="G19" s="37">
        <f>LOOKUP(F19,예상등급!$D$19:$D$27,예상등급!$E$19:$E$27)</f>
        <v>1</v>
      </c>
      <c r="H19" s="44" t="e">
        <f>((F19-예상등급!#REF!)/예상등급!#REF!)*20+100</f>
        <v>#REF!</v>
      </c>
      <c r="I19">
        <v>61</v>
      </c>
      <c r="J19" s="37">
        <f>LOOKUP(I19,예상등급!$D$5:$D$13,예상등급!$E$5:$E$13)</f>
        <v>4</v>
      </c>
      <c r="K19" s="44" t="e">
        <f>((I19-예상등급!#REF!)/예상등급!#REF!)*20+100</f>
        <v>#REF!</v>
      </c>
      <c r="L19" s="34">
        <f t="shared" si="2"/>
        <v>184</v>
      </c>
      <c r="M19" s="45" t="e">
        <f t="shared" si="3"/>
        <v>#REF!</v>
      </c>
      <c r="N19" s="34">
        <f t="shared" si="4"/>
        <v>27</v>
      </c>
      <c r="O19">
        <v>30</v>
      </c>
      <c r="P19">
        <v>25</v>
      </c>
      <c r="Q19" s="36">
        <f t="shared" si="5"/>
        <v>55</v>
      </c>
      <c r="R19" s="35">
        <f t="shared" si="0"/>
        <v>239</v>
      </c>
      <c r="S19" s="35">
        <f t="shared" si="1"/>
        <v>26</v>
      </c>
      <c r="T19" s="4"/>
      <c r="U19" s="16">
        <v>250</v>
      </c>
      <c r="V19" s="9">
        <f>FREQUENCY($R$4:$R$42,W18:W42)</f>
        <v>1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274</v>
      </c>
      <c r="C20">
        <v>89</v>
      </c>
      <c r="D20" s="37">
        <f>LOOKUP(C20,예상등급!$A$5:$A$13,예상등급!$B$5:$B$13)</f>
        <v>1</v>
      </c>
      <c r="E20" s="44" t="e">
        <f>((C20-예상등급!#REF!)/예상등급!#REF!)*20+100</f>
        <v>#REF!</v>
      </c>
      <c r="F20">
        <v>39</v>
      </c>
      <c r="G20" s="37">
        <f>LOOKUP(F20,예상등급!$D$19:$D$27,예상등급!$E$19:$E$27)</f>
        <v>2</v>
      </c>
      <c r="H20" s="44" t="e">
        <f>((F20-예상등급!#REF!)/예상등급!#REF!)*20+100</f>
        <v>#REF!</v>
      </c>
      <c r="I20">
        <v>64</v>
      </c>
      <c r="J20" s="37">
        <f>LOOKUP(I20,예상등급!$D$5:$D$13,예상등급!$E$5:$E$13)</f>
        <v>4</v>
      </c>
      <c r="K20" s="44" t="e">
        <f>((I20-예상등급!#REF!)/예상등급!#REF!)*20+100</f>
        <v>#REF!</v>
      </c>
      <c r="L20" s="34">
        <f t="shared" si="2"/>
        <v>192</v>
      </c>
      <c r="M20" s="45" t="e">
        <f t="shared" si="3"/>
        <v>#REF!</v>
      </c>
      <c r="N20" s="34">
        <f t="shared" si="4"/>
        <v>24</v>
      </c>
      <c r="O20">
        <v>42</v>
      </c>
      <c r="P20">
        <v>50</v>
      </c>
      <c r="Q20" s="36">
        <f t="shared" si="5"/>
        <v>92</v>
      </c>
      <c r="R20" s="35">
        <f t="shared" si="0"/>
        <v>284</v>
      </c>
      <c r="S20" s="35">
        <f t="shared" si="1"/>
        <v>14</v>
      </c>
      <c r="T20" s="4"/>
      <c r="U20" s="17">
        <v>240</v>
      </c>
      <c r="V20" s="9">
        <f>FREQUENCY($R$4:$R$42,W19:W42)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275</v>
      </c>
      <c r="C21">
        <v>72</v>
      </c>
      <c r="D21" s="37">
        <f>LOOKUP(C21,예상등급!$A$5:$A$13,예상등급!$B$5:$B$13)</f>
        <v>2</v>
      </c>
      <c r="E21" s="44" t="e">
        <f>((C21-예상등급!#REF!)/예상등급!#REF!)*20+100</f>
        <v>#REF!</v>
      </c>
      <c r="F21">
        <v>26</v>
      </c>
      <c r="G21" s="37">
        <f>LOOKUP(F21,예상등급!$D$19:$D$27,예상등급!$E$19:$E$27)</f>
        <v>4</v>
      </c>
      <c r="H21" s="44" t="e">
        <f>((F21-예상등급!#REF!)/예상등급!#REF!)*20+100</f>
        <v>#REF!</v>
      </c>
      <c r="I21">
        <v>40</v>
      </c>
      <c r="J21" s="37">
        <f>LOOKUP(I21,예상등급!$D$5:$D$13,예상등급!$E$5:$E$13)</f>
        <v>6</v>
      </c>
      <c r="K21" s="44" t="e">
        <f>((I21-예상등급!#REF!)/예상등급!#REF!)*20+100</f>
        <v>#REF!</v>
      </c>
      <c r="L21" s="34">
        <f t="shared" si="2"/>
        <v>138</v>
      </c>
      <c r="M21" s="45" t="e">
        <f t="shared" si="3"/>
        <v>#REF!</v>
      </c>
      <c r="N21" s="34">
        <f t="shared" si="4"/>
        <v>32</v>
      </c>
      <c r="O21">
        <v>30</v>
      </c>
      <c r="P21">
        <v>21</v>
      </c>
      <c r="Q21" s="36">
        <f t="shared" si="5"/>
        <v>51</v>
      </c>
      <c r="R21" s="35">
        <f t="shared" si="0"/>
        <v>189</v>
      </c>
      <c r="S21" s="35">
        <f t="shared" si="1"/>
        <v>32</v>
      </c>
      <c r="T21" s="4"/>
      <c r="U21" s="18">
        <v>230</v>
      </c>
      <c r="V21" s="9">
        <f t="shared" ref="V21:V26" si="7">FREQUENCY($R$4:$R$42,W20:W42)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276</v>
      </c>
      <c r="C22">
        <v>87</v>
      </c>
      <c r="D22" s="37">
        <f>LOOKUP(C22,예상등급!$A$5:$A$13,예상등급!$B$5:$B$13)</f>
        <v>1</v>
      </c>
      <c r="E22" s="44" t="e">
        <f>((C22-예상등급!#REF!)/예상등급!#REF!)*20+100</f>
        <v>#REF!</v>
      </c>
      <c r="F22">
        <v>44</v>
      </c>
      <c r="G22" s="37">
        <f>LOOKUP(F22,예상등급!$D$19:$D$27,예상등급!$E$19:$E$27)</f>
        <v>1</v>
      </c>
      <c r="H22" s="44" t="e">
        <f>((F22-예상등급!#REF!)/예상등급!#REF!)*20+100</f>
        <v>#REF!</v>
      </c>
      <c r="I22">
        <v>63</v>
      </c>
      <c r="J22" s="37">
        <f>LOOKUP(I22,예상등급!$D$5:$D$13,예상등급!$E$5:$E$13)</f>
        <v>4</v>
      </c>
      <c r="K22" s="44" t="e">
        <f>((I22-예상등급!#REF!)/예상등급!#REF!)*20+100</f>
        <v>#REF!</v>
      </c>
      <c r="L22" s="34">
        <f t="shared" si="2"/>
        <v>194</v>
      </c>
      <c r="M22" s="45" t="e">
        <f t="shared" si="3"/>
        <v>#REF!</v>
      </c>
      <c r="N22" s="34">
        <f t="shared" si="4"/>
        <v>23</v>
      </c>
      <c r="O22">
        <v>24</v>
      </c>
      <c r="P22">
        <v>21</v>
      </c>
      <c r="Q22" s="36">
        <f t="shared" si="5"/>
        <v>45</v>
      </c>
      <c r="R22" s="35">
        <f t="shared" si="0"/>
        <v>239</v>
      </c>
      <c r="S22" s="35">
        <f t="shared" si="1"/>
        <v>26</v>
      </c>
      <c r="T22" s="4"/>
      <c r="U22" s="18">
        <v>220</v>
      </c>
      <c r="V22" s="9">
        <f t="shared" si="7"/>
        <v>2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277</v>
      </c>
      <c r="C23" s="98">
        <v>85</v>
      </c>
      <c r="D23" s="37" t="e">
        <f>LOOKUP(C23,#REF!,#REF!)</f>
        <v>#REF!</v>
      </c>
      <c r="E23" s="44" t="e">
        <f>((C23-#REF!)/#REF!)*20+100</f>
        <v>#REF!</v>
      </c>
      <c r="F23">
        <v>44</v>
      </c>
      <c r="G23" s="37">
        <f>LOOKUP(F23,예상등급!$D$19:$D$27,예상등급!$E$19:$E$27)</f>
        <v>1</v>
      </c>
      <c r="H23" s="44" t="e">
        <f>((F23-예상등급!#REF!)/예상등급!#REF!)*20+100</f>
        <v>#REF!</v>
      </c>
      <c r="I23">
        <v>71</v>
      </c>
      <c r="J23" s="37">
        <f>LOOKUP(I23,예상등급!$D$5:$D$13,예상등급!$E$5:$E$13)</f>
        <v>3</v>
      </c>
      <c r="K23" s="44" t="e">
        <f>((I23-예상등급!#REF!)/예상등급!#REF!)*20+100</f>
        <v>#REF!</v>
      </c>
      <c r="L23" s="34">
        <f t="shared" si="2"/>
        <v>200</v>
      </c>
      <c r="M23" s="45" t="e">
        <f t="shared" si="3"/>
        <v>#REF!</v>
      </c>
      <c r="N23" s="34">
        <f t="shared" si="4"/>
        <v>18</v>
      </c>
      <c r="O23">
        <v>35</v>
      </c>
      <c r="P23">
        <v>33</v>
      </c>
      <c r="Q23" s="36">
        <f t="shared" si="5"/>
        <v>68</v>
      </c>
      <c r="R23" s="35">
        <f t="shared" si="0"/>
        <v>268</v>
      </c>
      <c r="S23" s="35">
        <f t="shared" si="1"/>
        <v>20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278</v>
      </c>
      <c r="C24">
        <v>100</v>
      </c>
      <c r="D24" s="37">
        <f>LOOKUP(C24,예상등급!$A$5:$A$13,예상등급!$B$5:$B$13)</f>
        <v>1</v>
      </c>
      <c r="E24" s="44" t="e">
        <f>((C24-예상등급!#REF!)/예상등급!#REF!)*20+100</f>
        <v>#REF!</v>
      </c>
      <c r="F24">
        <v>65</v>
      </c>
      <c r="G24" s="37">
        <f>LOOKUP(F24,예상등급!$D$19:$D$27,예상등급!$E$19:$E$27)</f>
        <v>1</v>
      </c>
      <c r="H24" s="44" t="e">
        <f>((F24-예상등급!#REF!)/예상등급!#REF!)*20+100</f>
        <v>#REF!</v>
      </c>
      <c r="I24">
        <v>83</v>
      </c>
      <c r="J24" s="37">
        <f>LOOKUP(I24,예상등급!$D$5:$D$13,예상등급!$E$5:$E$13)</f>
        <v>2</v>
      </c>
      <c r="K24" s="44" t="e">
        <f>((I24-예상등급!#REF!)/예상등급!#REF!)*20+100</f>
        <v>#REF!</v>
      </c>
      <c r="L24" s="34">
        <f t="shared" si="2"/>
        <v>248</v>
      </c>
      <c r="M24" s="45" t="e">
        <f t="shared" si="3"/>
        <v>#REF!</v>
      </c>
      <c r="N24" s="34">
        <f t="shared" si="4"/>
        <v>3</v>
      </c>
      <c r="O24">
        <v>45</v>
      </c>
      <c r="P24">
        <v>48</v>
      </c>
      <c r="Q24" s="36">
        <f t="shared" si="5"/>
        <v>93</v>
      </c>
      <c r="R24" s="35">
        <f t="shared" si="0"/>
        <v>341</v>
      </c>
      <c r="S24" s="35">
        <f t="shared" si="1"/>
        <v>3</v>
      </c>
      <c r="T24" s="4"/>
      <c r="U24" s="19">
        <v>200</v>
      </c>
      <c r="V24" s="9">
        <f t="shared" si="7"/>
        <v>1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279</v>
      </c>
      <c r="C25">
        <v>100</v>
      </c>
      <c r="D25" s="37">
        <f>LOOKUP(C25,예상등급!$A$5:$A$13,예상등급!$B$5:$B$13)</f>
        <v>1</v>
      </c>
      <c r="E25" s="44" t="e">
        <f>((C25-예상등급!#REF!)/예상등급!#REF!)*20+100</f>
        <v>#REF!</v>
      </c>
      <c r="F25">
        <v>82</v>
      </c>
      <c r="G25" s="37">
        <f>LOOKUP(F25,예상등급!$D$19:$D$27,예상등급!$E$19:$E$27)</f>
        <v>1</v>
      </c>
      <c r="H25" s="44" t="e">
        <f>((F25-예상등급!#REF!)/예상등급!#REF!)*20+100</f>
        <v>#REF!</v>
      </c>
      <c r="I25">
        <v>100</v>
      </c>
      <c r="J25" s="37">
        <f>LOOKUP(I25,예상등급!$D$5:$D$13,예상등급!$E$5:$E$13)</f>
        <v>1</v>
      </c>
      <c r="K25" s="44" t="e">
        <f>((I25-예상등급!#REF!)/예상등급!#REF!)*20+100</f>
        <v>#REF!</v>
      </c>
      <c r="L25" s="34">
        <f t="shared" si="2"/>
        <v>282</v>
      </c>
      <c r="M25" s="45" t="e">
        <f t="shared" si="3"/>
        <v>#REF!</v>
      </c>
      <c r="N25" s="34">
        <f t="shared" si="4"/>
        <v>1</v>
      </c>
      <c r="O25">
        <v>41</v>
      </c>
      <c r="P25">
        <v>44</v>
      </c>
      <c r="Q25" s="36">
        <f t="shared" si="5"/>
        <v>85</v>
      </c>
      <c r="R25" s="35">
        <f t="shared" si="0"/>
        <v>367</v>
      </c>
      <c r="S25" s="35">
        <f t="shared" si="1"/>
        <v>1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280</v>
      </c>
      <c r="C26">
        <v>96</v>
      </c>
      <c r="D26" s="37">
        <f>LOOKUP(C26,예상등급!$A$5:$A$13,예상등급!$B$5:$B$13)</f>
        <v>1</v>
      </c>
      <c r="E26" s="44" t="e">
        <f>((C26-예상등급!#REF!)/예상등급!#REF!)*20+100</f>
        <v>#REF!</v>
      </c>
      <c r="F26">
        <v>42</v>
      </c>
      <c r="G26" s="37">
        <f>LOOKUP(F26,예상등급!$D$19:$D$27,예상등급!$E$19:$E$27)</f>
        <v>1</v>
      </c>
      <c r="H26" s="44" t="e">
        <f>((F26-예상등급!#REF!)/예상등급!#REF!)*20+100</f>
        <v>#REF!</v>
      </c>
      <c r="I26">
        <v>70</v>
      </c>
      <c r="J26" s="37">
        <f>LOOKUP(I26,예상등급!$D$5:$D$13,예상등급!$E$5:$E$13)</f>
        <v>3</v>
      </c>
      <c r="K26" s="44" t="e">
        <f>((I26-예상등급!#REF!)/예상등급!#REF!)*20+100</f>
        <v>#REF!</v>
      </c>
      <c r="L26" s="34">
        <f t="shared" si="2"/>
        <v>208</v>
      </c>
      <c r="M26" s="45" t="e">
        <f t="shared" si="3"/>
        <v>#REF!</v>
      </c>
      <c r="N26" s="34">
        <f t="shared" si="4"/>
        <v>14</v>
      </c>
      <c r="O26">
        <v>29</v>
      </c>
      <c r="P26">
        <v>30</v>
      </c>
      <c r="Q26" s="36">
        <f t="shared" si="5"/>
        <v>59</v>
      </c>
      <c r="R26" s="35">
        <f t="shared" si="0"/>
        <v>267</v>
      </c>
      <c r="S26" s="35">
        <f t="shared" si="1"/>
        <v>21</v>
      </c>
      <c r="T26" s="4"/>
      <c r="U26" s="21" t="s">
        <v>20</v>
      </c>
      <c r="V26" s="9">
        <f t="shared" si="7"/>
        <v>8</v>
      </c>
    </row>
    <row r="27" spans="1:23" s="7" customFormat="1" ht="17.100000000000001" customHeight="1" x14ac:dyDescent="0.15">
      <c r="A27" s="40">
        <v>24</v>
      </c>
      <c r="B27" s="72" t="s">
        <v>281</v>
      </c>
      <c r="C27">
        <v>100</v>
      </c>
      <c r="D27" s="37">
        <f>LOOKUP(C27,예상등급!$A$5:$A$13,예상등급!$B$5:$B$13)</f>
        <v>1</v>
      </c>
      <c r="E27" s="44" t="e">
        <f>((C27-예상등급!#REF!)/예상등급!#REF!)*20+100</f>
        <v>#REF!</v>
      </c>
      <c r="F27">
        <v>73</v>
      </c>
      <c r="G27" s="37">
        <f>LOOKUP(F27,예상등급!$D$19:$D$27,예상등급!$E$19:$E$27)</f>
        <v>1</v>
      </c>
      <c r="H27" s="44" t="e">
        <f>((F27-예상등급!#REF!)/예상등급!#REF!)*20+100</f>
        <v>#REF!</v>
      </c>
      <c r="I27">
        <v>83</v>
      </c>
      <c r="J27" s="37">
        <f>LOOKUP(I27,예상등급!$D$5:$D$13,예상등급!$E$5:$E$13)</f>
        <v>2</v>
      </c>
      <c r="K27" s="44" t="e">
        <f>((I27-예상등급!#REF!)/예상등급!#REF!)*20+100</f>
        <v>#REF!</v>
      </c>
      <c r="L27" s="34">
        <f t="shared" si="2"/>
        <v>256</v>
      </c>
      <c r="M27" s="45" t="e">
        <f t="shared" si="3"/>
        <v>#REF!</v>
      </c>
      <c r="N27" s="34">
        <f t="shared" si="4"/>
        <v>2</v>
      </c>
      <c r="O27">
        <v>41</v>
      </c>
      <c r="P27">
        <v>50</v>
      </c>
      <c r="Q27" s="36">
        <f t="shared" si="5"/>
        <v>91</v>
      </c>
      <c r="R27" s="35">
        <f t="shared" si="0"/>
        <v>347</v>
      </c>
      <c r="S27" s="35">
        <f t="shared" si="1"/>
        <v>2</v>
      </c>
      <c r="T27" s="4"/>
      <c r="U27" s="311" t="s">
        <v>9</v>
      </c>
      <c r="V27" s="313">
        <f>SUM(V4:V26)</f>
        <v>39</v>
      </c>
    </row>
    <row r="28" spans="1:23" s="7" customFormat="1" ht="17.100000000000001" customHeight="1" thickBot="1" x14ac:dyDescent="0.2">
      <c r="A28" s="40">
        <v>25</v>
      </c>
      <c r="B28" s="72" t="s">
        <v>282</v>
      </c>
      <c r="C28">
        <v>94</v>
      </c>
      <c r="D28" s="37">
        <f>LOOKUP(C28,예상등급!$A$5:$A$13,예상등급!$B$5:$B$13)</f>
        <v>1</v>
      </c>
      <c r="E28" s="44" t="e">
        <f>((C28-예상등급!#REF!)/예상등급!#REF!)*20+100</f>
        <v>#REF!</v>
      </c>
      <c r="F28">
        <v>56</v>
      </c>
      <c r="G28" s="37">
        <f>LOOKUP(F28,예상등급!$D$19:$D$27,예상등급!$E$19:$E$27)</f>
        <v>1</v>
      </c>
      <c r="H28" s="44" t="e">
        <f>((F28-예상등급!#REF!)/예상등급!#REF!)*20+100</f>
        <v>#REF!</v>
      </c>
      <c r="I28">
        <v>74</v>
      </c>
      <c r="J28" s="37">
        <f>LOOKUP(I28,예상등급!$D$5:$D$13,예상등급!$E$5:$E$13)</f>
        <v>3</v>
      </c>
      <c r="K28" s="44" t="e">
        <f>((I28-예상등급!#REF!)/예상등급!#REF!)*20+100</f>
        <v>#REF!</v>
      </c>
      <c r="L28" s="34">
        <f t="shared" si="2"/>
        <v>224</v>
      </c>
      <c r="M28" s="45" t="e">
        <f t="shared" si="3"/>
        <v>#REF!</v>
      </c>
      <c r="N28" s="34">
        <f t="shared" si="4"/>
        <v>10</v>
      </c>
      <c r="O28">
        <v>42</v>
      </c>
      <c r="P28">
        <v>39</v>
      </c>
      <c r="Q28" s="36">
        <f t="shared" si="5"/>
        <v>81</v>
      </c>
      <c r="R28" s="35">
        <f t="shared" si="0"/>
        <v>305</v>
      </c>
      <c r="S28" s="35">
        <f t="shared" si="1"/>
        <v>7</v>
      </c>
      <c r="T28" s="4"/>
      <c r="U28" s="312"/>
      <c r="V28" s="314"/>
    </row>
    <row r="29" spans="1:23" s="7" customFormat="1" ht="17.100000000000001" customHeight="1" thickBot="1" x14ac:dyDescent="0.2">
      <c r="A29" s="40">
        <v>26</v>
      </c>
      <c r="B29" s="72" t="s">
        <v>283</v>
      </c>
      <c r="C29">
        <v>97</v>
      </c>
      <c r="D29" s="37">
        <f>LOOKUP(C29,예상등급!$A$5:$A$13,예상등급!$B$5:$B$13)</f>
        <v>1</v>
      </c>
      <c r="E29" s="44" t="e">
        <f>((C29-예상등급!#REF!)/예상등급!#REF!)*20+100</f>
        <v>#REF!</v>
      </c>
      <c r="F29">
        <v>46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71</v>
      </c>
      <c r="J29" s="37">
        <f>LOOKUP(I29,예상등급!$D$5:$D$13,예상등급!$E$5:$E$13)</f>
        <v>3</v>
      </c>
      <c r="K29" s="44" t="e">
        <f>((I29-예상등급!#REF!)/예상등급!#REF!)*20+100</f>
        <v>#REF!</v>
      </c>
      <c r="L29" s="34">
        <f t="shared" si="2"/>
        <v>214</v>
      </c>
      <c r="M29" s="45" t="e">
        <f t="shared" si="3"/>
        <v>#REF!</v>
      </c>
      <c r="N29" s="34">
        <f t="shared" si="4"/>
        <v>11</v>
      </c>
      <c r="O29">
        <v>42</v>
      </c>
      <c r="P29">
        <v>39</v>
      </c>
      <c r="Q29" s="36">
        <f t="shared" si="5"/>
        <v>81</v>
      </c>
      <c r="R29" s="35">
        <f t="shared" si="0"/>
        <v>295</v>
      </c>
      <c r="S29" s="35">
        <f t="shared" si="1"/>
        <v>12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284</v>
      </c>
      <c r="C30">
        <v>91</v>
      </c>
      <c r="D30" s="37">
        <f>LOOKUP(C30,예상등급!$A$5:$A$13,예상등급!$B$5:$B$13)</f>
        <v>1</v>
      </c>
      <c r="E30" s="44" t="e">
        <f>((C30-예상등급!#REF!)/예상등급!#REF!)*20+100</f>
        <v>#REF!</v>
      </c>
      <c r="F30">
        <v>31</v>
      </c>
      <c r="G30" s="37">
        <f>LOOKUP(F30,예상등급!$D$19:$D$27,예상등급!$E$19:$E$27)</f>
        <v>3</v>
      </c>
      <c r="H30" s="44" t="e">
        <f>((F30-예상등급!#REF!)/예상등급!#REF!)*20+100</f>
        <v>#REF!</v>
      </c>
      <c r="I30">
        <v>46</v>
      </c>
      <c r="J30" s="37">
        <f>LOOKUP(I30,예상등급!$D$5:$D$13,예상등급!$E$5:$E$13)</f>
        <v>6</v>
      </c>
      <c r="K30" s="44" t="e">
        <f>((I30-예상등급!#REF!)/예상등급!#REF!)*20+100</f>
        <v>#REF!</v>
      </c>
      <c r="L30" s="34">
        <f t="shared" si="2"/>
        <v>168</v>
      </c>
      <c r="M30" s="45" t="e">
        <f t="shared" si="3"/>
        <v>#REF!</v>
      </c>
      <c r="N30" s="34">
        <f t="shared" si="4"/>
        <v>29</v>
      </c>
      <c r="O30">
        <v>33</v>
      </c>
      <c r="P30">
        <v>27</v>
      </c>
      <c r="Q30" s="36">
        <f t="shared" si="5"/>
        <v>60</v>
      </c>
      <c r="R30" s="35">
        <f t="shared" si="0"/>
        <v>228</v>
      </c>
      <c r="S30" s="35">
        <f t="shared" si="1"/>
        <v>28</v>
      </c>
      <c r="T30" s="4"/>
      <c r="U30" s="315" t="s">
        <v>10</v>
      </c>
      <c r="V30" s="316"/>
    </row>
    <row r="31" spans="1:23" s="7" customFormat="1" ht="17.100000000000001" customHeight="1" x14ac:dyDescent="0.15">
      <c r="A31" s="40">
        <v>28</v>
      </c>
      <c r="B31" s="72" t="s">
        <v>285</v>
      </c>
      <c r="C31">
        <v>95</v>
      </c>
      <c r="D31" s="37">
        <f>LOOKUP(C31,예상등급!$A$5:$A$13,예상등급!$B$5:$B$13)</f>
        <v>1</v>
      </c>
      <c r="E31" s="44" t="e">
        <f>((C31-예상등급!#REF!)/예상등급!#REF!)*20+100</f>
        <v>#REF!</v>
      </c>
      <c r="F31">
        <v>50</v>
      </c>
      <c r="G31" s="37">
        <f>LOOKUP(F31,예상등급!$D$19:$D$27,예상등급!$E$19:$E$27)</f>
        <v>1</v>
      </c>
      <c r="H31" s="44" t="e">
        <f>((F31-예상등급!#REF!)/예상등급!#REF!)*20+100</f>
        <v>#REF!</v>
      </c>
      <c r="I31">
        <v>80</v>
      </c>
      <c r="J31" s="37">
        <f>LOOKUP(I31,예상등급!$D$5:$D$13,예상등급!$E$5:$E$13)</f>
        <v>2</v>
      </c>
      <c r="K31" s="44" t="e">
        <f>((I31-예상등급!#REF!)/예상등급!#REF!)*20+100</f>
        <v>#REF!</v>
      </c>
      <c r="L31" s="34">
        <f t="shared" si="2"/>
        <v>225</v>
      </c>
      <c r="M31" s="45" t="e">
        <f t="shared" si="3"/>
        <v>#REF!</v>
      </c>
      <c r="N31" s="34">
        <f t="shared" si="4"/>
        <v>9</v>
      </c>
      <c r="O31">
        <v>35</v>
      </c>
      <c r="P31">
        <v>39</v>
      </c>
      <c r="Q31" s="36">
        <f t="shared" si="5"/>
        <v>74</v>
      </c>
      <c r="R31" s="35">
        <f t="shared" si="0"/>
        <v>299</v>
      </c>
      <c r="S31" s="35">
        <f t="shared" si="1"/>
        <v>10</v>
      </c>
      <c r="T31" s="4"/>
      <c r="U31" s="317">
        <f>MAX(R4:R42)</f>
        <v>367</v>
      </c>
      <c r="V31" s="318"/>
    </row>
    <row r="32" spans="1:23" s="7" customFormat="1" ht="17.100000000000001" customHeight="1" thickBot="1" x14ac:dyDescent="0.2">
      <c r="A32" s="40">
        <v>29</v>
      </c>
      <c r="B32" s="72" t="s">
        <v>286</v>
      </c>
      <c r="C32">
        <v>95</v>
      </c>
      <c r="D32" s="37">
        <f>LOOKUP(C32,예상등급!$A$5:$A$13,예상등급!$B$5:$B$13)</f>
        <v>1</v>
      </c>
      <c r="E32" s="44" t="e">
        <f>((C32-예상등급!#REF!)/예상등급!#REF!)*20+100</f>
        <v>#REF!</v>
      </c>
      <c r="F32">
        <v>40</v>
      </c>
      <c r="G32" s="37">
        <f>LOOKUP(F32,예상등급!$D$19:$D$27,예상등급!$E$19:$E$27)</f>
        <v>1</v>
      </c>
      <c r="H32" s="44" t="e">
        <f>((F32-예상등급!#REF!)/예상등급!#REF!)*20+100</f>
        <v>#REF!</v>
      </c>
      <c r="I32">
        <v>66</v>
      </c>
      <c r="J32" s="37">
        <f>LOOKUP(I32,예상등급!$D$5:$D$13,예상등급!$E$5:$E$13)</f>
        <v>4</v>
      </c>
      <c r="K32" s="44" t="e">
        <f>((I32-예상등급!#REF!)/예상등급!#REF!)*20+100</f>
        <v>#REF!</v>
      </c>
      <c r="L32" s="34">
        <f t="shared" si="2"/>
        <v>201</v>
      </c>
      <c r="M32" s="45" t="e">
        <f t="shared" si="3"/>
        <v>#REF!</v>
      </c>
      <c r="N32" s="34">
        <f t="shared" si="4"/>
        <v>17</v>
      </c>
      <c r="O32">
        <v>33</v>
      </c>
      <c r="P32">
        <v>27</v>
      </c>
      <c r="Q32" s="36">
        <f t="shared" si="5"/>
        <v>60</v>
      </c>
      <c r="R32" s="35">
        <f t="shared" si="0"/>
        <v>261</v>
      </c>
      <c r="S32" s="35">
        <f t="shared" si="1"/>
        <v>22</v>
      </c>
      <c r="T32" s="4"/>
      <c r="U32" s="319"/>
      <c r="V32" s="320"/>
    </row>
    <row r="33" spans="1:22" s="7" customFormat="1" ht="17.100000000000001" customHeight="1" x14ac:dyDescent="0.15">
      <c r="A33" s="40">
        <v>30</v>
      </c>
      <c r="B33" s="72" t="s">
        <v>287</v>
      </c>
      <c r="C33">
        <v>95</v>
      </c>
      <c r="D33" s="37">
        <f>LOOKUP(C33,예상등급!$A$5:$A$13,예상등급!$B$5:$B$13)</f>
        <v>1</v>
      </c>
      <c r="E33" s="44" t="e">
        <f>((C33-예상등급!#REF!)/예상등급!#REF!)*20+100</f>
        <v>#REF!</v>
      </c>
      <c r="F33">
        <v>53</v>
      </c>
      <c r="G33" s="37">
        <f>LOOKUP(F33,예상등급!$D$19:$D$27,예상등급!$E$19:$E$27)</f>
        <v>1</v>
      </c>
      <c r="H33" s="44" t="e">
        <f>((F33-예상등급!#REF!)/예상등급!#REF!)*20+100</f>
        <v>#REF!</v>
      </c>
      <c r="I33">
        <v>86</v>
      </c>
      <c r="J33" s="37">
        <f>LOOKUP(I33,예상등급!$D$5:$D$13,예상등급!$E$5:$E$13)</f>
        <v>2</v>
      </c>
      <c r="K33" s="44" t="e">
        <f>((I33-예상등급!#REF!)/예상등급!#REF!)*20+100</f>
        <v>#REF!</v>
      </c>
      <c r="L33" s="34">
        <f t="shared" si="2"/>
        <v>234</v>
      </c>
      <c r="M33" s="45" t="e">
        <f t="shared" si="3"/>
        <v>#REF!</v>
      </c>
      <c r="N33" s="34">
        <f t="shared" si="4"/>
        <v>7</v>
      </c>
      <c r="O33">
        <v>34</v>
      </c>
      <c r="P33">
        <v>37</v>
      </c>
      <c r="Q33" s="36">
        <f t="shared" si="5"/>
        <v>71</v>
      </c>
      <c r="R33" s="35">
        <f t="shared" si="0"/>
        <v>305</v>
      </c>
      <c r="S33" s="35">
        <f t="shared" si="1"/>
        <v>7</v>
      </c>
      <c r="T33" s="4"/>
      <c r="U33" s="315" t="s">
        <v>11</v>
      </c>
      <c r="V33" s="316"/>
    </row>
    <row r="34" spans="1:22" s="7" customFormat="1" ht="17.100000000000001" customHeight="1" x14ac:dyDescent="0.15">
      <c r="A34" s="40">
        <v>31</v>
      </c>
      <c r="B34" s="71" t="s">
        <v>288</v>
      </c>
      <c r="C34">
        <v>77</v>
      </c>
      <c r="D34" s="37">
        <f>LOOKUP(C34,예상등급!$A$5:$A$13,예상등급!$B$5:$B$13)</f>
        <v>2</v>
      </c>
      <c r="E34" s="44" t="e">
        <f>((C34-예상등급!#REF!)/예상등급!#REF!)*20+100</f>
        <v>#REF!</v>
      </c>
      <c r="F34">
        <v>14</v>
      </c>
      <c r="G34" s="37">
        <f>LOOKUP(F34,예상등급!$D$19:$D$27,예상등급!$E$19:$E$27)</f>
        <v>7</v>
      </c>
      <c r="H34" s="44" t="e">
        <f>((F34-예상등급!#REF!)/예상등급!#REF!)*20+100</f>
        <v>#REF!</v>
      </c>
      <c r="I34">
        <v>55</v>
      </c>
      <c r="J34" s="37">
        <f>LOOKUP(I34,예상등급!$D$5:$D$13,예상등급!$E$5:$E$13)</f>
        <v>5</v>
      </c>
      <c r="K34" s="44" t="e">
        <f>((I34-예상등급!#REF!)/예상등급!#REF!)*20+100</f>
        <v>#REF!</v>
      </c>
      <c r="L34" s="34">
        <f t="shared" si="2"/>
        <v>146</v>
      </c>
      <c r="M34" s="45" t="e">
        <f t="shared" si="3"/>
        <v>#REF!</v>
      </c>
      <c r="N34" s="34">
        <f t="shared" si="4"/>
        <v>31</v>
      </c>
      <c r="O34">
        <v>18</v>
      </c>
      <c r="P34">
        <v>25</v>
      </c>
      <c r="Q34" s="36">
        <f t="shared" si="5"/>
        <v>43</v>
      </c>
      <c r="R34" s="35">
        <f t="shared" si="0"/>
        <v>189</v>
      </c>
      <c r="S34" s="35">
        <f t="shared" si="1"/>
        <v>32</v>
      </c>
      <c r="T34" s="4"/>
      <c r="U34" s="321">
        <f>MIN(R4:R42)</f>
        <v>72</v>
      </c>
      <c r="V34" s="322"/>
    </row>
    <row r="35" spans="1:22" s="7" customFormat="1" ht="17.100000000000001" customHeight="1" thickBot="1" x14ac:dyDescent="0.2">
      <c r="A35" s="40">
        <v>32</v>
      </c>
      <c r="B35" s="71" t="s">
        <v>289</v>
      </c>
      <c r="C35">
        <v>96</v>
      </c>
      <c r="D35" s="37">
        <f>LOOKUP(C35,예상등급!$A$5:$A$13,예상등급!$B$5:$B$13)</f>
        <v>1</v>
      </c>
      <c r="E35" s="44" t="e">
        <f>((C35-예상등급!#REF!)/예상등급!#REF!)*20+100</f>
        <v>#REF!</v>
      </c>
      <c r="F35">
        <v>27</v>
      </c>
      <c r="G35" s="37">
        <f>LOOKUP(F35,예상등급!$D$19:$D$27,예상등급!$E$19:$E$27)</f>
        <v>4</v>
      </c>
      <c r="H35" s="44" t="e">
        <f>((F35-예상등급!#REF!)/예상등급!#REF!)*20+100</f>
        <v>#REF!</v>
      </c>
      <c r="I35">
        <v>82</v>
      </c>
      <c r="J35" s="37">
        <f>LOOKUP(I35,예상등급!$D$5:$D$13,예상등급!$E$5:$E$13)</f>
        <v>2</v>
      </c>
      <c r="K35" s="44" t="e">
        <f>((I35-예상등급!#REF!)/예상등급!#REF!)*20+100</f>
        <v>#REF!</v>
      </c>
      <c r="L35" s="34">
        <f t="shared" si="2"/>
        <v>205</v>
      </c>
      <c r="M35" s="45" t="e">
        <f t="shared" si="3"/>
        <v>#REF!</v>
      </c>
      <c r="N35" s="34">
        <f t="shared" si="4"/>
        <v>15</v>
      </c>
      <c r="O35">
        <v>38</v>
      </c>
      <c r="P35">
        <v>36</v>
      </c>
      <c r="Q35" s="36">
        <f t="shared" si="5"/>
        <v>74</v>
      </c>
      <c r="R35" s="35">
        <f t="shared" si="0"/>
        <v>279</v>
      </c>
      <c r="S35" s="35">
        <f t="shared" si="1"/>
        <v>16</v>
      </c>
      <c r="T35" s="4"/>
      <c r="U35" s="323"/>
      <c r="V35" s="324"/>
    </row>
    <row r="36" spans="1:22" s="7" customFormat="1" ht="17.100000000000001" customHeight="1" x14ac:dyDescent="0.15">
      <c r="A36" s="40">
        <v>33</v>
      </c>
      <c r="B36" s="71" t="s">
        <v>290</v>
      </c>
      <c r="C36">
        <v>100</v>
      </c>
      <c r="D36" s="37">
        <f>LOOKUP(C36,예상등급!$A$5:$A$13,예상등급!$B$5:$B$13)</f>
        <v>1</v>
      </c>
      <c r="E36" s="44" t="e">
        <f>((C36-예상등급!#REF!)/예상등급!#REF!)*20+100</f>
        <v>#REF!</v>
      </c>
      <c r="F36">
        <v>48</v>
      </c>
      <c r="G36" s="37">
        <f>LOOKUP(F36,예상등급!$D$19:$D$27,예상등급!$E$19:$E$27)</f>
        <v>1</v>
      </c>
      <c r="H36" s="44" t="e">
        <f>((F36-예상등급!#REF!)/예상등급!#REF!)*20+100</f>
        <v>#REF!</v>
      </c>
      <c r="I36">
        <v>87</v>
      </c>
      <c r="J36" s="37">
        <f>LOOKUP(I36,예상등급!$D$5:$D$13,예상등급!$E$5:$E$13)</f>
        <v>2</v>
      </c>
      <c r="K36" s="44" t="e">
        <f>((I36-예상등급!#REF!)/예상등급!#REF!)*20+100</f>
        <v>#REF!</v>
      </c>
      <c r="L36" s="34">
        <f t="shared" si="2"/>
        <v>235</v>
      </c>
      <c r="M36" s="45" t="e">
        <f t="shared" si="3"/>
        <v>#REF!</v>
      </c>
      <c r="N36" s="34">
        <f t="shared" si="4"/>
        <v>6</v>
      </c>
      <c r="O36">
        <v>35</v>
      </c>
      <c r="P36">
        <v>39</v>
      </c>
      <c r="Q36" s="36">
        <f t="shared" si="5"/>
        <v>74</v>
      </c>
      <c r="R36" s="35">
        <f t="shared" si="0"/>
        <v>309</v>
      </c>
      <c r="S36" s="35">
        <f t="shared" si="1"/>
        <v>6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291</v>
      </c>
      <c r="C37">
        <v>22</v>
      </c>
      <c r="D37" s="37">
        <f>LOOKUP(C37,예상등급!$A$5:$A$13,예상등급!$B$5:$B$13)</f>
        <v>7</v>
      </c>
      <c r="E37" s="44" t="e">
        <f>((C37-예상등급!#REF!)/예상등급!#REF!)*20+100</f>
        <v>#REF!</v>
      </c>
      <c r="F37">
        <v>10</v>
      </c>
      <c r="G37" s="37">
        <f>LOOKUP(F37,예상등급!$D$19:$D$27,예상등급!$E$19:$E$27)</f>
        <v>7</v>
      </c>
      <c r="H37" s="44" t="e">
        <f>((F37-예상등급!#REF!)/예상등급!#REF!)*20+100</f>
        <v>#REF!</v>
      </c>
      <c r="I37">
        <v>22</v>
      </c>
      <c r="J37" s="37">
        <f>LOOKUP(I37,예상등급!$D$5:$D$13,예상등급!$E$5:$E$13)</f>
        <v>8</v>
      </c>
      <c r="K37" s="44" t="e">
        <f>((I37-예상등급!#REF!)/예상등급!#REF!)*20+100</f>
        <v>#REF!</v>
      </c>
      <c r="L37" s="34">
        <f t="shared" si="2"/>
        <v>54</v>
      </c>
      <c r="M37" s="45" t="e">
        <f t="shared" si="3"/>
        <v>#REF!</v>
      </c>
      <c r="N37" s="34">
        <f t="shared" si="4"/>
        <v>38</v>
      </c>
      <c r="O37">
        <v>8</v>
      </c>
      <c r="P37">
        <v>12</v>
      </c>
      <c r="Q37" s="36">
        <f t="shared" si="5"/>
        <v>20</v>
      </c>
      <c r="R37" s="35">
        <f t="shared" si="0"/>
        <v>74</v>
      </c>
      <c r="S37" s="35">
        <f t="shared" si="1"/>
        <v>38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292</v>
      </c>
      <c r="C38">
        <v>92</v>
      </c>
      <c r="D38" s="37">
        <f>LOOKUP(C38,예상등급!$A$5:$A$13,예상등급!$B$5:$B$13)</f>
        <v>1</v>
      </c>
      <c r="E38" s="44" t="e">
        <f>((C38-예상등급!#REF!)/예상등급!#REF!)*20+100</f>
        <v>#REF!</v>
      </c>
      <c r="F38">
        <v>27</v>
      </c>
      <c r="G38" s="37">
        <f>LOOKUP(F38,예상등급!$D$19:$D$27,예상등급!$E$19:$E$27)</f>
        <v>4</v>
      </c>
      <c r="H38" s="44" t="e">
        <f>((F38-예상등급!#REF!)/예상등급!#REF!)*20+100</f>
        <v>#REF!</v>
      </c>
      <c r="I38">
        <v>76</v>
      </c>
      <c r="J38" s="37">
        <f>LOOKUP(I38,예상등급!$D$5:$D$13,예상등급!$E$5:$E$13)</f>
        <v>3</v>
      </c>
      <c r="K38" s="44" t="e">
        <f>((I38-예상등급!#REF!)/예상등급!#REF!)*20+100</f>
        <v>#REF!</v>
      </c>
      <c r="L38" s="34">
        <f>SUM(C38,F38,I38)</f>
        <v>195</v>
      </c>
      <c r="M38" s="45" t="e">
        <f>SUM(E38,H38,K38)</f>
        <v>#REF!</v>
      </c>
      <c r="N38" s="34">
        <f t="shared" si="4"/>
        <v>21</v>
      </c>
      <c r="O38">
        <v>28</v>
      </c>
      <c r="P38">
        <v>17</v>
      </c>
      <c r="Q38" s="36">
        <f t="shared" si="5"/>
        <v>45</v>
      </c>
      <c r="R38" s="35">
        <f t="shared" si="0"/>
        <v>240</v>
      </c>
      <c r="S38" s="35">
        <f t="shared" si="1"/>
        <v>25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293</v>
      </c>
      <c r="C39">
        <v>29</v>
      </c>
      <c r="D39" s="37">
        <f>LOOKUP(C39,예상등급!$A$5:$A$13,예상등급!$B$5:$B$13)</f>
        <v>7</v>
      </c>
      <c r="E39" s="44" t="e">
        <f>((C39-예상등급!#REF!)/예상등급!#REF!)*20+100</f>
        <v>#REF!</v>
      </c>
      <c r="F39">
        <v>18</v>
      </c>
      <c r="G39" s="37">
        <f>LOOKUP(F39,예상등급!$D$19:$D$27,예상등급!$E$19:$E$27)</f>
        <v>6</v>
      </c>
      <c r="H39" s="44" t="e">
        <f>((F39-예상등급!#REF!)/예상등급!#REF!)*20+100</f>
        <v>#REF!</v>
      </c>
      <c r="I39">
        <v>27</v>
      </c>
      <c r="J39" s="37">
        <f>LOOKUP(I39,예상등급!$D$5:$D$13,예상등급!$E$5:$E$13)</f>
        <v>8</v>
      </c>
      <c r="K39" s="44" t="e">
        <f>((I39-예상등급!#REF!)/예상등급!#REF!)*20+100</f>
        <v>#REF!</v>
      </c>
      <c r="L39" s="34">
        <f>SUM(C39,F39,I39)</f>
        <v>74</v>
      </c>
      <c r="M39" s="45" t="e">
        <f>SUM(E39,H39,K39)</f>
        <v>#REF!</v>
      </c>
      <c r="N39" s="34">
        <f t="shared" si="4"/>
        <v>37</v>
      </c>
      <c r="O39">
        <v>18</v>
      </c>
      <c r="P39">
        <v>10</v>
      </c>
      <c r="Q39" s="36">
        <f t="shared" si="5"/>
        <v>28</v>
      </c>
      <c r="R39" s="35">
        <f t="shared" si="0"/>
        <v>102</v>
      </c>
      <c r="S39" s="35">
        <f t="shared" si="1"/>
        <v>37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294</v>
      </c>
      <c r="C40">
        <v>73</v>
      </c>
      <c r="D40" s="37">
        <f>LOOKUP(C40,예상등급!$A$5:$A$13,예상등급!$B$5:$B$13)</f>
        <v>2</v>
      </c>
      <c r="E40" s="44" t="e">
        <f>((C40-예상등급!#REF!)/예상등급!#REF!)*20+100</f>
        <v>#REF!</v>
      </c>
      <c r="F40">
        <v>23</v>
      </c>
      <c r="G40" s="37">
        <f>LOOKUP(F40,예상등급!$D$19:$D$27,예상등급!$E$19:$E$27)</f>
        <v>5</v>
      </c>
      <c r="H40" s="44" t="e">
        <f>((F40-예상등급!#REF!)/예상등급!#REF!)*20+100</f>
        <v>#REF!</v>
      </c>
      <c r="I40">
        <v>54</v>
      </c>
      <c r="J40" s="37">
        <f>LOOKUP(I40,예상등급!$D$5:$D$13,예상등급!$E$5:$E$13)</f>
        <v>5</v>
      </c>
      <c r="K40" s="44" t="e">
        <f>((I40-예상등급!#REF!)/예상등급!#REF!)*20+100</f>
        <v>#REF!</v>
      </c>
      <c r="L40" s="34">
        <f>SUM(C40,F40,I40)</f>
        <v>150</v>
      </c>
      <c r="M40" s="45" t="e">
        <f>SUM(E40,H40,K40)</f>
        <v>#REF!</v>
      </c>
      <c r="N40" s="34">
        <f t="shared" si="4"/>
        <v>30</v>
      </c>
      <c r="O40">
        <v>28</v>
      </c>
      <c r="P40">
        <v>23</v>
      </c>
      <c r="Q40" s="36">
        <f t="shared" si="5"/>
        <v>51</v>
      </c>
      <c r="R40" s="35">
        <f t="shared" si="0"/>
        <v>201</v>
      </c>
      <c r="S40" s="35">
        <f t="shared" si="1"/>
        <v>30</v>
      </c>
      <c r="T40" s="4"/>
      <c r="U40" s="47"/>
      <c r="V40" s="47"/>
    </row>
    <row r="41" spans="1:22" s="7" customFormat="1" ht="17.100000000000001" customHeight="1" x14ac:dyDescent="0.15">
      <c r="A41" s="40">
        <v>38</v>
      </c>
      <c r="B41" s="71" t="s">
        <v>295</v>
      </c>
      <c r="C41">
        <v>88</v>
      </c>
      <c r="D41" s="37">
        <f>LOOKUP(C41,예상등급!$A$5:$A$13,예상등급!$B$5:$B$13)</f>
        <v>1</v>
      </c>
      <c r="E41" s="44" t="e">
        <f>((C41-예상등급!#REF!)/예상등급!#REF!)*20+100</f>
        <v>#REF!</v>
      </c>
      <c r="F41">
        <v>20</v>
      </c>
      <c r="G41" s="37">
        <f>LOOKUP(F41,예상등급!$D$19:$D$27,예상등급!$E$19:$E$27)</f>
        <v>5</v>
      </c>
      <c r="H41" s="44" t="e">
        <f>((F41-예상등급!#REF!)/예상등급!#REF!)*20+100</f>
        <v>#REF!</v>
      </c>
      <c r="I41">
        <v>91</v>
      </c>
      <c r="J41" s="37">
        <f>LOOKUP(I41,예상등급!$D$5:$D$13,예상등급!$E$5:$E$13)</f>
        <v>1</v>
      </c>
      <c r="K41" s="44" t="e">
        <f>((I41-예상등급!#REF!)/예상등급!#REF!)*20+100</f>
        <v>#REF!</v>
      </c>
      <c r="L41" s="34">
        <f>SUM(C41,F41,I41)</f>
        <v>199</v>
      </c>
      <c r="M41" s="45" t="e">
        <f>SUM(E41,H41,K41)</f>
        <v>#REF!</v>
      </c>
      <c r="N41" s="34">
        <f t="shared" si="4"/>
        <v>19</v>
      </c>
      <c r="O41">
        <v>44</v>
      </c>
      <c r="P41">
        <v>50</v>
      </c>
      <c r="Q41" s="36">
        <f t="shared" si="5"/>
        <v>94</v>
      </c>
      <c r="R41" s="35">
        <f t="shared" si="0"/>
        <v>293</v>
      </c>
      <c r="S41" s="35">
        <f t="shared" si="1"/>
        <v>13</v>
      </c>
      <c r="T41" s="4"/>
      <c r="U41" s="47"/>
      <c r="V41" s="47"/>
    </row>
    <row r="42" spans="1:22" s="7" customFormat="1" ht="17.100000000000001" customHeight="1" x14ac:dyDescent="0.15">
      <c r="A42" s="40">
        <v>39</v>
      </c>
      <c r="B42" s="71" t="s">
        <v>296</v>
      </c>
      <c r="C42">
        <v>46</v>
      </c>
      <c r="D42" s="37">
        <f>LOOKUP(C42,예상등급!$A$5:$A$13,예상등급!$B$5:$B$13)</f>
        <v>5</v>
      </c>
      <c r="E42" s="44" t="e">
        <f>((C42-예상등급!#REF!)/예상등급!#REF!)*20+100</f>
        <v>#REF!</v>
      </c>
      <c r="F42">
        <v>5</v>
      </c>
      <c r="G42" s="37">
        <f>LOOKUP(F42,예상등급!$D$19:$D$27,예상등급!$E$19:$E$27)</f>
        <v>8</v>
      </c>
      <c r="H42" s="44" t="e">
        <f>((F42-예상등급!#REF!)/예상등급!#REF!)*20+100</f>
        <v>#REF!</v>
      </c>
      <c r="I42">
        <v>32</v>
      </c>
      <c r="J42" s="37">
        <f>LOOKUP(I42,예상등급!$D$5:$D$13,예상등급!$E$5:$E$13)</f>
        <v>7</v>
      </c>
      <c r="K42" s="44" t="e">
        <f>((I42-예상등급!#REF!)/예상등급!#REF!)*20+100</f>
        <v>#REF!</v>
      </c>
      <c r="L42" s="34">
        <f>SUM(C42,F42,I42)</f>
        <v>83</v>
      </c>
      <c r="M42" s="45" t="e">
        <f>SUM(E42,H42,K42)</f>
        <v>#REF!</v>
      </c>
      <c r="N42" s="34">
        <f t="shared" si="4"/>
        <v>36</v>
      </c>
      <c r="O42">
        <v>30</v>
      </c>
      <c r="P42">
        <v>10</v>
      </c>
      <c r="Q42" s="36">
        <f t="shared" si="5"/>
        <v>40</v>
      </c>
      <c r="R42" s="35">
        <f t="shared" si="0"/>
        <v>123</v>
      </c>
      <c r="S42" s="35">
        <f t="shared" si="1"/>
        <v>36</v>
      </c>
      <c r="T42" s="4"/>
      <c r="U42" s="47"/>
      <c r="V42" s="47"/>
    </row>
    <row r="43" spans="1:22" s="7" customFormat="1" ht="17.100000000000001" customHeight="1" x14ac:dyDescent="0.15">
      <c r="A43" s="304" t="s">
        <v>6</v>
      </c>
      <c r="B43" s="304"/>
      <c r="C43" s="41">
        <f>SUM(C4:C42)</f>
        <v>3216</v>
      </c>
      <c r="D43" s="41" t="e">
        <f t="shared" ref="D43:R43" si="8">SUM(D4:D42)</f>
        <v>#REF!</v>
      </c>
      <c r="E43" s="41" t="e">
        <f t="shared" si="8"/>
        <v>#REF!</v>
      </c>
      <c r="F43" s="41">
        <f t="shared" si="8"/>
        <v>1501</v>
      </c>
      <c r="G43" s="41">
        <f t="shared" si="8"/>
        <v>112</v>
      </c>
      <c r="H43" s="41" t="e">
        <f t="shared" si="8"/>
        <v>#REF!</v>
      </c>
      <c r="I43" s="41">
        <f t="shared" si="8"/>
        <v>2504</v>
      </c>
      <c r="J43" s="41">
        <f t="shared" si="8"/>
        <v>154</v>
      </c>
      <c r="K43" s="41" t="e">
        <f t="shared" si="8"/>
        <v>#REF!</v>
      </c>
      <c r="L43" s="41">
        <f t="shared" si="8"/>
        <v>7221</v>
      </c>
      <c r="M43" s="41" t="e">
        <f t="shared" si="8"/>
        <v>#REF!</v>
      </c>
      <c r="N43" s="41"/>
      <c r="O43" s="41">
        <f t="shared" si="8"/>
        <v>1310</v>
      </c>
      <c r="P43" s="41">
        <f t="shared" si="8"/>
        <v>1231</v>
      </c>
      <c r="Q43" s="41">
        <f t="shared" si="8"/>
        <v>2541</v>
      </c>
      <c r="R43" s="41">
        <f t="shared" si="8"/>
        <v>9762</v>
      </c>
      <c r="S43" s="41"/>
      <c r="T43" s="4"/>
      <c r="U43" s="47"/>
      <c r="V43" s="47"/>
    </row>
    <row r="44" spans="1:22" s="7" customFormat="1" ht="17.100000000000001" customHeight="1" x14ac:dyDescent="0.15">
      <c r="A44" s="304" t="s">
        <v>12</v>
      </c>
      <c r="B44" s="304"/>
      <c r="C44" s="41">
        <f>AVERAGE(C4:C42)</f>
        <v>82.461538461538467</v>
      </c>
      <c r="D44" s="41" t="e">
        <f t="shared" ref="D44:R44" si="9">AVERAGE(D4:D42)</f>
        <v>#REF!</v>
      </c>
      <c r="E44" s="41" t="e">
        <f t="shared" si="9"/>
        <v>#REF!</v>
      </c>
      <c r="F44" s="41">
        <f t="shared" si="9"/>
        <v>38.487179487179489</v>
      </c>
      <c r="G44" s="41">
        <f t="shared" si="9"/>
        <v>2.8717948717948718</v>
      </c>
      <c r="H44" s="41" t="e">
        <f t="shared" si="9"/>
        <v>#REF!</v>
      </c>
      <c r="I44" s="41">
        <f t="shared" si="9"/>
        <v>64.205128205128204</v>
      </c>
      <c r="J44" s="41">
        <f t="shared" si="9"/>
        <v>3.9487179487179489</v>
      </c>
      <c r="K44" s="41" t="e">
        <f t="shared" si="9"/>
        <v>#REF!</v>
      </c>
      <c r="L44" s="41">
        <f t="shared" si="9"/>
        <v>185.15384615384616</v>
      </c>
      <c r="M44" s="41" t="e">
        <f t="shared" si="9"/>
        <v>#REF!</v>
      </c>
      <c r="N44" s="41"/>
      <c r="O44" s="41">
        <f t="shared" si="9"/>
        <v>33.589743589743591</v>
      </c>
      <c r="P44" s="41">
        <f t="shared" si="9"/>
        <v>31.564102564102566</v>
      </c>
      <c r="Q44" s="41">
        <f t="shared" si="9"/>
        <v>65.15384615384616</v>
      </c>
      <c r="R44" s="41">
        <f t="shared" si="9"/>
        <v>250.30769230769232</v>
      </c>
      <c r="S44" s="41"/>
      <c r="T44" s="4"/>
      <c r="U44" s="47"/>
      <c r="V44" s="47"/>
    </row>
    <row r="45" spans="1:22" s="7" customFormat="1" ht="14.25" x14ac:dyDescent="0.15">
      <c r="T45" s="4"/>
      <c r="U45" s="47"/>
      <c r="V45" s="47"/>
    </row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s="7" customFormat="1" ht="14.25" x14ac:dyDescent="0.15"/>
    <row r="71" spans="3:24" s="7" customFormat="1" ht="14.25" x14ac:dyDescent="0.15"/>
    <row r="72" spans="3:24" ht="14.25" x14ac:dyDescent="0.1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</sheetData>
  <mergeCells count="13">
    <mergeCell ref="A44:B44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3:B43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2"/>
  <sheetViews>
    <sheetView zoomScaleNormal="100" workbookViewId="0">
      <selection activeCell="Z15" sqref="Z15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05" t="s">
        <v>342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</row>
    <row r="2" spans="1:23" ht="33.75" customHeight="1" thickBot="1" x14ac:dyDescent="0.2">
      <c r="A2" s="306" t="s">
        <v>344</v>
      </c>
      <c r="B2" s="306"/>
      <c r="C2" s="306"/>
      <c r="D2" s="306"/>
      <c r="E2" s="306"/>
      <c r="F2" s="306"/>
      <c r="G2" s="38"/>
      <c r="H2" s="38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08" t="s">
        <v>5</v>
      </c>
      <c r="P3" s="308"/>
      <c r="Q3" s="43" t="s">
        <v>15</v>
      </c>
      <c r="R3" s="70" t="s">
        <v>6</v>
      </c>
      <c r="S3" s="42" t="s">
        <v>7</v>
      </c>
      <c r="T3" s="2"/>
      <c r="U3" s="309" t="s">
        <v>8</v>
      </c>
      <c r="V3" s="310"/>
    </row>
    <row r="4" spans="1:23" s="7" customFormat="1" ht="17.100000000000001" customHeight="1" x14ac:dyDescent="0.15">
      <c r="A4" s="40">
        <v>1</v>
      </c>
      <c r="B4" s="71" t="s">
        <v>297</v>
      </c>
      <c r="C4">
        <v>40</v>
      </c>
      <c r="D4" s="37">
        <f>LOOKUP(C4,예상등급!$A$5:$A$13,예상등급!$B$5:$B$13)</f>
        <v>6</v>
      </c>
      <c r="E4" s="44" t="e">
        <f>((C4-예상등급!#REF!)/예상등급!#REF!)*20+100</f>
        <v>#REF!</v>
      </c>
      <c r="F4">
        <v>22</v>
      </c>
      <c r="G4" s="37">
        <f>LOOKUP(F4,예상등급!$D$19:$D$27,예상등급!$E$19:$E$27)</f>
        <v>5</v>
      </c>
      <c r="H4" s="44" t="e">
        <f>((F4-예상등급!#REF!)/예상등급!#REF!)*20+100</f>
        <v>#REF!</v>
      </c>
      <c r="I4">
        <v>32</v>
      </c>
      <c r="J4" s="37">
        <f>LOOKUP(I4,예상등급!$D$5:$D$13,예상등급!$E$5:$E$13)</f>
        <v>7</v>
      </c>
      <c r="K4" s="44" t="e">
        <f>((I4-예상등급!#REF!)/예상등급!#REF!)*20+100</f>
        <v>#REF!</v>
      </c>
      <c r="L4" s="34">
        <f>SUM(C4,F4,I4)</f>
        <v>94</v>
      </c>
      <c r="M4" s="45" t="e">
        <f>SUM(E4,H4,K4)</f>
        <v>#REF!</v>
      </c>
      <c r="N4" s="34">
        <f>RANK(L4,$L$4:$L$42)</f>
        <v>32</v>
      </c>
      <c r="O4">
        <v>25</v>
      </c>
      <c r="P4">
        <v>32</v>
      </c>
      <c r="Q4" s="36">
        <f>(SUM(O4:P4))</f>
        <v>57</v>
      </c>
      <c r="R4" s="35">
        <f t="shared" ref="R4:R42" si="0">SUM(L4,Q4)</f>
        <v>151</v>
      </c>
      <c r="S4" s="35">
        <f t="shared" ref="S4:S42" si="1">RANK(R4,$R$4:$R$42)</f>
        <v>31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298</v>
      </c>
      <c r="C5">
        <v>90</v>
      </c>
      <c r="D5" s="37">
        <f>LOOKUP(C5,예상등급!$A$5:$A$13,예상등급!$B$5:$B$13)</f>
        <v>1</v>
      </c>
      <c r="E5" s="44" t="e">
        <f>((C5-예상등급!#REF!)/예상등급!#REF!)*20+100</f>
        <v>#REF!</v>
      </c>
      <c r="F5">
        <v>67</v>
      </c>
      <c r="G5" s="37">
        <f>LOOKUP(F5,예상등급!$D$19:$D$27,예상등급!$E$19:$E$27)</f>
        <v>1</v>
      </c>
      <c r="H5" s="44" t="e">
        <f>((F5-예상등급!#REF!)/예상등급!#REF!)*20+100</f>
        <v>#REF!</v>
      </c>
      <c r="I5">
        <v>86</v>
      </c>
      <c r="J5" s="37">
        <f>LOOKUP(I5,예상등급!$D$5:$D$13,예상등급!$E$5:$E$13)</f>
        <v>2</v>
      </c>
      <c r="K5" s="44" t="e">
        <f>((I5-예상등급!#REF!)/예상등급!#REF!)*20+100</f>
        <v>#REF!</v>
      </c>
      <c r="L5" s="34">
        <f t="shared" ref="L5:L37" si="2">SUM(C5,F5,I5)</f>
        <v>243</v>
      </c>
      <c r="M5" s="45" t="e">
        <f t="shared" ref="M5:M37" si="3">SUM(E5,H5,K5)</f>
        <v>#REF!</v>
      </c>
      <c r="N5" s="34">
        <f t="shared" ref="N5:N42" si="4">RANK(L5,$L$4:$L$42)</f>
        <v>6</v>
      </c>
      <c r="O5">
        <v>29</v>
      </c>
      <c r="P5">
        <v>43</v>
      </c>
      <c r="Q5" s="36">
        <f t="shared" ref="Q5:Q42" si="5">(SUM(O5:P5))</f>
        <v>72</v>
      </c>
      <c r="R5" s="35">
        <f t="shared" si="0"/>
        <v>315</v>
      </c>
      <c r="S5" s="35">
        <f t="shared" si="1"/>
        <v>7</v>
      </c>
      <c r="T5" s="4"/>
      <c r="U5" s="8">
        <v>390</v>
      </c>
      <c r="V5" s="9">
        <f t="shared" ref="V5:V18" si="6">FREQUENCY($R$4:$R$42,W4:W24)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299</v>
      </c>
      <c r="C6">
        <v>91</v>
      </c>
      <c r="D6" s="37">
        <f>LOOKUP(C6,예상등급!$A$5:$A$13,예상등급!$B$5:$B$13)</f>
        <v>1</v>
      </c>
      <c r="E6" s="44" t="e">
        <f>((C6-예상등급!#REF!)/예상등급!#REF!)*20+100</f>
        <v>#REF!</v>
      </c>
      <c r="F6">
        <v>12</v>
      </c>
      <c r="G6" s="37">
        <f>LOOKUP(F6,예상등급!$D$19:$D$27,예상등급!$E$19:$E$27)</f>
        <v>7</v>
      </c>
      <c r="H6" s="44" t="e">
        <f>((F6-예상등급!#REF!)/예상등급!#REF!)*20+100</f>
        <v>#REF!</v>
      </c>
      <c r="I6">
        <v>76</v>
      </c>
      <c r="J6" s="37">
        <f>LOOKUP(I6,예상등급!$D$5:$D$13,예상등급!$E$5:$E$13)</f>
        <v>3</v>
      </c>
      <c r="K6" s="44" t="e">
        <f>((I6-예상등급!#REF!)/예상등급!#REF!)*20+100</f>
        <v>#REF!</v>
      </c>
      <c r="L6" s="34">
        <f t="shared" si="2"/>
        <v>179</v>
      </c>
      <c r="M6" s="45" t="e">
        <f t="shared" si="3"/>
        <v>#REF!</v>
      </c>
      <c r="N6" s="34">
        <f t="shared" si="4"/>
        <v>22</v>
      </c>
      <c r="O6">
        <v>41</v>
      </c>
      <c r="P6">
        <v>41</v>
      </c>
      <c r="Q6" s="36">
        <f t="shared" si="5"/>
        <v>82</v>
      </c>
      <c r="R6" s="35">
        <f t="shared" si="0"/>
        <v>261</v>
      </c>
      <c r="S6" s="35">
        <f t="shared" si="1"/>
        <v>18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300</v>
      </c>
      <c r="C7">
        <v>97</v>
      </c>
      <c r="D7" s="37">
        <f>LOOKUP(C7,예상등급!$A$5:$A$13,예상등급!$B$5:$B$13)</f>
        <v>1</v>
      </c>
      <c r="E7" s="44" t="e">
        <f>((C7-예상등급!#REF!)/예상등급!#REF!)*20+100</f>
        <v>#REF!</v>
      </c>
      <c r="F7">
        <v>53</v>
      </c>
      <c r="G7" s="37">
        <f>LOOKUP(F7,예상등급!$D$19:$D$27,예상등급!$E$19:$E$27)</f>
        <v>1</v>
      </c>
      <c r="H7" s="44" t="e">
        <f>((F7-예상등급!#REF!)/예상등급!#REF!)*20+100</f>
        <v>#REF!</v>
      </c>
      <c r="I7">
        <v>67</v>
      </c>
      <c r="J7" s="37">
        <f>LOOKUP(I7,예상등급!$D$5:$D$13,예상등급!$E$5:$E$13)</f>
        <v>4</v>
      </c>
      <c r="K7" s="44" t="e">
        <f>((I7-예상등급!#REF!)/예상등급!#REF!)*20+100</f>
        <v>#REF!</v>
      </c>
      <c r="L7" s="34">
        <f t="shared" si="2"/>
        <v>217</v>
      </c>
      <c r="M7" s="45" t="e">
        <f t="shared" si="3"/>
        <v>#REF!</v>
      </c>
      <c r="N7" s="34">
        <f t="shared" si="4"/>
        <v>13</v>
      </c>
      <c r="O7">
        <v>47</v>
      </c>
      <c r="P7">
        <v>50</v>
      </c>
      <c r="Q7" s="36">
        <f t="shared" si="5"/>
        <v>97</v>
      </c>
      <c r="R7" s="35">
        <f t="shared" si="0"/>
        <v>314</v>
      </c>
      <c r="S7" s="35">
        <f t="shared" si="1"/>
        <v>8</v>
      </c>
      <c r="T7" s="4"/>
      <c r="U7" s="8">
        <v>370</v>
      </c>
      <c r="V7" s="9">
        <f t="shared" si="6"/>
        <v>1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301</v>
      </c>
      <c r="C8">
        <v>79</v>
      </c>
      <c r="D8" s="37">
        <f>LOOKUP(C8,예상등급!$A$5:$A$13,예상등급!$B$5:$B$13)</f>
        <v>1</v>
      </c>
      <c r="E8" s="44" t="e">
        <f>((C8-예상등급!#REF!)/예상등급!#REF!)*20+100</f>
        <v>#REF!</v>
      </c>
      <c r="F8">
        <v>22</v>
      </c>
      <c r="G8" s="37">
        <f>LOOKUP(F8,예상등급!$D$19:$D$27,예상등급!$E$19:$E$27)</f>
        <v>5</v>
      </c>
      <c r="H8" s="44" t="e">
        <f>((F8-예상등급!#REF!)/예상등급!#REF!)*20+100</f>
        <v>#REF!</v>
      </c>
      <c r="I8">
        <v>80</v>
      </c>
      <c r="J8" s="37">
        <f>LOOKUP(I8,예상등급!$D$5:$D$13,예상등급!$E$5:$E$13)</f>
        <v>2</v>
      </c>
      <c r="K8" s="44" t="e">
        <f>((I8-예상등급!#REF!)/예상등급!#REF!)*20+100</f>
        <v>#REF!</v>
      </c>
      <c r="L8" s="34">
        <f t="shared" si="2"/>
        <v>181</v>
      </c>
      <c r="M8" s="45" t="e">
        <f t="shared" si="3"/>
        <v>#REF!</v>
      </c>
      <c r="N8" s="34">
        <f t="shared" si="4"/>
        <v>20</v>
      </c>
      <c r="O8">
        <v>39</v>
      </c>
      <c r="P8">
        <v>36</v>
      </c>
      <c r="Q8" s="36">
        <f t="shared" si="5"/>
        <v>75</v>
      </c>
      <c r="R8" s="35">
        <f t="shared" si="0"/>
        <v>256</v>
      </c>
      <c r="S8" s="35">
        <f t="shared" si="1"/>
        <v>20</v>
      </c>
      <c r="T8" s="4"/>
      <c r="U8" s="8">
        <v>360</v>
      </c>
      <c r="V8" s="9">
        <f t="shared" si="6"/>
        <v>0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226</v>
      </c>
      <c r="C9">
        <v>93</v>
      </c>
      <c r="D9" s="37">
        <f>LOOKUP(C9,예상등급!$A$5:$A$13,예상등급!$B$5:$B$13)</f>
        <v>1</v>
      </c>
      <c r="E9" s="44" t="e">
        <f>((C9-예상등급!#REF!)/예상등급!#REF!)*20+100</f>
        <v>#REF!</v>
      </c>
      <c r="F9">
        <v>25</v>
      </c>
      <c r="G9" s="37">
        <f>LOOKUP(F9,예상등급!$D$19:$D$27,예상등급!$E$19:$E$27)</f>
        <v>4</v>
      </c>
      <c r="H9" s="44" t="e">
        <f>((F9-예상등급!#REF!)/예상등급!#REF!)*20+100</f>
        <v>#REF!</v>
      </c>
      <c r="I9">
        <v>60</v>
      </c>
      <c r="J9" s="37">
        <f>LOOKUP(I9,예상등급!$D$5:$D$13,예상등급!$E$5:$E$13)</f>
        <v>4</v>
      </c>
      <c r="K9" s="44" t="e">
        <f>((I9-예상등급!#REF!)/예상등급!#REF!)*20+100</f>
        <v>#REF!</v>
      </c>
      <c r="L9" s="34">
        <f t="shared" si="2"/>
        <v>178</v>
      </c>
      <c r="M9" s="45" t="e">
        <f t="shared" si="3"/>
        <v>#REF!</v>
      </c>
      <c r="N9" s="34">
        <f t="shared" si="4"/>
        <v>23</v>
      </c>
      <c r="O9">
        <v>32</v>
      </c>
      <c r="P9">
        <v>32</v>
      </c>
      <c r="Q9" s="36">
        <f t="shared" si="5"/>
        <v>64</v>
      </c>
      <c r="R9" s="35">
        <f t="shared" si="0"/>
        <v>242</v>
      </c>
      <c r="S9" s="35">
        <f t="shared" si="1"/>
        <v>23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302</v>
      </c>
      <c r="C10">
        <v>88</v>
      </c>
      <c r="D10" s="37">
        <f>LOOKUP(C10,예상등급!$A$5:$A$13,예상등급!$B$5:$B$13)</f>
        <v>1</v>
      </c>
      <c r="E10" s="44" t="e">
        <f>((C10-예상등급!#REF!)/예상등급!#REF!)*20+100</f>
        <v>#REF!</v>
      </c>
      <c r="F10">
        <v>29</v>
      </c>
      <c r="G10" s="37">
        <f>LOOKUP(F10,예상등급!$D$19:$D$27,예상등급!$E$19:$E$27)</f>
        <v>4</v>
      </c>
      <c r="H10" s="44" t="e">
        <f>((F10-예상등급!#REF!)/예상등급!#REF!)*20+100</f>
        <v>#REF!</v>
      </c>
      <c r="I10">
        <v>67</v>
      </c>
      <c r="J10" s="37">
        <f>LOOKUP(I10,예상등급!$D$5:$D$13,예상등급!$E$5:$E$13)</f>
        <v>4</v>
      </c>
      <c r="K10" s="44" t="e">
        <f>((I10-예상등급!#REF!)/예상등급!#REF!)*20+100</f>
        <v>#REF!</v>
      </c>
      <c r="L10" s="34">
        <f t="shared" si="2"/>
        <v>184</v>
      </c>
      <c r="M10" s="45" t="e">
        <f t="shared" si="3"/>
        <v>#REF!</v>
      </c>
      <c r="N10" s="34">
        <f t="shared" si="4"/>
        <v>19</v>
      </c>
      <c r="O10">
        <v>37</v>
      </c>
      <c r="P10">
        <v>26</v>
      </c>
      <c r="Q10" s="36">
        <f t="shared" si="5"/>
        <v>63</v>
      </c>
      <c r="R10" s="35">
        <f t="shared" si="0"/>
        <v>247</v>
      </c>
      <c r="S10" s="35">
        <f t="shared" si="1"/>
        <v>22</v>
      </c>
      <c r="T10" s="4"/>
      <c r="U10" s="11">
        <v>340</v>
      </c>
      <c r="V10" s="9">
        <f t="shared" si="6"/>
        <v>1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303</v>
      </c>
      <c r="C11">
        <v>0</v>
      </c>
      <c r="D11" s="37">
        <f>LOOKUP(C11,예상등급!$A$5:$A$13,예상등급!$B$5:$B$13)</f>
        <v>9</v>
      </c>
      <c r="E11" s="44" t="e">
        <f>((C11-예상등급!#REF!)/예상등급!#REF!)*20+100</f>
        <v>#REF!</v>
      </c>
      <c r="F11">
        <v>0</v>
      </c>
      <c r="G11" s="37">
        <f>LOOKUP(F11,예상등급!$D$19:$D$27,예상등급!$E$19:$E$27)</f>
        <v>9</v>
      </c>
      <c r="H11" s="44" t="e">
        <f>((F11-예상등급!#REF!)/예상등급!#REF!)*20+100</f>
        <v>#REF!</v>
      </c>
      <c r="I11">
        <v>0</v>
      </c>
      <c r="J11" s="37">
        <f>LOOKUP(I11,예상등급!$D$5:$D$13,예상등급!$E$5:$E$13)</f>
        <v>9</v>
      </c>
      <c r="K11" s="44" t="e">
        <f>((I11-예상등급!#REF!)/예상등급!#REF!)*20+100</f>
        <v>#REF!</v>
      </c>
      <c r="L11" s="34">
        <f t="shared" si="2"/>
        <v>0</v>
      </c>
      <c r="M11" s="45" t="e">
        <f t="shared" si="3"/>
        <v>#REF!</v>
      </c>
      <c r="N11" s="34">
        <f t="shared" si="4"/>
        <v>37</v>
      </c>
      <c r="O11">
        <v>0</v>
      </c>
      <c r="P11">
        <v>0</v>
      </c>
      <c r="Q11" s="36">
        <f t="shared" si="5"/>
        <v>0</v>
      </c>
      <c r="R11" s="35">
        <f t="shared" si="0"/>
        <v>0</v>
      </c>
      <c r="S11" s="35">
        <f t="shared" si="1"/>
        <v>37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304</v>
      </c>
      <c r="C12">
        <v>95</v>
      </c>
      <c r="D12" s="37">
        <f>LOOKUP(C12,예상등급!$A$5:$A$13,예상등급!$B$5:$B$13)</f>
        <v>1</v>
      </c>
      <c r="E12" s="44" t="e">
        <f>((C12-예상등급!#REF!)/예상등급!#REF!)*20+100</f>
        <v>#REF!</v>
      </c>
      <c r="F12">
        <v>70</v>
      </c>
      <c r="G12" s="37">
        <f>LOOKUP(F12,예상등급!$D$19:$D$27,예상등급!$E$19:$E$27)</f>
        <v>1</v>
      </c>
      <c r="H12" s="44" t="e">
        <f>((F12-예상등급!#REF!)/예상등급!#REF!)*20+100</f>
        <v>#REF!</v>
      </c>
      <c r="I12">
        <v>86</v>
      </c>
      <c r="J12" s="37">
        <f>LOOKUP(I12,예상등급!$D$5:$D$13,예상등급!$E$5:$E$13)</f>
        <v>2</v>
      </c>
      <c r="K12" s="44" t="e">
        <f>((I12-예상등급!#REF!)/예상등급!#REF!)*20+100</f>
        <v>#REF!</v>
      </c>
      <c r="L12" s="34">
        <f t="shared" si="2"/>
        <v>251</v>
      </c>
      <c r="M12" s="45" t="e">
        <f t="shared" si="3"/>
        <v>#REF!</v>
      </c>
      <c r="N12" s="34">
        <f t="shared" si="4"/>
        <v>4</v>
      </c>
      <c r="O12">
        <v>40</v>
      </c>
      <c r="P12">
        <v>29</v>
      </c>
      <c r="Q12" s="36">
        <f t="shared" si="5"/>
        <v>69</v>
      </c>
      <c r="R12" s="35">
        <f t="shared" si="0"/>
        <v>320</v>
      </c>
      <c r="S12" s="35">
        <f t="shared" si="1"/>
        <v>6</v>
      </c>
      <c r="T12" s="4"/>
      <c r="U12" s="12">
        <v>320</v>
      </c>
      <c r="V12" s="9">
        <f t="shared" si="6"/>
        <v>3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305</v>
      </c>
      <c r="C13">
        <v>100</v>
      </c>
      <c r="D13" s="37">
        <f>LOOKUP(C13,예상등급!$A$5:$A$13,예상등급!$B$5:$B$13)</f>
        <v>1</v>
      </c>
      <c r="E13" s="44" t="e">
        <f>((C13-예상등급!#REF!)/예상등급!#REF!)*20+100</f>
        <v>#REF!</v>
      </c>
      <c r="F13">
        <v>66</v>
      </c>
      <c r="G13" s="37">
        <f>LOOKUP(F13,예상등급!$D$19:$D$27,예상등급!$E$19:$E$27)</f>
        <v>1</v>
      </c>
      <c r="H13" s="44" t="e">
        <f>((F13-예상등급!#REF!)/예상등급!#REF!)*20+100</f>
        <v>#REF!</v>
      </c>
      <c r="I13">
        <v>93</v>
      </c>
      <c r="J13" s="37">
        <f>LOOKUP(I13,예상등급!$D$5:$D$13,예상등급!$E$5:$E$13)</f>
        <v>1</v>
      </c>
      <c r="K13" s="44" t="e">
        <f>((I13-예상등급!#REF!)/예상등급!#REF!)*20+100</f>
        <v>#REF!</v>
      </c>
      <c r="L13" s="34">
        <f t="shared" si="2"/>
        <v>259</v>
      </c>
      <c r="M13" s="45" t="e">
        <f t="shared" si="3"/>
        <v>#REF!</v>
      </c>
      <c r="N13" s="34">
        <f t="shared" si="4"/>
        <v>2</v>
      </c>
      <c r="O13">
        <v>47</v>
      </c>
      <c r="P13">
        <v>50</v>
      </c>
      <c r="Q13" s="36">
        <f t="shared" si="5"/>
        <v>97</v>
      </c>
      <c r="R13" s="35">
        <f t="shared" si="0"/>
        <v>356</v>
      </c>
      <c r="S13" s="35">
        <f t="shared" si="1"/>
        <v>2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306</v>
      </c>
      <c r="C14">
        <v>21</v>
      </c>
      <c r="D14" s="37">
        <f>LOOKUP(C14,예상등급!$A$5:$A$13,예상등급!$B$5:$B$13)</f>
        <v>8</v>
      </c>
      <c r="E14" s="44" t="e">
        <f>((C14-예상등급!#REF!)/예상등급!#REF!)*20+100</f>
        <v>#REF!</v>
      </c>
      <c r="F14">
        <v>17</v>
      </c>
      <c r="G14" s="37">
        <f>LOOKUP(F14,예상등급!$D$19:$D$27,예상등급!$E$19:$E$27)</f>
        <v>6</v>
      </c>
      <c r="H14" s="44" t="e">
        <f>((F14-예상등급!#REF!)/예상등급!#REF!)*20+100</f>
        <v>#REF!</v>
      </c>
      <c r="I14">
        <v>19</v>
      </c>
      <c r="J14" s="37">
        <f>LOOKUP(I14,예상등급!$D$5:$D$13,예상등급!$E$5:$E$13)</f>
        <v>9</v>
      </c>
      <c r="K14" s="44" t="e">
        <f>((I14-예상등급!#REF!)/예상등급!#REF!)*20+100</f>
        <v>#REF!</v>
      </c>
      <c r="L14" s="34">
        <f t="shared" si="2"/>
        <v>57</v>
      </c>
      <c r="M14" s="45" t="e">
        <f t="shared" si="3"/>
        <v>#REF!</v>
      </c>
      <c r="N14" s="34">
        <f t="shared" si="4"/>
        <v>34</v>
      </c>
      <c r="O14">
        <v>12</v>
      </c>
      <c r="P14">
        <v>13</v>
      </c>
      <c r="Q14" s="36">
        <f t="shared" si="5"/>
        <v>25</v>
      </c>
      <c r="R14" s="35">
        <f t="shared" si="0"/>
        <v>82</v>
      </c>
      <c r="S14" s="35">
        <f t="shared" si="1"/>
        <v>35</v>
      </c>
      <c r="T14" s="4"/>
      <c r="U14" s="13">
        <v>300</v>
      </c>
      <c r="V14" s="9">
        <f t="shared" si="6"/>
        <v>4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307</v>
      </c>
      <c r="C15">
        <v>91</v>
      </c>
      <c r="D15" s="37">
        <f>LOOKUP(C15,예상등급!$A$5:$A$13,예상등급!$B$5:$B$13)</f>
        <v>1</v>
      </c>
      <c r="E15" s="44" t="e">
        <f>((C15-예상등급!#REF!)/예상등급!#REF!)*20+100</f>
        <v>#REF!</v>
      </c>
      <c r="F15">
        <v>18</v>
      </c>
      <c r="G15" s="37">
        <f>LOOKUP(F15,예상등급!$D$19:$D$27,예상등급!$E$19:$E$27)</f>
        <v>6</v>
      </c>
      <c r="H15" s="44" t="e">
        <f>((F15-예상등급!#REF!)/예상등급!#REF!)*20+100</f>
        <v>#REF!</v>
      </c>
      <c r="I15">
        <v>71</v>
      </c>
      <c r="J15" s="37">
        <f>LOOKUP(I15,예상등급!$D$5:$D$13,예상등급!$E$5:$E$13)</f>
        <v>3</v>
      </c>
      <c r="K15" s="44" t="e">
        <f>((I15-예상등급!#REF!)/예상등급!#REF!)*20+100</f>
        <v>#REF!</v>
      </c>
      <c r="L15" s="34">
        <f t="shared" si="2"/>
        <v>180</v>
      </c>
      <c r="M15" s="45" t="e">
        <f t="shared" si="3"/>
        <v>#REF!</v>
      </c>
      <c r="N15" s="34">
        <f t="shared" si="4"/>
        <v>21</v>
      </c>
      <c r="O15">
        <v>42</v>
      </c>
      <c r="P15">
        <v>37</v>
      </c>
      <c r="Q15" s="36">
        <f t="shared" si="5"/>
        <v>79</v>
      </c>
      <c r="R15" s="35">
        <f t="shared" si="0"/>
        <v>259</v>
      </c>
      <c r="S15" s="35">
        <f t="shared" si="1"/>
        <v>19</v>
      </c>
      <c r="T15" s="4"/>
      <c r="U15" s="14">
        <v>290</v>
      </c>
      <c r="V15" s="9">
        <f t="shared" si="6"/>
        <v>1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308</v>
      </c>
      <c r="C16">
        <v>87</v>
      </c>
      <c r="D16" s="37">
        <f>LOOKUP(C16,예상등급!$A$5:$A$13,예상등급!$B$5:$B$13)</f>
        <v>1</v>
      </c>
      <c r="E16" s="44" t="e">
        <f>((C16-예상등급!#REF!)/예상등급!#REF!)*20+100</f>
        <v>#REF!</v>
      </c>
      <c r="F16">
        <v>29</v>
      </c>
      <c r="G16" s="37">
        <f>LOOKUP(F16,예상등급!$D$19:$D$27,예상등급!$E$19:$E$27)</f>
        <v>4</v>
      </c>
      <c r="H16" s="44" t="e">
        <f>((F16-예상등급!#REF!)/예상등급!#REF!)*20+100</f>
        <v>#REF!</v>
      </c>
      <c r="I16">
        <v>55</v>
      </c>
      <c r="J16" s="37">
        <f>LOOKUP(I16,예상등급!$D$5:$D$13,예상등급!$E$5:$E$13)</f>
        <v>5</v>
      </c>
      <c r="K16" s="44" t="e">
        <f>((I16-예상등급!#REF!)/예상등급!#REF!)*20+100</f>
        <v>#REF!</v>
      </c>
      <c r="L16" s="34">
        <f t="shared" si="2"/>
        <v>171</v>
      </c>
      <c r="M16" s="45" t="e">
        <f t="shared" si="3"/>
        <v>#REF!</v>
      </c>
      <c r="N16" s="34">
        <f t="shared" si="4"/>
        <v>25</v>
      </c>
      <c r="O16">
        <v>33</v>
      </c>
      <c r="P16">
        <v>28</v>
      </c>
      <c r="Q16" s="36">
        <f t="shared" si="5"/>
        <v>61</v>
      </c>
      <c r="R16" s="35">
        <f t="shared" si="0"/>
        <v>232</v>
      </c>
      <c r="S16" s="35">
        <f t="shared" si="1"/>
        <v>25</v>
      </c>
      <c r="T16" s="4"/>
      <c r="U16" s="15">
        <v>280</v>
      </c>
      <c r="V16" s="9">
        <f t="shared" si="6"/>
        <v>4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309</v>
      </c>
      <c r="C17">
        <v>98</v>
      </c>
      <c r="D17" s="37">
        <f>LOOKUP(C17,예상등급!$A$5:$A$13,예상등급!$B$5:$B$13)</f>
        <v>1</v>
      </c>
      <c r="E17" s="44" t="e">
        <f>((C17-예상등급!#REF!)/예상등급!#REF!)*20+100</f>
        <v>#REF!</v>
      </c>
      <c r="F17">
        <v>24</v>
      </c>
      <c r="G17" s="37">
        <f>LOOKUP(F17,예상등급!$D$19:$D$27,예상등급!$E$19:$E$27)</f>
        <v>5</v>
      </c>
      <c r="H17" s="44" t="e">
        <f>((F17-예상등급!#REF!)/예상등급!#REF!)*20+100</f>
        <v>#REF!</v>
      </c>
      <c r="I17">
        <v>87</v>
      </c>
      <c r="J17" s="37">
        <f>LOOKUP(I17,예상등급!$D$5:$D$13,예상등급!$E$5:$E$13)</f>
        <v>2</v>
      </c>
      <c r="K17" s="44" t="e">
        <f>((I17-예상등급!#REF!)/예상등급!#REF!)*20+100</f>
        <v>#REF!</v>
      </c>
      <c r="L17" s="34">
        <f t="shared" si="2"/>
        <v>209</v>
      </c>
      <c r="M17" s="45" t="e">
        <f t="shared" si="3"/>
        <v>#REF!</v>
      </c>
      <c r="N17" s="34">
        <f t="shared" si="4"/>
        <v>16</v>
      </c>
      <c r="O17">
        <v>31</v>
      </c>
      <c r="P17">
        <v>43</v>
      </c>
      <c r="Q17" s="36">
        <f t="shared" si="5"/>
        <v>74</v>
      </c>
      <c r="R17" s="35">
        <f t="shared" si="0"/>
        <v>283</v>
      </c>
      <c r="S17" s="35">
        <f t="shared" si="1"/>
        <v>17</v>
      </c>
      <c r="T17" s="4"/>
      <c r="U17" s="15">
        <v>270</v>
      </c>
      <c r="V17" s="9">
        <f t="shared" si="6"/>
        <v>0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310</v>
      </c>
      <c r="C18">
        <v>96</v>
      </c>
      <c r="D18" s="37">
        <f>LOOKUP(C18,예상등급!$A$5:$A$13,예상등급!$B$5:$B$13)</f>
        <v>1</v>
      </c>
      <c r="E18" s="44" t="e">
        <f>((C18-예상등급!#REF!)/예상등급!#REF!)*20+100</f>
        <v>#REF!</v>
      </c>
      <c r="F18">
        <v>34</v>
      </c>
      <c r="G18" s="37">
        <f>LOOKUP(F18,예상등급!$D$19:$D$27,예상등급!$E$19:$E$27)</f>
        <v>3</v>
      </c>
      <c r="H18" s="44" t="e">
        <f>((F18-예상등급!#REF!)/예상등급!#REF!)*20+100</f>
        <v>#REF!</v>
      </c>
      <c r="I18">
        <v>70</v>
      </c>
      <c r="J18" s="37">
        <f>LOOKUP(I18,예상등급!$D$5:$D$13,예상등급!$E$5:$E$13)</f>
        <v>3</v>
      </c>
      <c r="K18" s="44" t="e">
        <f>((I18-예상등급!#REF!)/예상등급!#REF!)*20+100</f>
        <v>#REF!</v>
      </c>
      <c r="L18" s="34">
        <f t="shared" si="2"/>
        <v>200</v>
      </c>
      <c r="M18" s="45" t="e">
        <f t="shared" si="3"/>
        <v>#REF!</v>
      </c>
      <c r="N18" s="34">
        <f t="shared" si="4"/>
        <v>17</v>
      </c>
      <c r="O18">
        <v>39</v>
      </c>
      <c r="P18">
        <v>50</v>
      </c>
      <c r="Q18" s="36">
        <f t="shared" si="5"/>
        <v>89</v>
      </c>
      <c r="R18" s="35">
        <f t="shared" si="0"/>
        <v>289</v>
      </c>
      <c r="S18" s="35">
        <f t="shared" si="1"/>
        <v>14</v>
      </c>
      <c r="T18" s="4"/>
      <c r="U18" s="15">
        <v>260</v>
      </c>
      <c r="V18" s="9">
        <f t="shared" si="6"/>
        <v>1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311</v>
      </c>
      <c r="C19">
        <v>100</v>
      </c>
      <c r="D19" s="37">
        <f>LOOKUP(C19,예상등급!$A$5:$A$13,예상등급!$B$5:$B$13)</f>
        <v>1</v>
      </c>
      <c r="E19" s="44" t="e">
        <f>((C19-예상등급!#REF!)/예상등급!#REF!)*20+100</f>
        <v>#REF!</v>
      </c>
      <c r="F19">
        <v>56</v>
      </c>
      <c r="G19" s="37">
        <f>LOOKUP(F19,예상등급!$D$19:$D$27,예상등급!$E$19:$E$27)</f>
        <v>1</v>
      </c>
      <c r="H19" s="44" t="e">
        <f>((F19-예상등급!#REF!)/예상등급!#REF!)*20+100</f>
        <v>#REF!</v>
      </c>
      <c r="I19">
        <v>92</v>
      </c>
      <c r="J19" s="37">
        <f>LOOKUP(I19,예상등급!$D$5:$D$13,예상등급!$E$5:$E$13)</f>
        <v>1</v>
      </c>
      <c r="K19" s="44" t="e">
        <f>((I19-예상등급!#REF!)/예상등급!#REF!)*20+100</f>
        <v>#REF!</v>
      </c>
      <c r="L19" s="34">
        <f t="shared" si="2"/>
        <v>248</v>
      </c>
      <c r="M19" s="45" t="e">
        <f t="shared" si="3"/>
        <v>#REF!</v>
      </c>
      <c r="N19" s="34">
        <f t="shared" si="4"/>
        <v>5</v>
      </c>
      <c r="O19">
        <v>41</v>
      </c>
      <c r="P19">
        <v>33</v>
      </c>
      <c r="Q19" s="36">
        <f t="shared" si="5"/>
        <v>74</v>
      </c>
      <c r="R19" s="35">
        <f t="shared" si="0"/>
        <v>322</v>
      </c>
      <c r="S19" s="35">
        <f t="shared" si="1"/>
        <v>5</v>
      </c>
      <c r="T19" s="4"/>
      <c r="U19" s="16">
        <v>250</v>
      </c>
      <c r="V19" s="9">
        <f>FREQUENCY($R$4:$R$42,W18:W42)</f>
        <v>3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312</v>
      </c>
      <c r="C20">
        <v>47</v>
      </c>
      <c r="D20" s="37">
        <f>LOOKUP(C20,예상등급!$A$5:$A$13,예상등급!$B$5:$B$13)</f>
        <v>5</v>
      </c>
      <c r="E20" s="44" t="e">
        <f>((C20-예상등급!#REF!)/예상등급!#REF!)*20+100</f>
        <v>#REF!</v>
      </c>
      <c r="F20">
        <v>19</v>
      </c>
      <c r="G20" s="37">
        <f>LOOKUP(F20,예상등급!$D$19:$D$27,예상등급!$E$19:$E$27)</f>
        <v>6</v>
      </c>
      <c r="H20" s="44" t="e">
        <f>((F20-예상등급!#REF!)/예상등급!#REF!)*20+100</f>
        <v>#REF!</v>
      </c>
      <c r="I20">
        <v>49</v>
      </c>
      <c r="J20" s="37">
        <f>LOOKUP(I20,예상등급!$D$5:$D$13,예상등급!$E$5:$E$13)</f>
        <v>6</v>
      </c>
      <c r="K20" s="44" t="e">
        <f>((I20-예상등급!#REF!)/예상등급!#REF!)*20+100</f>
        <v>#REF!</v>
      </c>
      <c r="L20" s="34">
        <f t="shared" si="2"/>
        <v>115</v>
      </c>
      <c r="M20" s="45" t="e">
        <f t="shared" si="3"/>
        <v>#REF!</v>
      </c>
      <c r="N20" s="34">
        <f t="shared" si="4"/>
        <v>30</v>
      </c>
      <c r="O20">
        <v>14</v>
      </c>
      <c r="P20">
        <v>15</v>
      </c>
      <c r="Q20" s="36">
        <f t="shared" si="5"/>
        <v>29</v>
      </c>
      <c r="R20" s="35">
        <f t="shared" si="0"/>
        <v>144</v>
      </c>
      <c r="S20" s="35">
        <f t="shared" si="1"/>
        <v>32</v>
      </c>
      <c r="T20" s="4"/>
      <c r="U20" s="17">
        <v>240</v>
      </c>
      <c r="V20" s="9">
        <f>FREQUENCY($R$4:$R$42,W19:W42)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313</v>
      </c>
      <c r="C21">
        <v>100</v>
      </c>
      <c r="D21" s="37">
        <f>LOOKUP(C21,예상등급!$A$5:$A$13,예상등급!$B$5:$B$13)</f>
        <v>1</v>
      </c>
      <c r="E21" s="44" t="e">
        <f>((C21-예상등급!#REF!)/예상등급!#REF!)*20+100</f>
        <v>#REF!</v>
      </c>
      <c r="F21">
        <v>61</v>
      </c>
      <c r="G21" s="37">
        <f>LOOKUP(F21,예상등급!$D$19:$D$27,예상등급!$E$19:$E$27)</f>
        <v>1</v>
      </c>
      <c r="H21" s="44" t="e">
        <f>((F21-예상등급!#REF!)/예상등급!#REF!)*20+100</f>
        <v>#REF!</v>
      </c>
      <c r="I21">
        <v>97</v>
      </c>
      <c r="J21" s="37">
        <f>LOOKUP(I21,예상등급!$D$5:$D$13,예상등급!$E$5:$E$13)</f>
        <v>1</v>
      </c>
      <c r="K21" s="44" t="e">
        <f>((I21-예상등급!#REF!)/예상등급!#REF!)*20+100</f>
        <v>#REF!</v>
      </c>
      <c r="L21" s="34">
        <f t="shared" si="2"/>
        <v>258</v>
      </c>
      <c r="M21" s="45" t="e">
        <f t="shared" si="3"/>
        <v>#REF!</v>
      </c>
      <c r="N21" s="34">
        <f t="shared" si="4"/>
        <v>3</v>
      </c>
      <c r="O21">
        <v>47</v>
      </c>
      <c r="P21">
        <v>42</v>
      </c>
      <c r="Q21" s="36">
        <f t="shared" si="5"/>
        <v>89</v>
      </c>
      <c r="R21" s="35">
        <f t="shared" si="0"/>
        <v>347</v>
      </c>
      <c r="S21" s="35">
        <f t="shared" si="1"/>
        <v>3</v>
      </c>
      <c r="T21" s="4"/>
      <c r="U21" s="18">
        <v>230</v>
      </c>
      <c r="V21" s="9">
        <f t="shared" ref="V21:V26" si="7">FREQUENCY($R$4:$R$42,W20:W42)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314</v>
      </c>
      <c r="C22">
        <v>94</v>
      </c>
      <c r="D22" s="37">
        <f>LOOKUP(C22,예상등급!$A$5:$A$13,예상등급!$B$5:$B$13)</f>
        <v>1</v>
      </c>
      <c r="E22" s="44" t="e">
        <f>((C22-예상등급!#REF!)/예상등급!#REF!)*20+100</f>
        <v>#REF!</v>
      </c>
      <c r="F22">
        <v>47</v>
      </c>
      <c r="G22" s="37">
        <f>LOOKUP(F22,예상등급!$D$19:$D$27,예상등급!$E$19:$E$27)</f>
        <v>1</v>
      </c>
      <c r="H22" s="44" t="e">
        <f>((F22-예상등급!#REF!)/예상등급!#REF!)*20+100</f>
        <v>#REF!</v>
      </c>
      <c r="I22">
        <v>79</v>
      </c>
      <c r="J22" s="37">
        <f>LOOKUP(I22,예상등급!$D$5:$D$13,예상등급!$E$5:$E$13)</f>
        <v>3</v>
      </c>
      <c r="K22" s="44" t="e">
        <f>((I22-예상등급!#REF!)/예상등급!#REF!)*20+100</f>
        <v>#REF!</v>
      </c>
      <c r="L22" s="34">
        <f t="shared" si="2"/>
        <v>220</v>
      </c>
      <c r="M22" s="45" t="e">
        <f t="shared" si="3"/>
        <v>#REF!</v>
      </c>
      <c r="N22" s="34">
        <f t="shared" si="4"/>
        <v>12</v>
      </c>
      <c r="O22">
        <v>35</v>
      </c>
      <c r="P22">
        <v>46</v>
      </c>
      <c r="Q22" s="36">
        <f t="shared" si="5"/>
        <v>81</v>
      </c>
      <c r="R22" s="35">
        <f t="shared" si="0"/>
        <v>301</v>
      </c>
      <c r="S22" s="35">
        <f t="shared" si="1"/>
        <v>12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315</v>
      </c>
      <c r="C23">
        <v>98</v>
      </c>
      <c r="D23" s="37">
        <f>LOOKUP(C23,예상등급!$A$5:$A$13,예상등급!$B$5:$B$13)</f>
        <v>1</v>
      </c>
      <c r="E23" s="44" t="e">
        <f>((C23-예상등급!#REF!)/예상등급!#REF!)*20+100</f>
        <v>#REF!</v>
      </c>
      <c r="F23">
        <v>38</v>
      </c>
      <c r="G23" s="37">
        <f>LOOKUP(F23,예상등급!$D$19:$D$27,예상등급!$E$19:$E$27)</f>
        <v>2</v>
      </c>
      <c r="H23" s="44" t="e">
        <f>((F23-예상등급!#REF!)/예상등급!#REF!)*20+100</f>
        <v>#REF!</v>
      </c>
      <c r="I23">
        <v>89</v>
      </c>
      <c r="J23" s="37">
        <f>LOOKUP(I23,예상등급!$D$5:$D$13,예상등급!$E$5:$E$13)</f>
        <v>2</v>
      </c>
      <c r="K23" s="44" t="e">
        <f>((I23-예상등급!#REF!)/예상등급!#REF!)*20+100</f>
        <v>#REF!</v>
      </c>
      <c r="L23" s="34">
        <f t="shared" si="2"/>
        <v>225</v>
      </c>
      <c r="M23" s="45" t="e">
        <f t="shared" si="3"/>
        <v>#REF!</v>
      </c>
      <c r="N23" s="34">
        <f t="shared" si="4"/>
        <v>8</v>
      </c>
      <c r="O23">
        <v>44</v>
      </c>
      <c r="P23">
        <v>35</v>
      </c>
      <c r="Q23" s="36">
        <f t="shared" si="5"/>
        <v>79</v>
      </c>
      <c r="R23" s="35">
        <f t="shared" si="0"/>
        <v>304</v>
      </c>
      <c r="S23" s="35">
        <f t="shared" si="1"/>
        <v>10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316</v>
      </c>
      <c r="C24">
        <v>79</v>
      </c>
      <c r="D24" s="37">
        <f>LOOKUP(C24,예상등급!$A$5:$A$13,예상등급!$B$5:$B$13)</f>
        <v>1</v>
      </c>
      <c r="E24" s="44" t="e">
        <f>((C24-예상등급!#REF!)/예상등급!#REF!)*20+100</f>
        <v>#REF!</v>
      </c>
      <c r="F24">
        <v>27</v>
      </c>
      <c r="G24" s="37">
        <f>LOOKUP(F24,예상등급!$D$19:$D$27,예상등급!$E$19:$E$27)</f>
        <v>4</v>
      </c>
      <c r="H24" s="44" t="e">
        <f>((F24-예상등급!#REF!)/예상등급!#REF!)*20+100</f>
        <v>#REF!</v>
      </c>
      <c r="I24">
        <v>50</v>
      </c>
      <c r="J24" s="37">
        <f>LOOKUP(I24,예상등급!$D$5:$D$13,예상등급!$E$5:$E$13)</f>
        <v>5</v>
      </c>
      <c r="K24" s="44" t="e">
        <f>((I24-예상등급!#REF!)/예상등급!#REF!)*20+100</f>
        <v>#REF!</v>
      </c>
      <c r="L24" s="34">
        <f t="shared" si="2"/>
        <v>156</v>
      </c>
      <c r="M24" s="45" t="e">
        <f t="shared" si="3"/>
        <v>#REF!</v>
      </c>
      <c r="N24" s="34">
        <f t="shared" si="4"/>
        <v>26</v>
      </c>
      <c r="O24">
        <v>37</v>
      </c>
      <c r="P24">
        <v>36</v>
      </c>
      <c r="Q24" s="36">
        <f t="shared" si="5"/>
        <v>73</v>
      </c>
      <c r="R24" s="35">
        <f t="shared" si="0"/>
        <v>229</v>
      </c>
      <c r="S24" s="35">
        <f t="shared" si="1"/>
        <v>26</v>
      </c>
      <c r="T24" s="4"/>
      <c r="U24" s="19">
        <v>200</v>
      </c>
      <c r="V24" s="9">
        <f t="shared" si="7"/>
        <v>2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317</v>
      </c>
      <c r="C25">
        <v>22</v>
      </c>
      <c r="D25" s="37">
        <f>LOOKUP(C25,예상등급!$A$5:$A$13,예상등급!$B$5:$B$13)</f>
        <v>7</v>
      </c>
      <c r="E25" s="44" t="e">
        <f>((C25-예상등급!#REF!)/예상등급!#REF!)*20+100</f>
        <v>#REF!</v>
      </c>
      <c r="F25">
        <v>10</v>
      </c>
      <c r="G25" s="37">
        <f>LOOKUP(F25,예상등급!$D$19:$D$27,예상등급!$E$19:$E$27)</f>
        <v>7</v>
      </c>
      <c r="H25" s="44" t="e">
        <f>((F25-예상등급!#REF!)/예상등급!#REF!)*20+100</f>
        <v>#REF!</v>
      </c>
      <c r="I25">
        <v>22</v>
      </c>
      <c r="J25" s="37">
        <f>LOOKUP(I25,예상등급!$D$5:$D$13,예상등급!$E$5:$E$13)</f>
        <v>8</v>
      </c>
      <c r="K25" s="44" t="e">
        <f>((I25-예상등급!#REF!)/예상등급!#REF!)*20+100</f>
        <v>#REF!</v>
      </c>
      <c r="L25" s="34">
        <f t="shared" si="2"/>
        <v>54</v>
      </c>
      <c r="M25" s="45" t="e">
        <f t="shared" si="3"/>
        <v>#REF!</v>
      </c>
      <c r="N25" s="34">
        <f t="shared" si="4"/>
        <v>36</v>
      </c>
      <c r="O25">
        <v>8</v>
      </c>
      <c r="P25">
        <v>12</v>
      </c>
      <c r="Q25" s="36">
        <f t="shared" si="5"/>
        <v>20</v>
      </c>
      <c r="R25" s="35">
        <f t="shared" si="0"/>
        <v>74</v>
      </c>
      <c r="S25" s="35">
        <f t="shared" si="1"/>
        <v>36</v>
      </c>
      <c r="T25" s="4"/>
      <c r="U25" s="20">
        <v>190</v>
      </c>
      <c r="V25" s="9">
        <f t="shared" si="7"/>
        <v>0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318</v>
      </c>
      <c r="C26">
        <v>42</v>
      </c>
      <c r="D26" s="37">
        <f>LOOKUP(C26,예상등급!$A$5:$A$13,예상등급!$B$5:$B$13)</f>
        <v>5</v>
      </c>
      <c r="E26" s="44" t="e">
        <f>((C26-예상등급!#REF!)/예상등급!#REF!)*20+100</f>
        <v>#REF!</v>
      </c>
      <c r="F26">
        <v>14</v>
      </c>
      <c r="G26" s="37">
        <f>LOOKUP(F26,예상등급!$D$19:$D$27,예상등급!$E$19:$E$27)</f>
        <v>7</v>
      </c>
      <c r="H26" s="44" t="e">
        <f>((F26-예상등급!#REF!)/예상등급!#REF!)*20+100</f>
        <v>#REF!</v>
      </c>
      <c r="I26">
        <v>36</v>
      </c>
      <c r="J26" s="37">
        <f>LOOKUP(I26,예상등급!$D$5:$D$13,예상등급!$E$5:$E$13)</f>
        <v>7</v>
      </c>
      <c r="K26" s="44" t="e">
        <f>((I26-예상등급!#REF!)/예상등급!#REF!)*20+100</f>
        <v>#REF!</v>
      </c>
      <c r="L26" s="34">
        <f t="shared" si="2"/>
        <v>92</v>
      </c>
      <c r="M26" s="45" t="e">
        <f t="shared" si="3"/>
        <v>#REF!</v>
      </c>
      <c r="N26" s="34">
        <f t="shared" si="4"/>
        <v>33</v>
      </c>
      <c r="O26">
        <v>25</v>
      </c>
      <c r="P26">
        <v>20</v>
      </c>
      <c r="Q26" s="36">
        <f t="shared" si="5"/>
        <v>45</v>
      </c>
      <c r="R26" s="35">
        <f t="shared" si="0"/>
        <v>137</v>
      </c>
      <c r="S26" s="35">
        <f t="shared" si="1"/>
        <v>33</v>
      </c>
      <c r="T26" s="4"/>
      <c r="U26" s="21" t="s">
        <v>20</v>
      </c>
      <c r="V26" s="9">
        <f t="shared" si="7"/>
        <v>11</v>
      </c>
    </row>
    <row r="27" spans="1:23" s="7" customFormat="1" ht="17.100000000000001" customHeight="1" x14ac:dyDescent="0.15">
      <c r="A27" s="40">
        <v>24</v>
      </c>
      <c r="B27" s="72" t="s">
        <v>319</v>
      </c>
      <c r="C27">
        <v>94</v>
      </c>
      <c r="D27" s="37">
        <f>LOOKUP(C27,예상등급!$A$5:$A$13,예상등급!$B$5:$B$13)</f>
        <v>1</v>
      </c>
      <c r="E27" s="44" t="e">
        <f>((C27-예상등급!#REF!)/예상등급!#REF!)*20+100</f>
        <v>#REF!</v>
      </c>
      <c r="F27">
        <v>74</v>
      </c>
      <c r="G27" s="37">
        <f>LOOKUP(F27,예상등급!$D$19:$D$27,예상등급!$E$19:$E$27)</f>
        <v>1</v>
      </c>
      <c r="H27" s="44" t="e">
        <f>((F27-예상등급!#REF!)/예상등급!#REF!)*20+100</f>
        <v>#REF!</v>
      </c>
      <c r="I27">
        <v>26</v>
      </c>
      <c r="J27" s="37">
        <f>LOOKUP(I27,예상등급!$D$5:$D$13,예상등급!$E$5:$E$13)</f>
        <v>8</v>
      </c>
      <c r="K27" s="44" t="e">
        <f>((I27-예상등급!#REF!)/예상등급!#REF!)*20+100</f>
        <v>#REF!</v>
      </c>
      <c r="L27" s="34">
        <f t="shared" si="2"/>
        <v>194</v>
      </c>
      <c r="M27" s="45" t="e">
        <f t="shared" si="3"/>
        <v>#REF!</v>
      </c>
      <c r="N27" s="34">
        <f t="shared" si="4"/>
        <v>18</v>
      </c>
      <c r="O27">
        <v>36</v>
      </c>
      <c r="P27">
        <v>24</v>
      </c>
      <c r="Q27" s="36">
        <f t="shared" si="5"/>
        <v>60</v>
      </c>
      <c r="R27" s="35">
        <f t="shared" si="0"/>
        <v>254</v>
      </c>
      <c r="S27" s="35">
        <f t="shared" si="1"/>
        <v>21</v>
      </c>
      <c r="T27" s="4"/>
      <c r="U27" s="311" t="s">
        <v>9</v>
      </c>
      <c r="V27" s="313">
        <f>SUM(V4:V26)</f>
        <v>39</v>
      </c>
    </row>
    <row r="28" spans="1:23" s="7" customFormat="1" ht="17.100000000000001" customHeight="1" thickBot="1" x14ac:dyDescent="0.2">
      <c r="A28" s="40">
        <v>25</v>
      </c>
      <c r="B28" s="72" t="s">
        <v>320</v>
      </c>
      <c r="C28">
        <v>67</v>
      </c>
      <c r="D28" s="37">
        <f>LOOKUP(C28,예상등급!$A$5:$A$13,예상등급!$B$5:$B$13)</f>
        <v>3</v>
      </c>
      <c r="E28" s="44" t="e">
        <f>((C28-예상등급!#REF!)/예상등급!#REF!)*20+100</f>
        <v>#REF!</v>
      </c>
      <c r="F28">
        <v>23</v>
      </c>
      <c r="G28" s="37">
        <f>LOOKUP(F28,예상등급!$D$19:$D$27,예상등급!$E$19:$E$27)</f>
        <v>5</v>
      </c>
      <c r="H28" s="44" t="e">
        <f>((F28-예상등급!#REF!)/예상등급!#REF!)*20+100</f>
        <v>#REF!</v>
      </c>
      <c r="I28">
        <v>49</v>
      </c>
      <c r="J28" s="37">
        <f>LOOKUP(I28,예상등급!$D$5:$D$13,예상등급!$E$5:$E$13)</f>
        <v>6</v>
      </c>
      <c r="K28" s="44" t="e">
        <f>((I28-예상등급!#REF!)/예상등급!#REF!)*20+100</f>
        <v>#REF!</v>
      </c>
      <c r="L28" s="34">
        <f t="shared" si="2"/>
        <v>139</v>
      </c>
      <c r="M28" s="45" t="e">
        <f t="shared" si="3"/>
        <v>#REF!</v>
      </c>
      <c r="N28" s="34">
        <f t="shared" si="4"/>
        <v>28</v>
      </c>
      <c r="O28">
        <v>36</v>
      </c>
      <c r="P28">
        <v>26</v>
      </c>
      <c r="Q28" s="36">
        <f t="shared" si="5"/>
        <v>62</v>
      </c>
      <c r="R28" s="35">
        <f t="shared" si="0"/>
        <v>201</v>
      </c>
      <c r="S28" s="35">
        <f t="shared" si="1"/>
        <v>28</v>
      </c>
      <c r="T28" s="4"/>
      <c r="U28" s="312"/>
      <c r="V28" s="314"/>
    </row>
    <row r="29" spans="1:23" s="7" customFormat="1" ht="17.100000000000001" customHeight="1" thickBot="1" x14ac:dyDescent="0.2">
      <c r="A29" s="40">
        <v>26</v>
      </c>
      <c r="B29" s="72" t="s">
        <v>321</v>
      </c>
      <c r="C29">
        <v>12</v>
      </c>
      <c r="D29" s="37">
        <f>LOOKUP(C29,예상등급!$A$5:$A$13,예상등급!$B$5:$B$13)</f>
        <v>9</v>
      </c>
      <c r="E29" s="44" t="e">
        <f>((C29-예상등급!#REF!)/예상등급!#REF!)*20+100</f>
        <v>#REF!</v>
      </c>
      <c r="F29">
        <v>17</v>
      </c>
      <c r="G29" s="37">
        <f>LOOKUP(F29,예상등급!$D$19:$D$27,예상등급!$E$19:$E$27)</f>
        <v>6</v>
      </c>
      <c r="H29" s="44" t="e">
        <f>((F29-예상등급!#REF!)/예상등급!#REF!)*20+100</f>
        <v>#REF!</v>
      </c>
      <c r="I29">
        <v>27</v>
      </c>
      <c r="J29" s="37">
        <f>LOOKUP(I29,예상등급!$D$5:$D$13,예상등급!$E$5:$E$13)</f>
        <v>8</v>
      </c>
      <c r="K29" s="44" t="e">
        <f>((I29-예상등급!#REF!)/예상등급!#REF!)*20+100</f>
        <v>#REF!</v>
      </c>
      <c r="L29" s="34">
        <f t="shared" si="2"/>
        <v>56</v>
      </c>
      <c r="M29" s="45" t="e">
        <f t="shared" si="3"/>
        <v>#REF!</v>
      </c>
      <c r="N29" s="34">
        <f t="shared" si="4"/>
        <v>35</v>
      </c>
      <c r="O29">
        <v>26</v>
      </c>
      <c r="P29">
        <v>26</v>
      </c>
      <c r="Q29" s="36">
        <f t="shared" si="5"/>
        <v>52</v>
      </c>
      <c r="R29" s="35">
        <f t="shared" si="0"/>
        <v>108</v>
      </c>
      <c r="S29" s="35">
        <f t="shared" si="1"/>
        <v>34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322</v>
      </c>
      <c r="C30">
        <v>92</v>
      </c>
      <c r="D30" s="37">
        <f>LOOKUP(C30,예상등급!$A$5:$A$13,예상등급!$B$5:$B$13)</f>
        <v>1</v>
      </c>
      <c r="E30" s="44" t="e">
        <f>((C30-예상등급!#REF!)/예상등급!#REF!)*20+100</f>
        <v>#REF!</v>
      </c>
      <c r="F30">
        <v>40</v>
      </c>
      <c r="G30" s="37">
        <f>LOOKUP(F30,예상등급!$D$19:$D$27,예상등급!$E$19:$E$27)</f>
        <v>1</v>
      </c>
      <c r="H30" s="44" t="e">
        <f>((F30-예상등급!#REF!)/예상등급!#REF!)*20+100</f>
        <v>#REF!</v>
      </c>
      <c r="I30">
        <v>89</v>
      </c>
      <c r="J30" s="37">
        <f>LOOKUP(I30,예상등급!$D$5:$D$13,예상등급!$E$5:$E$13)</f>
        <v>2</v>
      </c>
      <c r="K30" s="44" t="e">
        <f>((I30-예상등급!#REF!)/예상등급!#REF!)*20+100</f>
        <v>#REF!</v>
      </c>
      <c r="L30" s="34">
        <f t="shared" si="2"/>
        <v>221</v>
      </c>
      <c r="M30" s="45" t="e">
        <f t="shared" si="3"/>
        <v>#REF!</v>
      </c>
      <c r="N30" s="34">
        <f t="shared" si="4"/>
        <v>11</v>
      </c>
      <c r="O30">
        <v>41</v>
      </c>
      <c r="P30">
        <v>40</v>
      </c>
      <c r="Q30" s="36">
        <f t="shared" si="5"/>
        <v>81</v>
      </c>
      <c r="R30" s="35">
        <f t="shared" si="0"/>
        <v>302</v>
      </c>
      <c r="S30" s="35">
        <f t="shared" si="1"/>
        <v>11</v>
      </c>
      <c r="T30" s="4"/>
      <c r="U30" s="315" t="s">
        <v>10</v>
      </c>
      <c r="V30" s="316"/>
    </row>
    <row r="31" spans="1:23" s="7" customFormat="1" ht="17.100000000000001" customHeight="1" x14ac:dyDescent="0.15">
      <c r="A31" s="40">
        <v>28</v>
      </c>
      <c r="B31" s="72" t="s">
        <v>323</v>
      </c>
      <c r="C31">
        <v>48</v>
      </c>
      <c r="D31" s="37">
        <f>LOOKUP(C31,예상등급!$A$5:$A$13,예상등급!$B$5:$B$13)</f>
        <v>5</v>
      </c>
      <c r="E31" s="44" t="e">
        <f>((C31-예상등급!#REF!)/예상등급!#REF!)*20+100</f>
        <v>#REF!</v>
      </c>
      <c r="F31">
        <v>18</v>
      </c>
      <c r="G31" s="37">
        <f>LOOKUP(F31,예상등급!$D$19:$D$27,예상등급!$E$19:$E$27)</f>
        <v>6</v>
      </c>
      <c r="H31" s="44" t="e">
        <f>((F31-예상등급!#REF!)/예상등급!#REF!)*20+100</f>
        <v>#REF!</v>
      </c>
      <c r="I31">
        <v>54</v>
      </c>
      <c r="J31" s="37">
        <f>LOOKUP(I31,예상등급!$D$5:$D$13,예상등급!$E$5:$E$13)</f>
        <v>5</v>
      </c>
      <c r="K31" s="44" t="e">
        <f>((I31-예상등급!#REF!)/예상등급!#REF!)*20+100</f>
        <v>#REF!</v>
      </c>
      <c r="L31" s="34">
        <f t="shared" si="2"/>
        <v>120</v>
      </c>
      <c r="M31" s="45" t="e">
        <f t="shared" si="3"/>
        <v>#REF!</v>
      </c>
      <c r="N31" s="34">
        <f t="shared" si="4"/>
        <v>29</v>
      </c>
      <c r="O31">
        <v>23</v>
      </c>
      <c r="P31">
        <v>14</v>
      </c>
      <c r="Q31" s="36">
        <f t="shared" si="5"/>
        <v>37</v>
      </c>
      <c r="R31" s="35">
        <f t="shared" si="0"/>
        <v>157</v>
      </c>
      <c r="S31" s="35">
        <f t="shared" si="1"/>
        <v>30</v>
      </c>
      <c r="T31" s="4"/>
      <c r="U31" s="317">
        <f>MAX(R4:R42)</f>
        <v>372</v>
      </c>
      <c r="V31" s="318"/>
    </row>
    <row r="32" spans="1:23" s="7" customFormat="1" ht="17.100000000000001" customHeight="1" thickBot="1" x14ac:dyDescent="0.2">
      <c r="A32" s="40">
        <v>29</v>
      </c>
      <c r="B32" s="72" t="s">
        <v>324</v>
      </c>
      <c r="C32">
        <v>93</v>
      </c>
      <c r="D32" s="37">
        <f>LOOKUP(C32,예상등급!$A$5:$A$13,예상등급!$B$5:$B$13)</f>
        <v>1</v>
      </c>
      <c r="E32" s="44" t="e">
        <f>((C32-예상등급!#REF!)/예상등급!#REF!)*20+100</f>
        <v>#REF!</v>
      </c>
      <c r="F32">
        <v>37</v>
      </c>
      <c r="G32" s="37">
        <f>LOOKUP(F32,예상등급!$D$19:$D$27,예상등급!$E$19:$E$27)</f>
        <v>2</v>
      </c>
      <c r="H32" s="44" t="e">
        <f>((F32-예상등급!#REF!)/예상등급!#REF!)*20+100</f>
        <v>#REF!</v>
      </c>
      <c r="I32">
        <v>82</v>
      </c>
      <c r="J32" s="37">
        <f>LOOKUP(I32,예상등급!$D$5:$D$13,예상등급!$E$5:$E$13)</f>
        <v>2</v>
      </c>
      <c r="K32" s="44" t="e">
        <f>((I32-예상등급!#REF!)/예상등급!#REF!)*20+100</f>
        <v>#REF!</v>
      </c>
      <c r="L32" s="34">
        <f t="shared" si="2"/>
        <v>212</v>
      </c>
      <c r="M32" s="45" t="e">
        <f t="shared" si="3"/>
        <v>#REF!</v>
      </c>
      <c r="N32" s="34">
        <f t="shared" si="4"/>
        <v>14</v>
      </c>
      <c r="O32">
        <v>37</v>
      </c>
      <c r="P32">
        <v>40</v>
      </c>
      <c r="Q32" s="36">
        <f t="shared" si="5"/>
        <v>77</v>
      </c>
      <c r="R32" s="35">
        <f t="shared" si="0"/>
        <v>289</v>
      </c>
      <c r="S32" s="35">
        <f t="shared" si="1"/>
        <v>14</v>
      </c>
      <c r="T32" s="4"/>
      <c r="U32" s="319"/>
      <c r="V32" s="320"/>
    </row>
    <row r="33" spans="1:22" s="7" customFormat="1" ht="17.100000000000001" customHeight="1" x14ac:dyDescent="0.15">
      <c r="A33" s="40">
        <v>30</v>
      </c>
      <c r="B33" s="72" t="s">
        <v>325</v>
      </c>
      <c r="C33">
        <v>100</v>
      </c>
      <c r="D33" s="37">
        <f>LOOKUP(C33,예상등급!$A$5:$A$13,예상등급!$B$5:$B$13)</f>
        <v>1</v>
      </c>
      <c r="E33" s="44" t="e">
        <f>((C33-예상등급!#REF!)/예상등급!#REF!)*20+100</f>
        <v>#REF!</v>
      </c>
      <c r="F33">
        <v>49</v>
      </c>
      <c r="G33" s="37">
        <f>LOOKUP(F33,예상등급!$D$19:$D$27,예상등급!$E$19:$E$27)</f>
        <v>1</v>
      </c>
      <c r="H33" s="44" t="e">
        <f>((F33-예상등급!#REF!)/예상등급!#REF!)*20+100</f>
        <v>#REF!</v>
      </c>
      <c r="I33">
        <v>89</v>
      </c>
      <c r="J33" s="37">
        <f>LOOKUP(I33,예상등급!$D$5:$D$13,예상등급!$E$5:$E$13)</f>
        <v>2</v>
      </c>
      <c r="K33" s="44" t="e">
        <f>((I33-예상등급!#REF!)/예상등급!#REF!)*20+100</f>
        <v>#REF!</v>
      </c>
      <c r="L33" s="34">
        <f t="shared" si="2"/>
        <v>238</v>
      </c>
      <c r="M33" s="45" t="e">
        <f t="shared" si="3"/>
        <v>#REF!</v>
      </c>
      <c r="N33" s="34">
        <f t="shared" si="4"/>
        <v>7</v>
      </c>
      <c r="O33">
        <v>44</v>
      </c>
      <c r="P33">
        <v>47</v>
      </c>
      <c r="Q33" s="36">
        <f t="shared" si="5"/>
        <v>91</v>
      </c>
      <c r="R33" s="35">
        <f t="shared" si="0"/>
        <v>329</v>
      </c>
      <c r="S33" s="35">
        <f t="shared" si="1"/>
        <v>4</v>
      </c>
      <c r="T33" s="4"/>
      <c r="U33" s="315" t="s">
        <v>11</v>
      </c>
      <c r="V33" s="316"/>
    </row>
    <row r="34" spans="1:22" s="7" customFormat="1" ht="17.100000000000001" customHeight="1" x14ac:dyDescent="0.15">
      <c r="A34" s="40">
        <v>31</v>
      </c>
      <c r="B34" s="71" t="s">
        <v>326</v>
      </c>
      <c r="C34">
        <v>96</v>
      </c>
      <c r="D34" s="37">
        <f>LOOKUP(C34,예상등급!$A$5:$A$13,예상등급!$B$5:$B$13)</f>
        <v>1</v>
      </c>
      <c r="E34" s="44" t="e">
        <f>((C34-예상등급!#REF!)/예상등급!#REF!)*20+100</f>
        <v>#REF!</v>
      </c>
      <c r="F34">
        <v>88</v>
      </c>
      <c r="G34" s="37">
        <f>LOOKUP(F34,예상등급!$D$19:$D$27,예상등급!$E$19:$E$27)</f>
        <v>1</v>
      </c>
      <c r="H34" s="44" t="e">
        <f>((F34-예상등급!#REF!)/예상등급!#REF!)*20+100</f>
        <v>#REF!</v>
      </c>
      <c r="I34">
        <v>90</v>
      </c>
      <c r="J34" s="37">
        <f>LOOKUP(I34,예상등급!$D$5:$D$13,예상등급!$E$5:$E$13)</f>
        <v>1</v>
      </c>
      <c r="K34" s="44" t="e">
        <f>((I34-예상등급!#REF!)/예상등급!#REF!)*20+100</f>
        <v>#REF!</v>
      </c>
      <c r="L34" s="34">
        <f t="shared" si="2"/>
        <v>274</v>
      </c>
      <c r="M34" s="45" t="e">
        <f t="shared" si="3"/>
        <v>#REF!</v>
      </c>
      <c r="N34" s="34">
        <f t="shared" si="4"/>
        <v>1</v>
      </c>
      <c r="O34">
        <v>50</v>
      </c>
      <c r="P34">
        <v>48</v>
      </c>
      <c r="Q34" s="36">
        <f t="shared" si="5"/>
        <v>98</v>
      </c>
      <c r="R34" s="35">
        <f t="shared" si="0"/>
        <v>372</v>
      </c>
      <c r="S34" s="35">
        <f t="shared" si="1"/>
        <v>1</v>
      </c>
      <c r="T34" s="4"/>
      <c r="U34" s="321">
        <f>MIN(R4:R42)</f>
        <v>0</v>
      </c>
      <c r="V34" s="322"/>
    </row>
    <row r="35" spans="1:22" s="7" customFormat="1" ht="17.100000000000001" customHeight="1" thickBot="1" x14ac:dyDescent="0.2">
      <c r="A35" s="40">
        <v>32</v>
      </c>
      <c r="B35" s="71" t="s">
        <v>327</v>
      </c>
      <c r="C35">
        <v>77</v>
      </c>
      <c r="D35" s="37">
        <f>LOOKUP(C35,예상등급!$A$5:$A$13,예상등급!$B$5:$B$13)</f>
        <v>2</v>
      </c>
      <c r="E35" s="44" t="e">
        <f>((C35-예상등급!#REF!)/예상등급!#REF!)*20+100</f>
        <v>#REF!</v>
      </c>
      <c r="F35">
        <v>29</v>
      </c>
      <c r="G35" s="37">
        <f>LOOKUP(F35,예상등급!$D$19:$D$27,예상등급!$E$19:$E$27)</f>
        <v>4</v>
      </c>
      <c r="H35" s="44" t="e">
        <f>((F35-예상등급!#REF!)/예상등급!#REF!)*20+100</f>
        <v>#REF!</v>
      </c>
      <c r="I35">
        <v>36</v>
      </c>
      <c r="J35" s="37">
        <f>LOOKUP(I35,예상등급!$D$5:$D$13,예상등급!$E$5:$E$13)</f>
        <v>7</v>
      </c>
      <c r="K35" s="44" t="e">
        <f>((I35-예상등급!#REF!)/예상등급!#REF!)*20+100</f>
        <v>#REF!</v>
      </c>
      <c r="L35" s="34">
        <f t="shared" si="2"/>
        <v>142</v>
      </c>
      <c r="M35" s="45" t="e">
        <f t="shared" si="3"/>
        <v>#REF!</v>
      </c>
      <c r="N35" s="34">
        <f t="shared" si="4"/>
        <v>27</v>
      </c>
      <c r="O35">
        <v>30</v>
      </c>
      <c r="P35">
        <v>31</v>
      </c>
      <c r="Q35" s="36">
        <f t="shared" si="5"/>
        <v>61</v>
      </c>
      <c r="R35" s="35">
        <f t="shared" si="0"/>
        <v>203</v>
      </c>
      <c r="S35" s="35">
        <f t="shared" si="1"/>
        <v>27</v>
      </c>
      <c r="T35" s="4"/>
      <c r="U35" s="323"/>
      <c r="V35" s="324"/>
    </row>
    <row r="36" spans="1:22" s="7" customFormat="1" ht="17.100000000000001" customHeight="1" x14ac:dyDescent="0.15">
      <c r="A36" s="40">
        <v>33</v>
      </c>
      <c r="B36" s="71" t="s">
        <v>328</v>
      </c>
      <c r="C36">
        <v>60</v>
      </c>
      <c r="D36" s="37">
        <f>LOOKUP(C36,예상등급!$A$5:$A$13,예상등급!$B$5:$B$13)</f>
        <v>4</v>
      </c>
      <c r="E36" s="44" t="e">
        <f>((C36-예상등급!#REF!)/예상등급!#REF!)*20+100</f>
        <v>#REF!</v>
      </c>
      <c r="F36">
        <v>21</v>
      </c>
      <c r="G36" s="37">
        <f>LOOKUP(F36,예상등급!$D$19:$D$27,예상등급!$E$19:$E$27)</f>
        <v>5</v>
      </c>
      <c r="H36" s="44" t="e">
        <f>((F36-예상등급!#REF!)/예상등급!#REF!)*20+100</f>
        <v>#REF!</v>
      </c>
      <c r="I36">
        <v>29</v>
      </c>
      <c r="J36" s="37">
        <f>LOOKUP(I36,예상등급!$D$5:$D$13,예상등급!$E$5:$E$13)</f>
        <v>8</v>
      </c>
      <c r="K36" s="44" t="e">
        <f>((I36-예상등급!#REF!)/예상등급!#REF!)*20+100</f>
        <v>#REF!</v>
      </c>
      <c r="L36" s="34">
        <f t="shared" si="2"/>
        <v>110</v>
      </c>
      <c r="M36" s="45" t="e">
        <f t="shared" si="3"/>
        <v>#REF!</v>
      </c>
      <c r="N36" s="34">
        <f t="shared" si="4"/>
        <v>31</v>
      </c>
      <c r="O36">
        <v>30</v>
      </c>
      <c r="P36">
        <v>24</v>
      </c>
      <c r="Q36" s="36">
        <f t="shared" si="5"/>
        <v>54</v>
      </c>
      <c r="R36" s="35">
        <f t="shared" si="0"/>
        <v>164</v>
      </c>
      <c r="S36" s="35">
        <f t="shared" si="1"/>
        <v>29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329</v>
      </c>
      <c r="C37">
        <v>94</v>
      </c>
      <c r="D37" s="37">
        <f>LOOKUP(C37,예상등급!$A$5:$A$13,예상등급!$B$5:$B$13)</f>
        <v>1</v>
      </c>
      <c r="E37" s="44" t="e">
        <f>((C37-예상등급!#REF!)/예상등급!#REF!)*20+100</f>
        <v>#REF!</v>
      </c>
      <c r="F37">
        <v>41</v>
      </c>
      <c r="G37" s="37">
        <f>LOOKUP(F37,예상등급!$D$19:$D$27,예상등급!$E$19:$E$27)</f>
        <v>1</v>
      </c>
      <c r="H37" s="44" t="e">
        <f>((F37-예상등급!#REF!)/예상등급!#REF!)*20+100</f>
        <v>#REF!</v>
      </c>
      <c r="I37">
        <v>77</v>
      </c>
      <c r="J37" s="37">
        <f>LOOKUP(I37,예상등급!$D$5:$D$13,예상등급!$E$5:$E$13)</f>
        <v>3</v>
      </c>
      <c r="K37" s="44" t="e">
        <f>((I37-예상등급!#REF!)/예상등급!#REF!)*20+100</f>
        <v>#REF!</v>
      </c>
      <c r="L37" s="34">
        <f t="shared" si="2"/>
        <v>212</v>
      </c>
      <c r="M37" s="45" t="e">
        <f t="shared" si="3"/>
        <v>#REF!</v>
      </c>
      <c r="N37" s="34">
        <f t="shared" si="4"/>
        <v>14</v>
      </c>
      <c r="O37">
        <v>42</v>
      </c>
      <c r="P37">
        <v>38</v>
      </c>
      <c r="Q37" s="36">
        <f t="shared" si="5"/>
        <v>80</v>
      </c>
      <c r="R37" s="35">
        <f t="shared" si="0"/>
        <v>292</v>
      </c>
      <c r="S37" s="35">
        <f t="shared" si="1"/>
        <v>13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330</v>
      </c>
      <c r="C38">
        <v>93</v>
      </c>
      <c r="D38" s="37">
        <f>LOOKUP(C38,예상등급!$A$5:$A$13,예상등급!$B$5:$B$13)</f>
        <v>1</v>
      </c>
      <c r="E38" s="44" t="e">
        <f>((C38-예상등급!#REF!)/예상등급!#REF!)*20+100</f>
        <v>#REF!</v>
      </c>
      <c r="F38">
        <v>18</v>
      </c>
      <c r="G38" s="37">
        <f>LOOKUP(F38,예상등급!$D$19:$D$27,예상등급!$E$19:$E$27)</f>
        <v>6</v>
      </c>
      <c r="H38" s="44" t="e">
        <f>((F38-예상등급!#REF!)/예상등급!#REF!)*20+100</f>
        <v>#REF!</v>
      </c>
      <c r="I38">
        <v>65</v>
      </c>
      <c r="J38" s="37">
        <f>LOOKUP(I38,예상등급!$D$5:$D$13,예상등급!$E$5:$E$13)</f>
        <v>4</v>
      </c>
      <c r="K38" s="44" t="e">
        <f>((I38-예상등급!#REF!)/예상등급!#REF!)*20+100</f>
        <v>#REF!</v>
      </c>
      <c r="L38" s="34">
        <f>SUM(C38,F38,I38)</f>
        <v>176</v>
      </c>
      <c r="M38" s="45" t="e">
        <f>SUM(E38,H38,K38)</f>
        <v>#REF!</v>
      </c>
      <c r="N38" s="34">
        <f t="shared" si="4"/>
        <v>24</v>
      </c>
      <c r="O38">
        <v>26</v>
      </c>
      <c r="P38">
        <v>34</v>
      </c>
      <c r="Q38" s="36">
        <f t="shared" si="5"/>
        <v>60</v>
      </c>
      <c r="R38" s="35">
        <f t="shared" si="0"/>
        <v>236</v>
      </c>
      <c r="S38" s="35">
        <f t="shared" si="1"/>
        <v>24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331</v>
      </c>
      <c r="C39">
        <v>95</v>
      </c>
      <c r="D39" s="37">
        <f>LOOKUP(C39,예상등급!$A$5:$A$13,예상등급!$B$5:$B$13)</f>
        <v>1</v>
      </c>
      <c r="E39" s="44" t="e">
        <f>((C39-예상등급!#REF!)/예상등급!#REF!)*20+100</f>
        <v>#REF!</v>
      </c>
      <c r="F39">
        <v>37</v>
      </c>
      <c r="G39" s="37">
        <f>LOOKUP(F39,예상등급!$D$19:$D$27,예상등급!$E$19:$E$27)</f>
        <v>2</v>
      </c>
      <c r="H39" s="44" t="e">
        <f>((F39-예상등급!#REF!)/예상등급!#REF!)*20+100</f>
        <v>#REF!</v>
      </c>
      <c r="I39">
        <v>93</v>
      </c>
      <c r="J39" s="37">
        <f>LOOKUP(I39,예상등급!$D$5:$D$13,예상등급!$E$5:$E$13)</f>
        <v>1</v>
      </c>
      <c r="K39" s="44" t="e">
        <f>((I39-예상등급!#REF!)/예상등급!#REF!)*20+100</f>
        <v>#REF!</v>
      </c>
      <c r="L39" s="34">
        <f>SUM(C39,F39,I39)</f>
        <v>225</v>
      </c>
      <c r="M39" s="45" t="e">
        <f>SUM(E39,H39,K39)</f>
        <v>#REF!</v>
      </c>
      <c r="N39" s="34">
        <f t="shared" si="4"/>
        <v>8</v>
      </c>
      <c r="O39">
        <v>31</v>
      </c>
      <c r="P39">
        <v>29</v>
      </c>
      <c r="Q39" s="36">
        <f t="shared" si="5"/>
        <v>60</v>
      </c>
      <c r="R39" s="35">
        <f t="shared" si="0"/>
        <v>285</v>
      </c>
      <c r="S39" s="35">
        <f t="shared" si="1"/>
        <v>16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332</v>
      </c>
      <c r="C40">
        <v>97</v>
      </c>
      <c r="D40" s="37">
        <f>LOOKUP(C40,예상등급!$A$5:$A$13,예상등급!$B$5:$B$13)</f>
        <v>1</v>
      </c>
      <c r="E40" s="44" t="e">
        <f>((C40-예상등급!#REF!)/예상등급!#REF!)*20+100</f>
        <v>#REF!</v>
      </c>
      <c r="F40">
        <v>41</v>
      </c>
      <c r="G40" s="37">
        <f>LOOKUP(F40,예상등급!$D$19:$D$27,예상등급!$E$19:$E$27)</f>
        <v>1</v>
      </c>
      <c r="H40" s="44" t="e">
        <f>((F40-예상등급!#REF!)/예상등급!#REF!)*20+100</f>
        <v>#REF!</v>
      </c>
      <c r="I40">
        <v>85</v>
      </c>
      <c r="J40" s="37">
        <f>LOOKUP(I40,예상등급!$D$5:$D$13,예상등급!$E$5:$E$13)</f>
        <v>2</v>
      </c>
      <c r="K40" s="44" t="e">
        <f>((I40-예상등급!#REF!)/예상등급!#REF!)*20+100</f>
        <v>#REF!</v>
      </c>
      <c r="L40" s="34">
        <f>SUM(C40,F40,I40)</f>
        <v>223</v>
      </c>
      <c r="M40" s="45" t="e">
        <f>SUM(E40,H40,K40)</f>
        <v>#REF!</v>
      </c>
      <c r="N40" s="34">
        <f t="shared" si="4"/>
        <v>10</v>
      </c>
      <c r="O40">
        <v>41</v>
      </c>
      <c r="P40">
        <v>45</v>
      </c>
      <c r="Q40" s="36">
        <f t="shared" si="5"/>
        <v>86</v>
      </c>
      <c r="R40" s="35">
        <f t="shared" si="0"/>
        <v>309</v>
      </c>
      <c r="S40" s="35">
        <f t="shared" si="1"/>
        <v>9</v>
      </c>
      <c r="T40" s="4"/>
      <c r="U40" s="47"/>
      <c r="V40" s="47"/>
    </row>
    <row r="41" spans="1:22" s="7" customFormat="1" ht="17.100000000000001" customHeight="1" x14ac:dyDescent="0.15">
      <c r="A41" s="40">
        <v>38</v>
      </c>
      <c r="B41" s="71" t="s">
        <v>333</v>
      </c>
      <c r="C41">
        <v>0</v>
      </c>
      <c r="D41" s="37">
        <f>LOOKUP(C41,예상등급!$A$5:$A$13,예상등급!$B$5:$B$13)</f>
        <v>9</v>
      </c>
      <c r="E41" s="44" t="e">
        <f>((C41-예상등급!#REF!)/예상등급!#REF!)*20+100</f>
        <v>#REF!</v>
      </c>
      <c r="F41">
        <v>0</v>
      </c>
      <c r="G41" s="37">
        <f>LOOKUP(F41,예상등급!$D$19:$D$27,예상등급!$E$19:$E$27)</f>
        <v>9</v>
      </c>
      <c r="H41" s="44" t="e">
        <f>((F41-예상등급!#REF!)/예상등급!#REF!)*20+100</f>
        <v>#REF!</v>
      </c>
      <c r="I41">
        <v>0</v>
      </c>
      <c r="J41" s="37">
        <f>LOOKUP(I41,예상등급!$D$5:$D$13,예상등급!$E$5:$E$13)</f>
        <v>9</v>
      </c>
      <c r="K41" s="44" t="e">
        <f>((I41-예상등급!#REF!)/예상등급!#REF!)*20+100</f>
        <v>#REF!</v>
      </c>
      <c r="L41" s="34">
        <f>SUM(C41,F41,I41)</f>
        <v>0</v>
      </c>
      <c r="M41" s="45" t="e">
        <f>SUM(E41,H41,K41)</f>
        <v>#REF!</v>
      </c>
      <c r="N41" s="34">
        <f t="shared" si="4"/>
        <v>37</v>
      </c>
      <c r="O41">
        <v>0</v>
      </c>
      <c r="P41">
        <v>0</v>
      </c>
      <c r="Q41" s="36">
        <f t="shared" si="5"/>
        <v>0</v>
      </c>
      <c r="R41" s="35">
        <f t="shared" si="0"/>
        <v>0</v>
      </c>
      <c r="S41" s="35">
        <f t="shared" si="1"/>
        <v>37</v>
      </c>
      <c r="T41" s="4"/>
      <c r="U41" s="47"/>
      <c r="V41" s="47"/>
    </row>
    <row r="42" spans="1:22" s="7" customFormat="1" ht="17.100000000000001" customHeight="1" x14ac:dyDescent="0.15">
      <c r="A42" s="40">
        <v>39</v>
      </c>
      <c r="B42" s="33" t="s">
        <v>334</v>
      </c>
      <c r="C42">
        <v>0</v>
      </c>
      <c r="D42" s="37">
        <f>LOOKUP(C42,예상등급!$A$5:$A$13,예상등급!$B$5:$B$13)</f>
        <v>9</v>
      </c>
      <c r="E42" s="44" t="e">
        <f>((C42-예상등급!#REF!)/예상등급!#REF!)*20+100</f>
        <v>#REF!</v>
      </c>
      <c r="F42">
        <v>0</v>
      </c>
      <c r="G42" s="37">
        <f>LOOKUP(F42,예상등급!$D$19:$D$27,예상등급!$E$19:$E$27)</f>
        <v>9</v>
      </c>
      <c r="H42" s="44" t="e">
        <f>((F42-예상등급!#REF!)/예상등급!#REF!)*20+100</f>
        <v>#REF!</v>
      </c>
      <c r="I42">
        <v>0</v>
      </c>
      <c r="J42" s="37">
        <f>LOOKUP(I42,예상등급!$D$5:$D$13,예상등급!$E$5:$E$13)</f>
        <v>9</v>
      </c>
      <c r="K42" s="44" t="e">
        <f>((I42-예상등급!#REF!)/예상등급!#REF!)*20+100</f>
        <v>#REF!</v>
      </c>
      <c r="L42" s="34">
        <f>SUM(C42,F42,I42)</f>
        <v>0</v>
      </c>
      <c r="M42" s="45" t="e">
        <f>SUM(E42,H42,K42)</f>
        <v>#REF!</v>
      </c>
      <c r="N42" s="34">
        <f t="shared" si="4"/>
        <v>37</v>
      </c>
      <c r="O42">
        <v>0</v>
      </c>
      <c r="P42">
        <v>0</v>
      </c>
      <c r="Q42" s="36">
        <f t="shared" si="5"/>
        <v>0</v>
      </c>
      <c r="R42" s="35">
        <f t="shared" si="0"/>
        <v>0</v>
      </c>
      <c r="S42" s="35">
        <f t="shared" si="1"/>
        <v>37</v>
      </c>
      <c r="T42" s="4"/>
      <c r="U42" s="47"/>
      <c r="V42" s="47"/>
    </row>
    <row r="43" spans="1:22" s="7" customFormat="1" ht="17.100000000000001" customHeight="1" x14ac:dyDescent="0.15">
      <c r="A43" s="304" t="s">
        <v>6</v>
      </c>
      <c r="B43" s="304"/>
      <c r="C43" s="41">
        <f>SUM(C4:C42)</f>
        <v>2866</v>
      </c>
      <c r="D43" s="41">
        <f t="shared" ref="D43:R43" si="8">SUM(D4:D42)</f>
        <v>107</v>
      </c>
      <c r="E43" s="41" t="e">
        <f t="shared" si="8"/>
        <v>#REF!</v>
      </c>
      <c r="F43" s="41">
        <f t="shared" si="8"/>
        <v>1293</v>
      </c>
      <c r="G43" s="41">
        <f t="shared" si="8"/>
        <v>151</v>
      </c>
      <c r="H43" s="41" t="e">
        <f t="shared" si="8"/>
        <v>#REF!</v>
      </c>
      <c r="I43" s="41">
        <f t="shared" si="8"/>
        <v>2354</v>
      </c>
      <c r="J43" s="41">
        <f t="shared" si="8"/>
        <v>170</v>
      </c>
      <c r="K43" s="41" t="e">
        <f t="shared" si="8"/>
        <v>#REF!</v>
      </c>
      <c r="L43" s="41">
        <f t="shared" si="8"/>
        <v>6513</v>
      </c>
      <c r="M43" s="41" t="e">
        <f t="shared" si="8"/>
        <v>#REF!</v>
      </c>
      <c r="N43" s="41"/>
      <c r="O43" s="41">
        <f t="shared" si="8"/>
        <v>1238</v>
      </c>
      <c r="P43" s="41">
        <f t="shared" si="8"/>
        <v>1215</v>
      </c>
      <c r="Q43" s="41">
        <f t="shared" si="8"/>
        <v>2453</v>
      </c>
      <c r="R43" s="41">
        <f t="shared" si="8"/>
        <v>8966</v>
      </c>
      <c r="S43" s="41"/>
      <c r="T43" s="4"/>
      <c r="U43" s="47"/>
      <c r="V43" s="47"/>
    </row>
    <row r="44" spans="1:22" s="7" customFormat="1" ht="17.100000000000001" customHeight="1" x14ac:dyDescent="0.15">
      <c r="A44" s="304" t="s">
        <v>12</v>
      </c>
      <c r="B44" s="304"/>
      <c r="C44" s="41">
        <f>AVERAGE(C4:C42)</f>
        <v>73.487179487179489</v>
      </c>
      <c r="D44" s="41">
        <f t="shared" ref="D44:R44" si="9">AVERAGE(D4:D42)</f>
        <v>2.7435897435897436</v>
      </c>
      <c r="E44" s="41" t="e">
        <f t="shared" si="9"/>
        <v>#REF!</v>
      </c>
      <c r="F44" s="41">
        <f t="shared" si="9"/>
        <v>33.153846153846153</v>
      </c>
      <c r="G44" s="41">
        <f t="shared" si="9"/>
        <v>3.8717948717948718</v>
      </c>
      <c r="H44" s="41" t="e">
        <f t="shared" si="9"/>
        <v>#REF!</v>
      </c>
      <c r="I44" s="41">
        <f t="shared" si="9"/>
        <v>60.358974358974358</v>
      </c>
      <c r="J44" s="41">
        <f t="shared" si="9"/>
        <v>4.3589743589743586</v>
      </c>
      <c r="K44" s="41" t="e">
        <f t="shared" si="9"/>
        <v>#REF!</v>
      </c>
      <c r="L44" s="41">
        <f t="shared" si="9"/>
        <v>167</v>
      </c>
      <c r="M44" s="41" t="e">
        <f t="shared" si="9"/>
        <v>#REF!</v>
      </c>
      <c r="N44" s="41"/>
      <c r="O44" s="41">
        <f t="shared" si="9"/>
        <v>31.743589743589745</v>
      </c>
      <c r="P44" s="41">
        <f t="shared" si="9"/>
        <v>31.153846153846153</v>
      </c>
      <c r="Q44" s="41">
        <f t="shared" si="9"/>
        <v>62.897435897435898</v>
      </c>
      <c r="R44" s="41">
        <f t="shared" si="9"/>
        <v>229.89743589743588</v>
      </c>
      <c r="S44" s="41"/>
      <c r="T44" s="4"/>
      <c r="U44" s="47"/>
      <c r="V44" s="47"/>
    </row>
    <row r="45" spans="1:22" s="7" customFormat="1" ht="14.25" x14ac:dyDescent="0.15">
      <c r="T45" s="4"/>
      <c r="U45" s="47"/>
      <c r="V45" s="47"/>
    </row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s="7" customFormat="1" ht="14.25" x14ac:dyDescent="0.15"/>
    <row r="71" spans="3:24" s="7" customFormat="1" ht="14.25" x14ac:dyDescent="0.15"/>
    <row r="72" spans="3:24" ht="14.25" x14ac:dyDescent="0.1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</sheetData>
  <mergeCells count="13">
    <mergeCell ref="A44:B44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3:B43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T29"/>
  <sheetViews>
    <sheetView workbookViewId="0">
      <selection activeCell="D7" sqref="D7"/>
    </sheetView>
  </sheetViews>
  <sheetFormatPr defaultRowHeight="13.5" x14ac:dyDescent="0.15"/>
  <cols>
    <col min="1" max="1" width="1.77734375" style="1" customWidth="1"/>
    <col min="2" max="2" width="8.21875" style="1" customWidth="1"/>
    <col min="3" max="7" width="6.6640625" style="1" customWidth="1"/>
    <col min="8" max="8" width="6.5546875" style="1" customWidth="1"/>
    <col min="9" max="15" width="6.6640625" style="1" customWidth="1"/>
    <col min="16" max="16" width="6.5546875" style="1" customWidth="1"/>
    <col min="17" max="17" width="5.5546875" style="1" customWidth="1"/>
    <col min="18" max="18" width="6.88671875" style="1" customWidth="1"/>
    <col min="19" max="19" width="4" style="1" customWidth="1"/>
    <col min="20" max="20" width="8.88671875" style="1" hidden="1" customWidth="1"/>
    <col min="21" max="16384" width="8.88671875" style="1"/>
  </cols>
  <sheetData>
    <row r="1" spans="2:18" ht="2.25" customHeight="1" x14ac:dyDescent="0.15"/>
    <row r="2" spans="2:18" ht="29.25" customHeight="1" thickBot="1" x14ac:dyDescent="0.35">
      <c r="B2" s="305" t="s">
        <v>343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24"/>
      <c r="Q2" s="24"/>
      <c r="R2" s="24"/>
    </row>
    <row r="3" spans="2:18" s="7" customFormat="1" ht="19.5" customHeight="1" thickBot="1" x14ac:dyDescent="0.2">
      <c r="B3" s="27" t="s">
        <v>16</v>
      </c>
      <c r="C3" s="55" t="s">
        <v>17</v>
      </c>
      <c r="D3" s="28" t="s">
        <v>42</v>
      </c>
      <c r="E3" s="28" t="s">
        <v>43</v>
      </c>
      <c r="F3" s="61" t="s">
        <v>41</v>
      </c>
      <c r="G3" s="66" t="s">
        <v>44</v>
      </c>
      <c r="H3" s="56" t="s">
        <v>22</v>
      </c>
      <c r="I3" s="55" t="s">
        <v>18</v>
      </c>
      <c r="J3" s="28" t="s">
        <v>39</v>
      </c>
      <c r="K3" s="28" t="s">
        <v>40</v>
      </c>
      <c r="L3" s="28" t="s">
        <v>37</v>
      </c>
      <c r="M3" s="28" t="s">
        <v>38</v>
      </c>
      <c r="N3" s="61" t="s">
        <v>36</v>
      </c>
      <c r="O3" s="66" t="s">
        <v>44</v>
      </c>
      <c r="P3" s="56" t="s">
        <v>22</v>
      </c>
    </row>
    <row r="4" spans="2:18" s="7" customFormat="1" ht="19.5" customHeight="1" thickBot="1" x14ac:dyDescent="0.2">
      <c r="B4" s="52">
        <v>400</v>
      </c>
      <c r="C4" s="62" t="e">
        <f>(#REF!)</f>
        <v>#REF!</v>
      </c>
      <c r="D4" s="53">
        <f>('3-2'!V4)</f>
        <v>0</v>
      </c>
      <c r="E4" s="53">
        <f>('3-3'!V4)</f>
        <v>0</v>
      </c>
      <c r="F4" s="63">
        <f>('3-4'!V4)</f>
        <v>0</v>
      </c>
      <c r="G4" s="67" t="e">
        <f>SUM(C4:F4)</f>
        <v>#REF!</v>
      </c>
      <c r="H4" s="57" t="e">
        <f>G4</f>
        <v>#REF!</v>
      </c>
      <c r="I4" s="62" t="e">
        <f>(#REF!)</f>
        <v>#REF!</v>
      </c>
      <c r="J4" s="53">
        <f>('3-6'!V4)</f>
        <v>0</v>
      </c>
      <c r="K4" s="53">
        <f>('3-7'!V4)</f>
        <v>0</v>
      </c>
      <c r="L4" s="53">
        <f>('3-8'!V4)</f>
        <v>0</v>
      </c>
      <c r="M4" s="53">
        <f>('3-9'!V4)</f>
        <v>0</v>
      </c>
      <c r="N4" s="63">
        <f>('3-10'!V4)</f>
        <v>0</v>
      </c>
      <c r="O4" s="67" t="e">
        <f>SUM(I4:N4)</f>
        <v>#REF!</v>
      </c>
      <c r="P4" s="57" t="e">
        <f>O4</f>
        <v>#REF!</v>
      </c>
    </row>
    <row r="5" spans="2:18" s="7" customFormat="1" ht="19.5" customHeight="1" thickBot="1" x14ac:dyDescent="0.2">
      <c r="B5" s="29">
        <v>390</v>
      </c>
      <c r="C5" s="62" t="e">
        <f>(#REF!)</f>
        <v>#REF!</v>
      </c>
      <c r="D5" s="53">
        <f>('3-2'!V5)</f>
        <v>0</v>
      </c>
      <c r="E5" s="53">
        <f>('3-3'!V5)</f>
        <v>0</v>
      </c>
      <c r="F5" s="63">
        <f>('3-4'!V5)</f>
        <v>0</v>
      </c>
      <c r="G5" s="68" t="e">
        <f t="shared" ref="G5:G27" si="0">SUM(C5:F5)</f>
        <v>#REF!</v>
      </c>
      <c r="H5" s="58" t="e">
        <f t="shared" ref="H5:H26" si="1">H4+G5</f>
        <v>#REF!</v>
      </c>
      <c r="I5" s="64" t="e">
        <f>(#REF!)</f>
        <v>#REF!</v>
      </c>
      <c r="J5" s="53">
        <f>('3-6'!V5)</f>
        <v>0</v>
      </c>
      <c r="K5" s="53">
        <f>('3-7'!V5)</f>
        <v>0</v>
      </c>
      <c r="L5" s="53">
        <f>('3-8'!V5)</f>
        <v>0</v>
      </c>
      <c r="M5" s="53">
        <f>('3-9'!V5)</f>
        <v>0</v>
      </c>
      <c r="N5" s="63">
        <f>('3-10'!V5)</f>
        <v>0</v>
      </c>
      <c r="O5" s="68" t="e">
        <f t="shared" ref="O5:O27" si="2">SUM(I5:N5)</f>
        <v>#REF!</v>
      </c>
      <c r="P5" s="58" t="e">
        <f t="shared" ref="P5:P26" si="3">P4+O5</f>
        <v>#REF!</v>
      </c>
    </row>
    <row r="6" spans="2:18" s="7" customFormat="1" ht="19.5" customHeight="1" thickBot="1" x14ac:dyDescent="0.2">
      <c r="B6" s="29">
        <v>380</v>
      </c>
      <c r="C6" s="62" t="e">
        <f>(#REF!)</f>
        <v>#REF!</v>
      </c>
      <c r="D6" s="53">
        <f>('3-2'!V6)</f>
        <v>0</v>
      </c>
      <c r="E6" s="53">
        <f>('3-3'!V6)</f>
        <v>0</v>
      </c>
      <c r="F6" s="63">
        <f>('3-4'!V6)</f>
        <v>0</v>
      </c>
      <c r="G6" s="68" t="e">
        <f t="shared" si="0"/>
        <v>#REF!</v>
      </c>
      <c r="H6" s="58" t="e">
        <f t="shared" si="1"/>
        <v>#REF!</v>
      </c>
      <c r="I6" s="64" t="e">
        <f>(#REF!)</f>
        <v>#REF!</v>
      </c>
      <c r="J6" s="53">
        <f>('3-6'!V6)</f>
        <v>0</v>
      </c>
      <c r="K6" s="53">
        <f>('3-7'!V6)</f>
        <v>0</v>
      </c>
      <c r="L6" s="53">
        <f>('3-8'!V6)</f>
        <v>0</v>
      </c>
      <c r="M6" s="53">
        <f>('3-9'!V6)</f>
        <v>0</v>
      </c>
      <c r="N6" s="63">
        <f>('3-10'!V6)</f>
        <v>2</v>
      </c>
      <c r="O6" s="68" t="e">
        <f t="shared" si="2"/>
        <v>#REF!</v>
      </c>
      <c r="P6" s="58" t="e">
        <f t="shared" si="3"/>
        <v>#REF!</v>
      </c>
    </row>
    <row r="7" spans="2:18" s="7" customFormat="1" ht="19.5" customHeight="1" thickBot="1" x14ac:dyDescent="0.2">
      <c r="B7" s="29">
        <v>370</v>
      </c>
      <c r="C7" s="62" t="e">
        <f>(#REF!)</f>
        <v>#REF!</v>
      </c>
      <c r="D7" s="53">
        <f>('3-2'!V7)</f>
        <v>2</v>
      </c>
      <c r="E7" s="53">
        <f>('3-3'!V7)</f>
        <v>0</v>
      </c>
      <c r="F7" s="63">
        <f>('3-4'!V7)</f>
        <v>1</v>
      </c>
      <c r="G7" s="68" t="e">
        <f t="shared" si="0"/>
        <v>#REF!</v>
      </c>
      <c r="H7" s="58" t="e">
        <f t="shared" si="1"/>
        <v>#REF!</v>
      </c>
      <c r="I7" s="64" t="e">
        <f>(#REF!)</f>
        <v>#REF!</v>
      </c>
      <c r="J7" s="53">
        <f>('3-6'!V7)</f>
        <v>1</v>
      </c>
      <c r="K7" s="53">
        <f>('3-7'!V7)</f>
        <v>0</v>
      </c>
      <c r="L7" s="53">
        <f>('3-8'!V7)</f>
        <v>0</v>
      </c>
      <c r="M7" s="53">
        <f>('3-9'!V7)</f>
        <v>1</v>
      </c>
      <c r="N7" s="63">
        <f>('3-10'!V7)</f>
        <v>0</v>
      </c>
      <c r="O7" s="68" t="e">
        <f t="shared" si="2"/>
        <v>#REF!</v>
      </c>
      <c r="P7" s="58" t="e">
        <f t="shared" si="3"/>
        <v>#REF!</v>
      </c>
    </row>
    <row r="8" spans="2:18" s="7" customFormat="1" ht="19.5" customHeight="1" thickBot="1" x14ac:dyDescent="0.2">
      <c r="B8" s="29">
        <v>360</v>
      </c>
      <c r="C8" s="62" t="e">
        <f>(#REF!)</f>
        <v>#REF!</v>
      </c>
      <c r="D8" s="53">
        <f>('3-2'!V8)</f>
        <v>1</v>
      </c>
      <c r="E8" s="53">
        <f>('3-3'!V8)</f>
        <v>1</v>
      </c>
      <c r="F8" s="63">
        <f>('3-4'!V8)</f>
        <v>0</v>
      </c>
      <c r="G8" s="68" t="e">
        <f t="shared" si="0"/>
        <v>#REF!</v>
      </c>
      <c r="H8" s="58" t="e">
        <f t="shared" si="1"/>
        <v>#REF!</v>
      </c>
      <c r="I8" s="64" t="e">
        <f>(#REF!)</f>
        <v>#REF!</v>
      </c>
      <c r="J8" s="53">
        <f>('3-6'!V8)</f>
        <v>2</v>
      </c>
      <c r="K8" s="53">
        <f>('3-7'!V8)</f>
        <v>1</v>
      </c>
      <c r="L8" s="53">
        <f>('3-8'!V8)</f>
        <v>2</v>
      </c>
      <c r="M8" s="53">
        <f>('3-9'!V8)</f>
        <v>1</v>
      </c>
      <c r="N8" s="63">
        <f>('3-10'!V8)</f>
        <v>0</v>
      </c>
      <c r="O8" s="68" t="e">
        <f t="shared" si="2"/>
        <v>#REF!</v>
      </c>
      <c r="P8" s="58" t="e">
        <f t="shared" si="3"/>
        <v>#REF!</v>
      </c>
    </row>
    <row r="9" spans="2:18" s="7" customFormat="1" ht="19.5" customHeight="1" thickBot="1" x14ac:dyDescent="0.2">
      <c r="B9" s="30">
        <v>350</v>
      </c>
      <c r="C9" s="62" t="e">
        <f>(#REF!)</f>
        <v>#REF!</v>
      </c>
      <c r="D9" s="53">
        <f>('3-2'!V9)</f>
        <v>2</v>
      </c>
      <c r="E9" s="53">
        <f>('3-3'!V9)</f>
        <v>0</v>
      </c>
      <c r="F9" s="63">
        <f>('3-4'!V9)</f>
        <v>1</v>
      </c>
      <c r="G9" s="69" t="e">
        <f t="shared" si="0"/>
        <v>#REF!</v>
      </c>
      <c r="H9" s="59" t="e">
        <f t="shared" si="1"/>
        <v>#REF!</v>
      </c>
      <c r="I9" s="31" t="e">
        <f>(#REF!)</f>
        <v>#REF!</v>
      </c>
      <c r="J9" s="53">
        <f>('3-6'!V9)</f>
        <v>1</v>
      </c>
      <c r="K9" s="53">
        <f>('3-7'!V9)</f>
        <v>1</v>
      </c>
      <c r="L9" s="53">
        <f>('3-8'!V9)</f>
        <v>0</v>
      </c>
      <c r="M9" s="53">
        <f>('3-9'!V9)</f>
        <v>1</v>
      </c>
      <c r="N9" s="63">
        <f>('3-10'!V9)</f>
        <v>1</v>
      </c>
      <c r="O9" s="69" t="e">
        <f t="shared" si="2"/>
        <v>#REF!</v>
      </c>
      <c r="P9" s="59" t="e">
        <f t="shared" si="3"/>
        <v>#REF!</v>
      </c>
    </row>
    <row r="10" spans="2:18" s="7" customFormat="1" ht="19.5" customHeight="1" thickBot="1" x14ac:dyDescent="0.2">
      <c r="B10" s="81">
        <v>340</v>
      </c>
      <c r="C10" s="82" t="e">
        <f>(#REF!)</f>
        <v>#REF!</v>
      </c>
      <c r="D10" s="83">
        <f>('3-2'!V10)</f>
        <v>0</v>
      </c>
      <c r="E10" s="83">
        <f>('3-3'!V10)</f>
        <v>2</v>
      </c>
      <c r="F10" s="84">
        <f>('3-4'!V10)</f>
        <v>1</v>
      </c>
      <c r="G10" s="67" t="e">
        <f t="shared" si="0"/>
        <v>#REF!</v>
      </c>
      <c r="H10" s="57" t="e">
        <f t="shared" si="1"/>
        <v>#REF!</v>
      </c>
      <c r="I10" s="82" t="e">
        <f>(#REF!)</f>
        <v>#REF!</v>
      </c>
      <c r="J10" s="83">
        <f>('3-6'!V10)</f>
        <v>0</v>
      </c>
      <c r="K10" s="83">
        <f>('3-7'!V10)</f>
        <v>1</v>
      </c>
      <c r="L10" s="83">
        <f>('3-8'!V10)</f>
        <v>0</v>
      </c>
      <c r="M10" s="83">
        <f>('3-9'!V10)</f>
        <v>0</v>
      </c>
      <c r="N10" s="84">
        <f>('3-10'!V10)</f>
        <v>1</v>
      </c>
      <c r="O10" s="67" t="e">
        <f t="shared" si="2"/>
        <v>#REF!</v>
      </c>
      <c r="P10" s="57" t="e">
        <f t="shared" si="3"/>
        <v>#REF!</v>
      </c>
    </row>
    <row r="11" spans="2:18" s="7" customFormat="1" ht="19.5" customHeight="1" thickBot="1" x14ac:dyDescent="0.2">
      <c r="B11" s="85">
        <v>330</v>
      </c>
      <c r="C11" s="82" t="e">
        <f>(#REF!)</f>
        <v>#REF!</v>
      </c>
      <c r="D11" s="83">
        <f>('3-2'!V11)</f>
        <v>2</v>
      </c>
      <c r="E11" s="83">
        <f>('3-3'!V11)</f>
        <v>0</v>
      </c>
      <c r="F11" s="84">
        <f>('3-4'!V11)</f>
        <v>0</v>
      </c>
      <c r="G11" s="68" t="e">
        <f t="shared" si="0"/>
        <v>#REF!</v>
      </c>
      <c r="H11" s="58" t="e">
        <f t="shared" si="1"/>
        <v>#REF!</v>
      </c>
      <c r="I11" s="86" t="e">
        <f>(#REF!)</f>
        <v>#REF!</v>
      </c>
      <c r="J11" s="83">
        <f>('3-6'!V11)</f>
        <v>1</v>
      </c>
      <c r="K11" s="83">
        <f>('3-7'!V11)</f>
        <v>0</v>
      </c>
      <c r="L11" s="83">
        <f>('3-8'!V11)</f>
        <v>0</v>
      </c>
      <c r="M11" s="83">
        <f>('3-9'!V11)</f>
        <v>1</v>
      </c>
      <c r="N11" s="84">
        <f>('3-10'!V11)</f>
        <v>1</v>
      </c>
      <c r="O11" s="68" t="e">
        <f t="shared" si="2"/>
        <v>#REF!</v>
      </c>
      <c r="P11" s="58" t="e">
        <f t="shared" si="3"/>
        <v>#REF!</v>
      </c>
    </row>
    <row r="12" spans="2:18" s="7" customFormat="1" ht="19.5" customHeight="1" thickBot="1" x14ac:dyDescent="0.2">
      <c r="B12" s="85">
        <v>320</v>
      </c>
      <c r="C12" s="82" t="e">
        <f>(#REF!)</f>
        <v>#REF!</v>
      </c>
      <c r="D12" s="83">
        <f>('3-2'!V12)</f>
        <v>1</v>
      </c>
      <c r="E12" s="83">
        <f>('3-3'!V12)</f>
        <v>2</v>
      </c>
      <c r="F12" s="84">
        <f>('3-4'!V12)</f>
        <v>3</v>
      </c>
      <c r="G12" s="68" t="e">
        <f t="shared" si="0"/>
        <v>#REF!</v>
      </c>
      <c r="H12" s="58" t="e">
        <f t="shared" si="1"/>
        <v>#REF!</v>
      </c>
      <c r="I12" s="86" t="e">
        <f>(#REF!)</f>
        <v>#REF!</v>
      </c>
      <c r="J12" s="83">
        <f>('3-6'!V12)</f>
        <v>0</v>
      </c>
      <c r="K12" s="83">
        <f>('3-7'!V12)</f>
        <v>2</v>
      </c>
      <c r="L12" s="83">
        <f>('3-8'!V12)</f>
        <v>2</v>
      </c>
      <c r="M12" s="83">
        <f>('3-9'!V12)</f>
        <v>2</v>
      </c>
      <c r="N12" s="84">
        <f>('3-10'!V12)</f>
        <v>3</v>
      </c>
      <c r="O12" s="68" t="e">
        <f t="shared" si="2"/>
        <v>#REF!</v>
      </c>
      <c r="P12" s="58" t="e">
        <f t="shared" si="3"/>
        <v>#REF!</v>
      </c>
    </row>
    <row r="13" spans="2:18" s="7" customFormat="1" ht="19.5" customHeight="1" thickBot="1" x14ac:dyDescent="0.2">
      <c r="B13" s="85">
        <v>310</v>
      </c>
      <c r="C13" s="82" t="e">
        <f>(#REF!)</f>
        <v>#REF!</v>
      </c>
      <c r="D13" s="83">
        <f>('3-2'!V13)</f>
        <v>0</v>
      </c>
      <c r="E13" s="83">
        <f>('3-3'!V13)</f>
        <v>0</v>
      </c>
      <c r="F13" s="84">
        <f>('3-4'!V13)</f>
        <v>2</v>
      </c>
      <c r="G13" s="68" t="e">
        <f t="shared" si="0"/>
        <v>#REF!</v>
      </c>
      <c r="H13" s="58" t="e">
        <f t="shared" si="1"/>
        <v>#REF!</v>
      </c>
      <c r="I13" s="86" t="e">
        <f>(#REF!)</f>
        <v>#REF!</v>
      </c>
      <c r="J13" s="83">
        <f>('3-6'!V13)</f>
        <v>0</v>
      </c>
      <c r="K13" s="83">
        <f>('3-7'!V13)</f>
        <v>1</v>
      </c>
      <c r="L13" s="83">
        <f>('3-8'!V13)</f>
        <v>2</v>
      </c>
      <c r="M13" s="83">
        <f>('3-9'!V13)</f>
        <v>2</v>
      </c>
      <c r="N13" s="84">
        <f>('3-10'!V13)</f>
        <v>2</v>
      </c>
      <c r="O13" s="68" t="e">
        <f t="shared" si="2"/>
        <v>#REF!</v>
      </c>
      <c r="P13" s="58" t="e">
        <f t="shared" si="3"/>
        <v>#REF!</v>
      </c>
    </row>
    <row r="14" spans="2:18" s="7" customFormat="1" ht="19.5" customHeight="1" thickBot="1" x14ac:dyDescent="0.2">
      <c r="B14" s="87">
        <v>300</v>
      </c>
      <c r="C14" s="82" t="e">
        <f>(#REF!)</f>
        <v>#REF!</v>
      </c>
      <c r="D14" s="83">
        <f>('3-2'!V14)</f>
        <v>4</v>
      </c>
      <c r="E14" s="83">
        <f>('3-3'!V14)</f>
        <v>4</v>
      </c>
      <c r="F14" s="84">
        <f>('3-4'!V14)</f>
        <v>4</v>
      </c>
      <c r="G14" s="69" t="e">
        <f t="shared" si="0"/>
        <v>#REF!</v>
      </c>
      <c r="H14" s="59" t="e">
        <f t="shared" si="1"/>
        <v>#REF!</v>
      </c>
      <c r="I14" s="88" t="e">
        <f>(#REF!)</f>
        <v>#REF!</v>
      </c>
      <c r="J14" s="83">
        <f>('3-6'!V14)</f>
        <v>2</v>
      </c>
      <c r="K14" s="83">
        <f>('3-7'!V14)</f>
        <v>0</v>
      </c>
      <c r="L14" s="83">
        <f>('3-8'!V14)</f>
        <v>3</v>
      </c>
      <c r="M14" s="83">
        <f>('3-9'!V14)</f>
        <v>2</v>
      </c>
      <c r="N14" s="84">
        <f>('3-10'!V14)</f>
        <v>1</v>
      </c>
      <c r="O14" s="69" t="e">
        <f t="shared" si="2"/>
        <v>#REF!</v>
      </c>
      <c r="P14" s="59" t="e">
        <f t="shared" si="3"/>
        <v>#REF!</v>
      </c>
    </row>
    <row r="15" spans="2:18" s="7" customFormat="1" ht="19.5" customHeight="1" thickBot="1" x14ac:dyDescent="0.2">
      <c r="B15" s="73">
        <v>290</v>
      </c>
      <c r="C15" s="74" t="e">
        <f>(#REF!)</f>
        <v>#REF!</v>
      </c>
      <c r="D15" s="75">
        <f>('3-2'!V15)</f>
        <v>2</v>
      </c>
      <c r="E15" s="75">
        <f>('3-3'!V15)</f>
        <v>4</v>
      </c>
      <c r="F15" s="76">
        <f>('3-4'!V15)</f>
        <v>1</v>
      </c>
      <c r="G15" s="67" t="e">
        <f t="shared" si="0"/>
        <v>#REF!</v>
      </c>
      <c r="H15" s="57" t="e">
        <f t="shared" si="1"/>
        <v>#REF!</v>
      </c>
      <c r="I15" s="74" t="e">
        <f>(#REF!)</f>
        <v>#REF!</v>
      </c>
      <c r="J15" s="75">
        <f>('3-6'!V15)</f>
        <v>2</v>
      </c>
      <c r="K15" s="75">
        <f>('3-7'!V15)</f>
        <v>3</v>
      </c>
      <c r="L15" s="75">
        <f>('3-8'!V15)</f>
        <v>2</v>
      </c>
      <c r="M15" s="75">
        <f>('3-9'!V15)</f>
        <v>1</v>
      </c>
      <c r="N15" s="76">
        <f>('3-10'!V15)</f>
        <v>1</v>
      </c>
      <c r="O15" s="67" t="e">
        <f t="shared" si="2"/>
        <v>#REF!</v>
      </c>
      <c r="P15" s="57" t="e">
        <f t="shared" si="3"/>
        <v>#REF!</v>
      </c>
    </row>
    <row r="16" spans="2:18" s="7" customFormat="1" ht="19.5" customHeight="1" thickBot="1" x14ac:dyDescent="0.2">
      <c r="B16" s="77">
        <v>280</v>
      </c>
      <c r="C16" s="74" t="e">
        <f>(#REF!)</f>
        <v>#REF!</v>
      </c>
      <c r="D16" s="75">
        <f>('3-2'!V16)</f>
        <v>1</v>
      </c>
      <c r="E16" s="75">
        <f>('3-3'!V16)</f>
        <v>2</v>
      </c>
      <c r="F16" s="76">
        <f>('3-4'!V16)</f>
        <v>4</v>
      </c>
      <c r="G16" s="68" t="e">
        <f t="shared" si="0"/>
        <v>#REF!</v>
      </c>
      <c r="H16" s="58" t="e">
        <f t="shared" si="1"/>
        <v>#REF!</v>
      </c>
      <c r="I16" s="78" t="e">
        <f>(#REF!)</f>
        <v>#REF!</v>
      </c>
      <c r="J16" s="75">
        <f>('3-6'!V16)</f>
        <v>1</v>
      </c>
      <c r="K16" s="75">
        <f>('3-7'!V16)</f>
        <v>0</v>
      </c>
      <c r="L16" s="75">
        <f>('3-8'!V16)</f>
        <v>0</v>
      </c>
      <c r="M16" s="75">
        <f>('3-9'!V16)</f>
        <v>3</v>
      </c>
      <c r="N16" s="76">
        <f>('3-10'!V16)</f>
        <v>0</v>
      </c>
      <c r="O16" s="68" t="e">
        <f t="shared" si="2"/>
        <v>#REF!</v>
      </c>
      <c r="P16" s="58" t="e">
        <f t="shared" si="3"/>
        <v>#REF!</v>
      </c>
    </row>
    <row r="17" spans="2:16" s="7" customFormat="1" ht="19.5" customHeight="1" thickBot="1" x14ac:dyDescent="0.2">
      <c r="B17" s="77">
        <v>270</v>
      </c>
      <c r="C17" s="74" t="e">
        <f>(#REF!)</f>
        <v>#REF!</v>
      </c>
      <c r="D17" s="75">
        <f>('3-2'!V17)</f>
        <v>2</v>
      </c>
      <c r="E17" s="75">
        <f>('3-3'!V17)</f>
        <v>4</v>
      </c>
      <c r="F17" s="76">
        <f>('3-4'!V17)</f>
        <v>0</v>
      </c>
      <c r="G17" s="68" t="e">
        <f t="shared" si="0"/>
        <v>#REF!</v>
      </c>
      <c r="H17" s="58" t="e">
        <f t="shared" si="1"/>
        <v>#REF!</v>
      </c>
      <c r="I17" s="78" t="e">
        <f>(#REF!)</f>
        <v>#REF!</v>
      </c>
      <c r="J17" s="75">
        <f>('3-6'!V17)</f>
        <v>5</v>
      </c>
      <c r="K17" s="75">
        <f>('3-7'!V17)</f>
        <v>1</v>
      </c>
      <c r="L17" s="75">
        <f>('3-8'!V17)</f>
        <v>3</v>
      </c>
      <c r="M17" s="75">
        <f>('3-9'!V17)</f>
        <v>2</v>
      </c>
      <c r="N17" s="76">
        <f>('3-10'!V17)</f>
        <v>1</v>
      </c>
      <c r="O17" s="68" t="e">
        <f t="shared" si="2"/>
        <v>#REF!</v>
      </c>
      <c r="P17" s="58" t="e">
        <f t="shared" si="3"/>
        <v>#REF!</v>
      </c>
    </row>
    <row r="18" spans="2:16" s="7" customFormat="1" ht="19.5" customHeight="1" thickBot="1" x14ac:dyDescent="0.2">
      <c r="B18" s="77">
        <v>260</v>
      </c>
      <c r="C18" s="74" t="e">
        <f>(#REF!)</f>
        <v>#REF!</v>
      </c>
      <c r="D18" s="75">
        <f>('3-2'!V18)</f>
        <v>2</v>
      </c>
      <c r="E18" s="75">
        <f>('3-3'!V18)</f>
        <v>3</v>
      </c>
      <c r="F18" s="76">
        <f>('3-4'!V18)</f>
        <v>1</v>
      </c>
      <c r="G18" s="68" t="e">
        <f t="shared" si="0"/>
        <v>#REF!</v>
      </c>
      <c r="H18" s="58" t="e">
        <f t="shared" si="1"/>
        <v>#REF!</v>
      </c>
      <c r="I18" s="78" t="e">
        <f>(#REF!)</f>
        <v>#REF!</v>
      </c>
      <c r="J18" s="75">
        <f>('3-6'!V18)</f>
        <v>3</v>
      </c>
      <c r="K18" s="75">
        <f>('3-7'!V18)</f>
        <v>4</v>
      </c>
      <c r="L18" s="75">
        <f>('3-8'!V18)</f>
        <v>0</v>
      </c>
      <c r="M18" s="75">
        <f>('3-9'!V18)</f>
        <v>1</v>
      </c>
      <c r="N18" s="76">
        <f>('3-10'!V18)</f>
        <v>2</v>
      </c>
      <c r="O18" s="68" t="e">
        <f t="shared" si="2"/>
        <v>#REF!</v>
      </c>
      <c r="P18" s="58" t="e">
        <f t="shared" si="3"/>
        <v>#REF!</v>
      </c>
    </row>
    <row r="19" spans="2:16" s="7" customFormat="1" ht="19.5" customHeight="1" thickBot="1" x14ac:dyDescent="0.2">
      <c r="B19" s="79">
        <v>250</v>
      </c>
      <c r="C19" s="74" t="e">
        <f>(#REF!)</f>
        <v>#REF!</v>
      </c>
      <c r="D19" s="75">
        <f>('3-2'!V19)</f>
        <v>4</v>
      </c>
      <c r="E19" s="75">
        <f>('3-3'!V19)</f>
        <v>1</v>
      </c>
      <c r="F19" s="76">
        <f>('3-4'!V19)</f>
        <v>3</v>
      </c>
      <c r="G19" s="69" t="e">
        <f t="shared" si="0"/>
        <v>#REF!</v>
      </c>
      <c r="H19" s="59" t="e">
        <f t="shared" si="1"/>
        <v>#REF!</v>
      </c>
      <c r="I19" s="80" t="e">
        <f>(#REF!)</f>
        <v>#REF!</v>
      </c>
      <c r="J19" s="75">
        <f>('3-6'!V19)</f>
        <v>0</v>
      </c>
      <c r="K19" s="75">
        <f>('3-7'!V19)</f>
        <v>3</v>
      </c>
      <c r="L19" s="75">
        <f>('3-8'!V19)</f>
        <v>0</v>
      </c>
      <c r="M19" s="75">
        <f>('3-9'!V19)</f>
        <v>1</v>
      </c>
      <c r="N19" s="76">
        <f>('3-10'!V19)</f>
        <v>2</v>
      </c>
      <c r="O19" s="69" t="e">
        <f t="shared" si="2"/>
        <v>#REF!</v>
      </c>
      <c r="P19" s="59" t="e">
        <f t="shared" si="3"/>
        <v>#REF!</v>
      </c>
    </row>
    <row r="20" spans="2:16" s="7" customFormat="1" ht="19.5" customHeight="1" thickBot="1" x14ac:dyDescent="0.2">
      <c r="B20" s="89">
        <v>240</v>
      </c>
      <c r="C20" s="90" t="e">
        <f>(#REF!)</f>
        <v>#REF!</v>
      </c>
      <c r="D20" s="91">
        <f>('3-2'!V20)</f>
        <v>1</v>
      </c>
      <c r="E20" s="91">
        <f>('3-3'!V20)</f>
        <v>2</v>
      </c>
      <c r="F20" s="92">
        <f>('3-4'!V20)</f>
        <v>2</v>
      </c>
      <c r="G20" s="67" t="e">
        <f t="shared" si="0"/>
        <v>#REF!</v>
      </c>
      <c r="H20" s="57" t="e">
        <f t="shared" si="1"/>
        <v>#REF!</v>
      </c>
      <c r="I20" s="90" t="e">
        <f>(#REF!)</f>
        <v>#REF!</v>
      </c>
      <c r="J20" s="91">
        <f>('3-6'!V20)</f>
        <v>2</v>
      </c>
      <c r="K20" s="91">
        <f>('3-7'!V20)</f>
        <v>2</v>
      </c>
      <c r="L20" s="91">
        <f>('3-8'!V20)</f>
        <v>3</v>
      </c>
      <c r="M20" s="91">
        <f>('3-9'!V20)</f>
        <v>2</v>
      </c>
      <c r="N20" s="92">
        <f>('3-10'!V20)</f>
        <v>4</v>
      </c>
      <c r="O20" s="67" t="e">
        <f t="shared" si="2"/>
        <v>#REF!</v>
      </c>
      <c r="P20" s="57" t="e">
        <f t="shared" si="3"/>
        <v>#REF!</v>
      </c>
    </row>
    <row r="21" spans="2:16" s="7" customFormat="1" ht="19.5" customHeight="1" thickBot="1" x14ac:dyDescent="0.2">
      <c r="B21" s="93">
        <v>230</v>
      </c>
      <c r="C21" s="90" t="e">
        <f>(#REF!)</f>
        <v>#REF!</v>
      </c>
      <c r="D21" s="91">
        <f>('3-2'!V21)</f>
        <v>2</v>
      </c>
      <c r="E21" s="91">
        <f>('3-3'!V21)</f>
        <v>2</v>
      </c>
      <c r="F21" s="92">
        <f>('3-4'!V21)</f>
        <v>2</v>
      </c>
      <c r="G21" s="68" t="e">
        <f t="shared" si="0"/>
        <v>#REF!</v>
      </c>
      <c r="H21" s="58" t="e">
        <f t="shared" si="1"/>
        <v>#REF!</v>
      </c>
      <c r="I21" s="94" t="e">
        <f>(#REF!)</f>
        <v>#REF!</v>
      </c>
      <c r="J21" s="91">
        <f>('3-6'!V21)</f>
        <v>2</v>
      </c>
      <c r="K21" s="91">
        <f>('3-7'!V21)</f>
        <v>2</v>
      </c>
      <c r="L21" s="91">
        <f>('3-8'!V21)</f>
        <v>1</v>
      </c>
      <c r="M21" s="91">
        <f>('3-9'!V21)</f>
        <v>1</v>
      </c>
      <c r="N21" s="92">
        <f>('3-10'!V21)</f>
        <v>1</v>
      </c>
      <c r="O21" s="68" t="e">
        <f t="shared" si="2"/>
        <v>#REF!</v>
      </c>
      <c r="P21" s="58" t="e">
        <f t="shared" si="3"/>
        <v>#REF!</v>
      </c>
    </row>
    <row r="22" spans="2:16" s="7" customFormat="1" ht="19.5" customHeight="1" thickBot="1" x14ac:dyDescent="0.2">
      <c r="B22" s="93">
        <v>220</v>
      </c>
      <c r="C22" s="90" t="e">
        <f>(#REF!)</f>
        <v>#REF!</v>
      </c>
      <c r="D22" s="91">
        <f>('3-2'!V22)</f>
        <v>5</v>
      </c>
      <c r="E22" s="91">
        <f>('3-3'!V22)</f>
        <v>2</v>
      </c>
      <c r="F22" s="92">
        <f>('3-4'!V22)</f>
        <v>1</v>
      </c>
      <c r="G22" s="68" t="e">
        <f t="shared" si="0"/>
        <v>#REF!</v>
      </c>
      <c r="H22" s="58" t="e">
        <f t="shared" si="1"/>
        <v>#REF!</v>
      </c>
      <c r="I22" s="94" t="e">
        <f>(#REF!)</f>
        <v>#REF!</v>
      </c>
      <c r="J22" s="91">
        <f>('3-6'!V22)</f>
        <v>1</v>
      </c>
      <c r="K22" s="91">
        <f>('3-7'!V22)</f>
        <v>4</v>
      </c>
      <c r="L22" s="91">
        <f>('3-8'!V22)</f>
        <v>2</v>
      </c>
      <c r="M22" s="91">
        <f>('3-9'!V22)</f>
        <v>1</v>
      </c>
      <c r="N22" s="92">
        <f>('3-10'!V22)</f>
        <v>1</v>
      </c>
      <c r="O22" s="68" t="e">
        <f t="shared" si="2"/>
        <v>#REF!</v>
      </c>
      <c r="P22" s="58" t="e">
        <f t="shared" si="3"/>
        <v>#REF!</v>
      </c>
    </row>
    <row r="23" spans="2:16" s="7" customFormat="1" ht="19.5" customHeight="1" thickBot="1" x14ac:dyDescent="0.2">
      <c r="B23" s="93">
        <v>210</v>
      </c>
      <c r="C23" s="90" t="e">
        <f>(#REF!)</f>
        <v>#REF!</v>
      </c>
      <c r="D23" s="91">
        <f>('3-2'!V23)</f>
        <v>3</v>
      </c>
      <c r="E23" s="91">
        <f>('3-3'!V23)</f>
        <v>0</v>
      </c>
      <c r="F23" s="92">
        <f>('3-4'!V23)</f>
        <v>0</v>
      </c>
      <c r="G23" s="68" t="e">
        <f t="shared" si="0"/>
        <v>#REF!</v>
      </c>
      <c r="H23" s="58" t="e">
        <f t="shared" si="1"/>
        <v>#REF!</v>
      </c>
      <c r="I23" s="94" t="e">
        <f>(#REF!)</f>
        <v>#REF!</v>
      </c>
      <c r="J23" s="91">
        <f>('3-6'!V23)</f>
        <v>0</v>
      </c>
      <c r="K23" s="91">
        <f>('3-7'!V23)</f>
        <v>1</v>
      </c>
      <c r="L23" s="91">
        <f>('3-8'!V23)</f>
        <v>0</v>
      </c>
      <c r="M23" s="91">
        <f>('3-9'!V23)</f>
        <v>1</v>
      </c>
      <c r="N23" s="92">
        <f>('3-10'!V23)</f>
        <v>0</v>
      </c>
      <c r="O23" s="68" t="e">
        <f t="shared" si="2"/>
        <v>#REF!</v>
      </c>
      <c r="P23" s="58" t="e">
        <f t="shared" si="3"/>
        <v>#REF!</v>
      </c>
    </row>
    <row r="24" spans="2:16" s="7" customFormat="1" ht="19.5" customHeight="1" thickBot="1" x14ac:dyDescent="0.2">
      <c r="B24" s="95">
        <v>200</v>
      </c>
      <c r="C24" s="90" t="e">
        <f>(#REF!)</f>
        <v>#REF!</v>
      </c>
      <c r="D24" s="91">
        <f>('3-2'!V24)</f>
        <v>0</v>
      </c>
      <c r="E24" s="91">
        <f>('3-3'!V24)</f>
        <v>1</v>
      </c>
      <c r="F24" s="92">
        <f>('3-4'!V24)</f>
        <v>2</v>
      </c>
      <c r="G24" s="69" t="e">
        <f t="shared" si="0"/>
        <v>#REF!</v>
      </c>
      <c r="H24" s="59" t="e">
        <f t="shared" si="1"/>
        <v>#REF!</v>
      </c>
      <c r="I24" s="96" t="e">
        <f>(#REF!)</f>
        <v>#REF!</v>
      </c>
      <c r="J24" s="91">
        <f>('3-6'!V24)</f>
        <v>1</v>
      </c>
      <c r="K24" s="91">
        <f>('3-7'!V24)</f>
        <v>2</v>
      </c>
      <c r="L24" s="91">
        <f>('3-8'!V24)</f>
        <v>4</v>
      </c>
      <c r="M24" s="91">
        <f>('3-9'!V24)</f>
        <v>1</v>
      </c>
      <c r="N24" s="92">
        <f>('3-10'!V24)</f>
        <v>3</v>
      </c>
      <c r="O24" s="69" t="e">
        <f t="shared" si="2"/>
        <v>#REF!</v>
      </c>
      <c r="P24" s="59" t="e">
        <f t="shared" si="3"/>
        <v>#REF!</v>
      </c>
    </row>
    <row r="25" spans="2:16" s="7" customFormat="1" ht="19.5" customHeight="1" thickBot="1" x14ac:dyDescent="0.2">
      <c r="B25" s="97">
        <v>190</v>
      </c>
      <c r="C25" s="90" t="e">
        <f>(#REF!)</f>
        <v>#REF!</v>
      </c>
      <c r="D25" s="91">
        <f>('3-2'!V25)</f>
        <v>1</v>
      </c>
      <c r="E25" s="91">
        <f>('3-3'!V25)</f>
        <v>1</v>
      </c>
      <c r="F25" s="92">
        <f>('3-4'!V25)</f>
        <v>0</v>
      </c>
      <c r="G25" s="67" t="e">
        <f t="shared" si="0"/>
        <v>#REF!</v>
      </c>
      <c r="H25" s="57" t="e">
        <f t="shared" si="1"/>
        <v>#REF!</v>
      </c>
      <c r="I25" s="90" t="e">
        <f>(#REF!)</f>
        <v>#REF!</v>
      </c>
      <c r="J25" s="91">
        <f>('3-6'!V25)</f>
        <v>2</v>
      </c>
      <c r="K25" s="91">
        <f>('3-7'!V25)</f>
        <v>0</v>
      </c>
      <c r="L25" s="91">
        <f>('3-8'!V25)</f>
        <v>3</v>
      </c>
      <c r="M25" s="91">
        <f>('3-9'!V25)</f>
        <v>1</v>
      </c>
      <c r="N25" s="92">
        <f>('3-10'!V25)</f>
        <v>1</v>
      </c>
      <c r="O25" s="67" t="e">
        <f t="shared" si="2"/>
        <v>#REF!</v>
      </c>
      <c r="P25" s="57" t="e">
        <f t="shared" si="3"/>
        <v>#REF!</v>
      </c>
    </row>
    <row r="26" spans="2:16" s="7" customFormat="1" ht="19.5" customHeight="1" thickBot="1" x14ac:dyDescent="0.2">
      <c r="B26" s="54" t="s">
        <v>19</v>
      </c>
      <c r="C26" s="62" t="e">
        <f>(#REF!)</f>
        <v>#REF!</v>
      </c>
      <c r="D26" s="53">
        <f>('3-2'!V26)</f>
        <v>4</v>
      </c>
      <c r="E26" s="53">
        <f>('3-3'!V26)</f>
        <v>8</v>
      </c>
      <c r="F26" s="63">
        <f>('3-4'!V26)</f>
        <v>11</v>
      </c>
      <c r="G26" s="69" t="e">
        <f t="shared" si="0"/>
        <v>#REF!</v>
      </c>
      <c r="H26" s="59" t="e">
        <f t="shared" si="1"/>
        <v>#REF!</v>
      </c>
      <c r="I26" s="32" t="e">
        <f>(#REF!)</f>
        <v>#REF!</v>
      </c>
      <c r="J26" s="53">
        <f>('3-6'!V26)</f>
        <v>10</v>
      </c>
      <c r="K26" s="53">
        <f>('3-7'!V26)</f>
        <v>9</v>
      </c>
      <c r="L26" s="53">
        <f>('3-8'!V26)</f>
        <v>10</v>
      </c>
      <c r="M26" s="53">
        <f>('3-9'!V26)</f>
        <v>12</v>
      </c>
      <c r="N26" s="63">
        <f>('3-10'!V26)</f>
        <v>10</v>
      </c>
      <c r="O26" s="69" t="e">
        <f t="shared" si="2"/>
        <v>#REF!</v>
      </c>
      <c r="P26" s="59" t="e">
        <f t="shared" si="3"/>
        <v>#REF!</v>
      </c>
    </row>
    <row r="27" spans="2:16" s="7" customFormat="1" ht="19.5" customHeight="1" thickBot="1" x14ac:dyDescent="0.2">
      <c r="B27" s="25" t="s">
        <v>21</v>
      </c>
      <c r="C27" s="60" t="e">
        <f>SUM(C4:C26)</f>
        <v>#REF!</v>
      </c>
      <c r="D27" s="26">
        <f>SUM(D4:D26)</f>
        <v>39</v>
      </c>
      <c r="E27" s="26">
        <f>SUM(E4:E26)</f>
        <v>39</v>
      </c>
      <c r="F27" s="65">
        <f>SUM(F4:F26)</f>
        <v>39</v>
      </c>
      <c r="G27" s="66" t="e">
        <f t="shared" si="0"/>
        <v>#REF!</v>
      </c>
      <c r="H27" s="56" t="e">
        <f>H26</f>
        <v>#REF!</v>
      </c>
      <c r="I27" s="60" t="e">
        <f t="shared" ref="I27:N27" si="4">SUM(I4:I26)</f>
        <v>#REF!</v>
      </c>
      <c r="J27" s="26">
        <f t="shared" si="4"/>
        <v>36</v>
      </c>
      <c r="K27" s="26">
        <f t="shared" si="4"/>
        <v>37</v>
      </c>
      <c r="L27" s="26">
        <f t="shared" si="4"/>
        <v>37</v>
      </c>
      <c r="M27" s="26">
        <f t="shared" si="4"/>
        <v>37</v>
      </c>
      <c r="N27" s="65">
        <f t="shared" si="4"/>
        <v>37</v>
      </c>
      <c r="O27" s="66" t="e">
        <f t="shared" si="2"/>
        <v>#REF!</v>
      </c>
      <c r="P27" s="56" t="e">
        <f>P26</f>
        <v>#REF!</v>
      </c>
    </row>
    <row r="28" spans="2:16" s="7" customFormat="1" ht="14.25" x14ac:dyDescent="0.15"/>
    <row r="29" spans="2:16" s="7" customFormat="1" ht="14.25" x14ac:dyDescent="0.15"/>
  </sheetData>
  <mergeCells count="1">
    <mergeCell ref="B2:O2"/>
  </mergeCells>
  <phoneticPr fontId="3" type="noConversion"/>
  <pageMargins left="0.75" right="0.75" top="1" bottom="1" header="0.5" footer="0.5"/>
  <pageSetup paperSize="9" orientation="portrait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3"/>
  <sheetViews>
    <sheetView zoomScaleNormal="100" workbookViewId="0">
      <selection activeCell="K15" sqref="K15"/>
    </sheetView>
  </sheetViews>
  <sheetFormatPr defaultRowHeight="13.5" x14ac:dyDescent="0.15"/>
  <cols>
    <col min="1" max="9" width="8.88671875" style="118"/>
  </cols>
  <sheetData>
    <row r="1" spans="1:18" x14ac:dyDescent="0.15">
      <c r="A1" s="364" t="s">
        <v>347</v>
      </c>
      <c r="B1" s="365"/>
      <c r="C1" s="365"/>
      <c r="D1" s="365"/>
      <c r="E1" s="365"/>
      <c r="F1" s="366"/>
      <c r="G1" s="362"/>
      <c r="H1" s="360" t="s">
        <v>349</v>
      </c>
      <c r="I1" s="362" t="s">
        <v>350</v>
      </c>
    </row>
    <row r="2" spans="1:18" ht="17.25" thickBot="1" x14ac:dyDescent="0.2">
      <c r="A2" s="228" t="s">
        <v>27</v>
      </c>
      <c r="B2" s="229" t="s">
        <v>754</v>
      </c>
      <c r="C2" s="229" t="s">
        <v>755</v>
      </c>
      <c r="D2" s="229" t="s">
        <v>756</v>
      </c>
      <c r="E2" s="229" t="s">
        <v>757</v>
      </c>
      <c r="F2" s="229" t="s">
        <v>758</v>
      </c>
      <c r="G2" s="229" t="s">
        <v>759</v>
      </c>
      <c r="H2" s="367"/>
      <c r="I2" s="363"/>
    </row>
    <row r="3" spans="1:18" ht="14.25" thickBot="1" x14ac:dyDescent="0.2">
      <c r="A3" s="230">
        <v>1</v>
      </c>
      <c r="B3" s="230">
        <v>91</v>
      </c>
      <c r="C3" s="230">
        <v>91</v>
      </c>
      <c r="D3" s="230">
        <v>91</v>
      </c>
      <c r="E3" s="230">
        <v>91</v>
      </c>
      <c r="F3" s="230">
        <v>91</v>
      </c>
      <c r="G3" s="230">
        <v>90</v>
      </c>
      <c r="H3" s="130">
        <f t="shared" ref="H3:H10" si="0">MODE(B3:G3)</f>
        <v>91</v>
      </c>
      <c r="I3" s="111">
        <f t="shared" ref="I3:I10" si="1">MEDIAN(B3:G3)</f>
        <v>91</v>
      </c>
      <c r="K3" s="130"/>
      <c r="L3" s="124"/>
      <c r="M3" s="124"/>
      <c r="N3" s="124"/>
      <c r="O3" s="124"/>
      <c r="P3" s="124"/>
      <c r="Q3" s="124"/>
      <c r="R3" s="125"/>
    </row>
    <row r="4" spans="1:18" x14ac:dyDescent="0.15">
      <c r="A4" s="230">
        <v>2</v>
      </c>
      <c r="B4" s="230">
        <v>85</v>
      </c>
      <c r="C4" s="230">
        <v>85</v>
      </c>
      <c r="D4" s="230">
        <v>84</v>
      </c>
      <c r="E4" s="230">
        <v>85</v>
      </c>
      <c r="F4" s="230">
        <v>85</v>
      </c>
      <c r="G4" s="230">
        <v>84</v>
      </c>
      <c r="H4" s="124">
        <f t="shared" si="0"/>
        <v>85</v>
      </c>
      <c r="I4" s="100">
        <f t="shared" si="1"/>
        <v>85</v>
      </c>
    </row>
    <row r="5" spans="1:18" x14ac:dyDescent="0.15">
      <c r="A5" s="230">
        <v>3</v>
      </c>
      <c r="B5" s="230">
        <v>78</v>
      </c>
      <c r="C5" s="230">
        <v>78</v>
      </c>
      <c r="D5" s="230">
        <v>78</v>
      </c>
      <c r="E5" s="230">
        <v>78</v>
      </c>
      <c r="F5" s="230">
        <v>77</v>
      </c>
      <c r="G5" s="230">
        <v>76</v>
      </c>
      <c r="H5" s="124">
        <f t="shared" si="0"/>
        <v>78</v>
      </c>
      <c r="I5" s="100">
        <f t="shared" si="1"/>
        <v>78</v>
      </c>
      <c r="L5" s="130"/>
    </row>
    <row r="6" spans="1:18" x14ac:dyDescent="0.15">
      <c r="A6" s="230">
        <v>4</v>
      </c>
      <c r="B6" s="230">
        <v>66</v>
      </c>
      <c r="C6" s="230">
        <v>66</v>
      </c>
      <c r="D6" s="230">
        <v>66</v>
      </c>
      <c r="E6" s="230">
        <v>66</v>
      </c>
      <c r="F6" s="230">
        <v>64</v>
      </c>
      <c r="G6" s="230">
        <v>64</v>
      </c>
      <c r="H6" s="124">
        <f t="shared" si="0"/>
        <v>66</v>
      </c>
      <c r="I6" s="100">
        <f t="shared" si="1"/>
        <v>66</v>
      </c>
    </row>
    <row r="7" spans="1:18" x14ac:dyDescent="0.15">
      <c r="A7" s="230">
        <v>5</v>
      </c>
      <c r="B7" s="230">
        <v>53</v>
      </c>
      <c r="C7" s="230">
        <v>53</v>
      </c>
      <c r="D7" s="230">
        <v>55</v>
      </c>
      <c r="E7" s="230">
        <v>53</v>
      </c>
      <c r="F7" s="230">
        <v>55</v>
      </c>
      <c r="G7" s="230">
        <v>51</v>
      </c>
      <c r="H7" s="124">
        <f t="shared" si="0"/>
        <v>53</v>
      </c>
      <c r="I7" s="100">
        <f t="shared" si="1"/>
        <v>53</v>
      </c>
    </row>
    <row r="8" spans="1:18" x14ac:dyDescent="0.15">
      <c r="A8" s="230">
        <v>6</v>
      </c>
      <c r="B8" s="230">
        <v>38</v>
      </c>
      <c r="C8" s="230">
        <v>37</v>
      </c>
      <c r="D8" s="230">
        <v>35</v>
      </c>
      <c r="E8" s="230">
        <v>37</v>
      </c>
      <c r="F8" s="230">
        <v>40</v>
      </c>
      <c r="G8" s="230">
        <v>36</v>
      </c>
      <c r="H8" s="124">
        <f t="shared" si="0"/>
        <v>37</v>
      </c>
      <c r="I8" s="100">
        <f t="shared" si="1"/>
        <v>37</v>
      </c>
    </row>
    <row r="9" spans="1:18" x14ac:dyDescent="0.15">
      <c r="A9" s="230">
        <v>7</v>
      </c>
      <c r="B9" s="230">
        <v>25</v>
      </c>
      <c r="C9" s="230">
        <v>25</v>
      </c>
      <c r="D9" s="230">
        <v>23</v>
      </c>
      <c r="E9" s="230">
        <v>25</v>
      </c>
      <c r="F9" s="230">
        <v>24</v>
      </c>
      <c r="G9" s="230">
        <v>25</v>
      </c>
      <c r="H9" s="124">
        <f t="shared" si="0"/>
        <v>25</v>
      </c>
      <c r="I9" s="100">
        <f t="shared" si="1"/>
        <v>25</v>
      </c>
    </row>
    <row r="10" spans="1:18" ht="14.25" thickBot="1" x14ac:dyDescent="0.2">
      <c r="A10" s="230">
        <v>8</v>
      </c>
      <c r="B10" s="230">
        <v>19</v>
      </c>
      <c r="C10" s="230">
        <v>18</v>
      </c>
      <c r="D10" s="230">
        <v>18</v>
      </c>
      <c r="E10" s="230">
        <v>19</v>
      </c>
      <c r="F10" s="230">
        <v>19</v>
      </c>
      <c r="G10" s="230">
        <v>19</v>
      </c>
      <c r="H10" s="125">
        <f t="shared" si="0"/>
        <v>19</v>
      </c>
      <c r="I10" s="119">
        <f t="shared" si="1"/>
        <v>19</v>
      </c>
    </row>
    <row r="11" spans="1:18" ht="14.25" thickBot="1" x14ac:dyDescent="0.2"/>
    <row r="12" spans="1:18" x14ac:dyDescent="0.15">
      <c r="A12" s="364" t="s">
        <v>358</v>
      </c>
      <c r="B12" s="365"/>
      <c r="C12" s="365"/>
      <c r="D12" s="365"/>
      <c r="E12" s="365"/>
      <c r="F12" s="366"/>
      <c r="G12" s="362"/>
      <c r="H12" s="360" t="s">
        <v>349</v>
      </c>
      <c r="I12" s="362" t="s">
        <v>350</v>
      </c>
    </row>
    <row r="13" spans="1:18" ht="17.25" thickBot="1" x14ac:dyDescent="0.2">
      <c r="A13" s="228" t="s">
        <v>27</v>
      </c>
      <c r="B13" s="229" t="s">
        <v>754</v>
      </c>
      <c r="C13" s="229" t="s">
        <v>755</v>
      </c>
      <c r="D13" s="229" t="s">
        <v>756</v>
      </c>
      <c r="E13" s="229" t="s">
        <v>757</v>
      </c>
      <c r="F13" s="229" t="s">
        <v>758</v>
      </c>
      <c r="G13" s="229" t="s">
        <v>759</v>
      </c>
      <c r="H13" s="367"/>
      <c r="I13" s="363"/>
    </row>
    <row r="14" spans="1:18" x14ac:dyDescent="0.15">
      <c r="A14" s="230">
        <v>1</v>
      </c>
      <c r="B14" s="230">
        <v>88</v>
      </c>
      <c r="C14" s="230">
        <v>89</v>
      </c>
      <c r="D14" s="230">
        <v>88</v>
      </c>
      <c r="E14" s="230">
        <v>88</v>
      </c>
      <c r="F14" s="230">
        <v>88</v>
      </c>
      <c r="G14" s="230">
        <v>88</v>
      </c>
      <c r="H14" s="130">
        <f t="shared" ref="H14:H21" si="2">MODE(B14:G14)</f>
        <v>88</v>
      </c>
      <c r="I14" s="111">
        <f t="shared" ref="I14:I21" si="3">MEDIAN(B14:G14)</f>
        <v>88</v>
      </c>
    </row>
    <row r="15" spans="1:18" x14ac:dyDescent="0.15">
      <c r="A15" s="230">
        <v>2</v>
      </c>
      <c r="B15" s="230">
        <v>81</v>
      </c>
      <c r="C15" s="230">
        <v>81</v>
      </c>
      <c r="D15" s="230">
        <v>80</v>
      </c>
      <c r="E15" s="230">
        <v>80</v>
      </c>
      <c r="F15" s="230">
        <v>80</v>
      </c>
      <c r="G15" s="230">
        <v>80</v>
      </c>
      <c r="H15" s="124">
        <f t="shared" si="2"/>
        <v>80</v>
      </c>
      <c r="I15" s="100">
        <f t="shared" si="3"/>
        <v>80</v>
      </c>
    </row>
    <row r="16" spans="1:18" x14ac:dyDescent="0.15">
      <c r="A16" s="230">
        <v>3</v>
      </c>
      <c r="B16" s="230">
        <v>68</v>
      </c>
      <c r="C16" s="230">
        <v>69</v>
      </c>
      <c r="D16" s="230">
        <v>70</v>
      </c>
      <c r="E16" s="230">
        <v>68</v>
      </c>
      <c r="F16" s="230">
        <v>68</v>
      </c>
      <c r="G16" s="230">
        <v>68</v>
      </c>
      <c r="H16" s="124">
        <f t="shared" si="2"/>
        <v>68</v>
      </c>
      <c r="I16" s="100">
        <f t="shared" si="3"/>
        <v>68</v>
      </c>
    </row>
    <row r="17" spans="1:9" x14ac:dyDescent="0.15">
      <c r="A17" s="230">
        <v>4</v>
      </c>
      <c r="B17" s="230">
        <v>52</v>
      </c>
      <c r="C17" s="230">
        <v>55</v>
      </c>
      <c r="D17" s="230">
        <v>52</v>
      </c>
      <c r="E17" s="230">
        <v>53</v>
      </c>
      <c r="F17" s="230">
        <v>54</v>
      </c>
      <c r="G17" s="230">
        <v>52</v>
      </c>
      <c r="H17" s="124">
        <f t="shared" si="2"/>
        <v>52</v>
      </c>
      <c r="I17" s="100">
        <f t="shared" si="3"/>
        <v>52.5</v>
      </c>
    </row>
    <row r="18" spans="1:9" x14ac:dyDescent="0.15">
      <c r="A18" s="230">
        <v>5</v>
      </c>
      <c r="B18" s="230">
        <v>38</v>
      </c>
      <c r="C18" s="230">
        <v>38</v>
      </c>
      <c r="D18" s="230">
        <v>36</v>
      </c>
      <c r="E18" s="230">
        <v>36</v>
      </c>
      <c r="F18" s="230">
        <v>34</v>
      </c>
      <c r="G18" s="230">
        <v>37</v>
      </c>
      <c r="H18" s="124">
        <f t="shared" si="2"/>
        <v>38</v>
      </c>
      <c r="I18" s="100">
        <f t="shared" si="3"/>
        <v>36.5</v>
      </c>
    </row>
    <row r="19" spans="1:9" x14ac:dyDescent="0.15">
      <c r="A19" s="230">
        <v>6</v>
      </c>
      <c r="B19" s="230">
        <v>25</v>
      </c>
      <c r="C19" s="230">
        <v>27</v>
      </c>
      <c r="D19" s="230">
        <v>24</v>
      </c>
      <c r="E19" s="230">
        <v>25</v>
      </c>
      <c r="F19" s="230">
        <v>24</v>
      </c>
      <c r="G19" s="230">
        <v>25</v>
      </c>
      <c r="H19" s="124">
        <f t="shared" si="2"/>
        <v>25</v>
      </c>
      <c r="I19" s="100">
        <f t="shared" si="3"/>
        <v>25</v>
      </c>
    </row>
    <row r="20" spans="1:9" x14ac:dyDescent="0.15">
      <c r="A20" s="230">
        <v>7</v>
      </c>
      <c r="B20" s="230">
        <v>19</v>
      </c>
      <c r="C20" s="230">
        <v>19</v>
      </c>
      <c r="D20" s="230">
        <v>18</v>
      </c>
      <c r="E20" s="230">
        <v>17</v>
      </c>
      <c r="F20" s="230">
        <v>16</v>
      </c>
      <c r="G20" s="230">
        <v>17</v>
      </c>
      <c r="H20" s="124">
        <f t="shared" si="2"/>
        <v>19</v>
      </c>
      <c r="I20" s="100">
        <f t="shared" si="3"/>
        <v>17.5</v>
      </c>
    </row>
    <row r="21" spans="1:9" ht="14.25" thickBot="1" x14ac:dyDescent="0.2">
      <c r="A21" s="230">
        <v>8</v>
      </c>
      <c r="B21" s="230">
        <v>13</v>
      </c>
      <c r="C21" s="230">
        <v>13</v>
      </c>
      <c r="D21" s="230">
        <v>12</v>
      </c>
      <c r="E21" s="230">
        <v>10</v>
      </c>
      <c r="F21" s="230">
        <v>10</v>
      </c>
      <c r="G21" s="230">
        <v>10</v>
      </c>
      <c r="H21" s="125">
        <f t="shared" si="2"/>
        <v>10</v>
      </c>
      <c r="I21" s="119">
        <f t="shared" si="3"/>
        <v>11</v>
      </c>
    </row>
    <row r="22" spans="1:9" ht="14.25" thickBot="1" x14ac:dyDescent="0.2"/>
    <row r="23" spans="1:9" x14ac:dyDescent="0.15">
      <c r="A23" s="358" t="s">
        <v>348</v>
      </c>
      <c r="B23" s="359"/>
      <c r="C23" s="359"/>
      <c r="D23" s="359"/>
      <c r="E23" s="359"/>
      <c r="F23" s="359"/>
      <c r="G23" s="359"/>
      <c r="H23" s="360" t="s">
        <v>349</v>
      </c>
      <c r="I23" s="362" t="s">
        <v>350</v>
      </c>
    </row>
    <row r="24" spans="1:9" ht="17.25" thickBot="1" x14ac:dyDescent="0.2">
      <c r="A24" s="128" t="s">
        <v>27</v>
      </c>
      <c r="B24" s="129"/>
      <c r="C24" s="129"/>
      <c r="D24" s="129"/>
      <c r="E24" s="129"/>
      <c r="F24" s="129"/>
      <c r="G24" s="129"/>
      <c r="H24" s="361"/>
      <c r="I24" s="363"/>
    </row>
    <row r="25" spans="1:9" x14ac:dyDescent="0.15">
      <c r="A25" s="126">
        <v>1</v>
      </c>
      <c r="B25" s="127">
        <v>90</v>
      </c>
      <c r="C25" s="127"/>
      <c r="D25" s="127"/>
      <c r="E25" s="127"/>
      <c r="F25" s="127"/>
      <c r="G25" s="127"/>
      <c r="H25" s="130" t="e">
        <f t="shared" ref="H25:H32" si="4">MODE(B25:G25)</f>
        <v>#N/A</v>
      </c>
      <c r="I25" s="111">
        <f t="shared" ref="I25:I32" si="5">MEDIAN(B25:G25)</f>
        <v>90</v>
      </c>
    </row>
    <row r="26" spans="1:9" x14ac:dyDescent="0.15">
      <c r="A26" s="120">
        <v>2</v>
      </c>
      <c r="B26" s="121">
        <v>80</v>
      </c>
      <c r="C26" s="121"/>
      <c r="D26" s="121"/>
      <c r="E26" s="121"/>
      <c r="F26" s="121"/>
      <c r="G26" s="121"/>
      <c r="H26" s="124" t="e">
        <f t="shared" si="4"/>
        <v>#N/A</v>
      </c>
      <c r="I26" s="100">
        <f t="shared" si="5"/>
        <v>80</v>
      </c>
    </row>
    <row r="27" spans="1:9" x14ac:dyDescent="0.15">
      <c r="A27" s="120">
        <v>3</v>
      </c>
      <c r="B27" s="121">
        <v>70</v>
      </c>
      <c r="C27" s="121"/>
      <c r="D27" s="121"/>
      <c r="E27" s="121"/>
      <c r="F27" s="121"/>
      <c r="G27" s="121"/>
      <c r="H27" s="124" t="e">
        <f t="shared" si="4"/>
        <v>#N/A</v>
      </c>
      <c r="I27" s="100">
        <f t="shared" si="5"/>
        <v>70</v>
      </c>
    </row>
    <row r="28" spans="1:9" x14ac:dyDescent="0.15">
      <c r="A28" s="120">
        <v>4</v>
      </c>
      <c r="B28" s="121">
        <v>60</v>
      </c>
      <c r="C28" s="121"/>
      <c r="D28" s="121"/>
      <c r="E28" s="121"/>
      <c r="F28" s="121"/>
      <c r="G28" s="121"/>
      <c r="H28" s="124" t="e">
        <f t="shared" si="4"/>
        <v>#N/A</v>
      </c>
      <c r="I28" s="100">
        <f t="shared" si="5"/>
        <v>60</v>
      </c>
    </row>
    <row r="29" spans="1:9" x14ac:dyDescent="0.15">
      <c r="A29" s="120">
        <v>5</v>
      </c>
      <c r="B29" s="121">
        <v>50</v>
      </c>
      <c r="C29" s="121"/>
      <c r="D29" s="121"/>
      <c r="E29" s="121"/>
      <c r="F29" s="121"/>
      <c r="G29" s="121"/>
      <c r="H29" s="124" t="e">
        <f t="shared" si="4"/>
        <v>#N/A</v>
      </c>
      <c r="I29" s="100">
        <f t="shared" si="5"/>
        <v>50</v>
      </c>
    </row>
    <row r="30" spans="1:9" x14ac:dyDescent="0.15">
      <c r="A30" s="120">
        <v>6</v>
      </c>
      <c r="B30" s="121">
        <v>40</v>
      </c>
      <c r="C30" s="121"/>
      <c r="D30" s="121"/>
      <c r="E30" s="121"/>
      <c r="F30" s="121"/>
      <c r="G30" s="121"/>
      <c r="H30" s="124" t="e">
        <f t="shared" si="4"/>
        <v>#N/A</v>
      </c>
      <c r="I30" s="100">
        <f t="shared" si="5"/>
        <v>40</v>
      </c>
    </row>
    <row r="31" spans="1:9" x14ac:dyDescent="0.15">
      <c r="A31" s="120">
        <v>7</v>
      </c>
      <c r="B31" s="121">
        <v>30</v>
      </c>
      <c r="C31" s="121"/>
      <c r="D31" s="121"/>
      <c r="E31" s="121"/>
      <c r="F31" s="121"/>
      <c r="G31" s="121"/>
      <c r="H31" s="124" t="e">
        <f t="shared" si="4"/>
        <v>#N/A</v>
      </c>
      <c r="I31" s="100">
        <f t="shared" si="5"/>
        <v>30</v>
      </c>
    </row>
    <row r="32" spans="1:9" ht="14.25" thickBot="1" x14ac:dyDescent="0.2">
      <c r="A32" s="122">
        <v>8</v>
      </c>
      <c r="B32" s="123">
        <v>20</v>
      </c>
      <c r="C32" s="123"/>
      <c r="D32" s="123"/>
      <c r="E32" s="123"/>
      <c r="F32" s="123"/>
      <c r="G32" s="123"/>
      <c r="H32" s="125" t="e">
        <f t="shared" si="4"/>
        <v>#N/A</v>
      </c>
      <c r="I32" s="119">
        <f t="shared" si="5"/>
        <v>20</v>
      </c>
    </row>
    <row r="33" spans="1:9" ht="14.25" thickBot="1" x14ac:dyDescent="0.2"/>
    <row r="34" spans="1:9" x14ac:dyDescent="0.15">
      <c r="A34" s="358" t="s">
        <v>359</v>
      </c>
      <c r="B34" s="359"/>
      <c r="C34" s="359"/>
      <c r="D34" s="359"/>
      <c r="E34" s="359"/>
      <c r="F34" s="359"/>
      <c r="G34" s="359"/>
      <c r="H34" s="360" t="s">
        <v>349</v>
      </c>
      <c r="I34" s="362" t="s">
        <v>350</v>
      </c>
    </row>
    <row r="35" spans="1:9" ht="17.25" thickBot="1" x14ac:dyDescent="0.2">
      <c r="A35" s="128" t="s">
        <v>27</v>
      </c>
      <c r="B35" s="129"/>
      <c r="C35" s="129"/>
      <c r="D35" s="129"/>
      <c r="E35" s="129"/>
      <c r="F35" s="129"/>
      <c r="G35" s="129"/>
      <c r="H35" s="361"/>
      <c r="I35" s="363"/>
    </row>
    <row r="36" spans="1:9" x14ac:dyDescent="0.15">
      <c r="A36" s="126">
        <v>1</v>
      </c>
      <c r="B36" s="127">
        <v>40</v>
      </c>
      <c r="C36" s="127"/>
      <c r="D36" s="127"/>
      <c r="E36" s="127"/>
      <c r="F36" s="127"/>
      <c r="G36" s="127"/>
      <c r="H36" s="130" t="e">
        <f t="shared" ref="H36:H43" si="6">MODE(B36:G36)</f>
        <v>#N/A</v>
      </c>
      <c r="I36" s="111">
        <f t="shared" ref="I36:I43" si="7">MEDIAN(B36:G36)</f>
        <v>40</v>
      </c>
    </row>
    <row r="37" spans="1:9" x14ac:dyDescent="0.15">
      <c r="A37" s="120">
        <v>2</v>
      </c>
      <c r="B37" s="121">
        <v>35</v>
      </c>
      <c r="C37" s="121"/>
      <c r="D37" s="121"/>
      <c r="E37" s="121"/>
      <c r="F37" s="121"/>
      <c r="G37" s="121"/>
      <c r="H37" s="124" t="e">
        <f t="shared" si="6"/>
        <v>#N/A</v>
      </c>
      <c r="I37" s="100">
        <f t="shared" si="7"/>
        <v>35</v>
      </c>
    </row>
    <row r="38" spans="1:9" x14ac:dyDescent="0.15">
      <c r="A38" s="120">
        <v>3</v>
      </c>
      <c r="B38" s="121">
        <v>30</v>
      </c>
      <c r="C38" s="121"/>
      <c r="D38" s="121"/>
      <c r="E38" s="121"/>
      <c r="F38" s="121"/>
      <c r="G38" s="121"/>
      <c r="H38" s="124" t="e">
        <f t="shared" si="6"/>
        <v>#N/A</v>
      </c>
      <c r="I38" s="100">
        <f t="shared" si="7"/>
        <v>30</v>
      </c>
    </row>
    <row r="39" spans="1:9" x14ac:dyDescent="0.15">
      <c r="A39" s="120">
        <v>4</v>
      </c>
      <c r="B39" s="121">
        <v>25</v>
      </c>
      <c r="C39" s="121"/>
      <c r="D39" s="121"/>
      <c r="E39" s="121"/>
      <c r="F39" s="121"/>
      <c r="G39" s="121"/>
      <c r="H39" s="124" t="e">
        <f t="shared" si="6"/>
        <v>#N/A</v>
      </c>
      <c r="I39" s="100">
        <f t="shared" si="7"/>
        <v>25</v>
      </c>
    </row>
    <row r="40" spans="1:9" x14ac:dyDescent="0.15">
      <c r="A40" s="120">
        <v>5</v>
      </c>
      <c r="B40" s="121">
        <v>20</v>
      </c>
      <c r="C40" s="121"/>
      <c r="D40" s="121"/>
      <c r="E40" s="121"/>
      <c r="F40" s="121"/>
      <c r="G40" s="121"/>
      <c r="H40" s="124" t="e">
        <f t="shared" si="6"/>
        <v>#N/A</v>
      </c>
      <c r="I40" s="100">
        <f t="shared" si="7"/>
        <v>20</v>
      </c>
    </row>
    <row r="41" spans="1:9" x14ac:dyDescent="0.15">
      <c r="A41" s="120">
        <v>6</v>
      </c>
      <c r="B41" s="121">
        <v>15</v>
      </c>
      <c r="C41" s="121"/>
      <c r="D41" s="121"/>
      <c r="E41" s="121"/>
      <c r="F41" s="121"/>
      <c r="G41" s="121"/>
      <c r="H41" s="124" t="e">
        <f t="shared" si="6"/>
        <v>#N/A</v>
      </c>
      <c r="I41" s="100">
        <f t="shared" si="7"/>
        <v>15</v>
      </c>
    </row>
    <row r="42" spans="1:9" x14ac:dyDescent="0.15">
      <c r="A42" s="120">
        <v>7</v>
      </c>
      <c r="B42" s="121">
        <v>10</v>
      </c>
      <c r="C42" s="121"/>
      <c r="D42" s="121"/>
      <c r="E42" s="121"/>
      <c r="F42" s="121"/>
      <c r="G42" s="121"/>
      <c r="H42" s="124" t="e">
        <f t="shared" si="6"/>
        <v>#N/A</v>
      </c>
      <c r="I42" s="100">
        <f t="shared" si="7"/>
        <v>10</v>
      </c>
    </row>
    <row r="43" spans="1:9" ht="14.25" thickBot="1" x14ac:dyDescent="0.2">
      <c r="A43" s="122">
        <v>8</v>
      </c>
      <c r="B43" s="123">
        <v>5</v>
      </c>
      <c r="C43" s="123"/>
      <c r="D43" s="123"/>
      <c r="E43" s="123"/>
      <c r="F43" s="123"/>
      <c r="G43" s="123"/>
      <c r="H43" s="125" t="e">
        <f t="shared" si="6"/>
        <v>#N/A</v>
      </c>
      <c r="I43" s="119">
        <f t="shared" si="7"/>
        <v>5</v>
      </c>
    </row>
  </sheetData>
  <mergeCells count="12">
    <mergeCell ref="A1:G1"/>
    <mergeCell ref="A12:G12"/>
    <mergeCell ref="A23:G23"/>
    <mergeCell ref="H1:H2"/>
    <mergeCell ref="I1:I2"/>
    <mergeCell ref="H12:H13"/>
    <mergeCell ref="I12:I13"/>
    <mergeCell ref="A34:G34"/>
    <mergeCell ref="H34:H35"/>
    <mergeCell ref="I34:I35"/>
    <mergeCell ref="H23:H24"/>
    <mergeCell ref="I23:I24"/>
  </mergeCells>
  <phoneticPr fontId="3" type="noConversion"/>
  <hyperlinks>
    <hyperlink ref="B2" r:id="rId1" display="http://www.mimacstudy.com/hmockTestH2/HmockAnalysisExamPointCut.ds?groupNo=293" xr:uid="{00000000-0004-0000-0C00-000000000000}"/>
    <hyperlink ref="C2" r:id="rId2" display="http://www.megastudy.net/Entinfo/Exam/2020/go2/Exam_main.asp?seq=265" xr:uid="{00000000-0004-0000-0C00-000001000000}"/>
    <hyperlink ref="D2" r:id="rId3" display="http://www.skyedu.com/" xr:uid="{00000000-0004-0000-0C00-000002000000}"/>
    <hyperlink ref="E2" r:id="rId4" display="http://info.uway.com/moei/test/?exam_seq=2027" xr:uid="{00000000-0004-0000-0C00-000003000000}"/>
    <hyperlink ref="F2" r:id="rId5" display="https://go2.etoos.com/home/default.asp?etgrd=go2" xr:uid="{00000000-0004-0000-0C00-000004000000}"/>
    <hyperlink ref="G2" r:id="rId6" display="http://www.jongro.co.kr/service/examResult/ex20200616/go2_main.asp" xr:uid="{00000000-0004-0000-0C00-000005000000}"/>
    <hyperlink ref="B13" r:id="rId7" display="http://www.mimacstudy.com/hmockTestH2/HmockAnalysisExamPointCut.ds?groupNo=293" xr:uid="{00000000-0004-0000-0C00-000006000000}"/>
    <hyperlink ref="C13" r:id="rId8" display="http://www.megastudy.net/Entinfo/Exam/2020/go2/Exam_main.asp?seq=265" xr:uid="{00000000-0004-0000-0C00-000007000000}"/>
    <hyperlink ref="D13" r:id="rId9" display="http://www.skyedu.com/" xr:uid="{00000000-0004-0000-0C00-000008000000}"/>
    <hyperlink ref="E13" r:id="rId10" display="http://info.uway.com/moei/test/?exam_seq=2027" xr:uid="{00000000-0004-0000-0C00-000009000000}"/>
    <hyperlink ref="F13" r:id="rId11" display="https://go2.etoos.com/home/default.asp?etgrd=go2" xr:uid="{00000000-0004-0000-0C00-00000A000000}"/>
    <hyperlink ref="G13" r:id="rId12" display="http://www.jongro.co.kr/service/examResult/ex20200616/go2_main.asp" xr:uid="{00000000-0004-0000-0C00-00000B000000}"/>
  </hyperlinks>
  <pageMargins left="0.7" right="0.7" top="0.75" bottom="0.75" header="0.3" footer="0.3"/>
  <pageSetup paperSize="9" scale="86" orientation="portrait" r:id="rId1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43"/>
  <sheetViews>
    <sheetView workbookViewId="0">
      <selection activeCell="M18" sqref="M18"/>
    </sheetView>
  </sheetViews>
  <sheetFormatPr defaultRowHeight="13.5" x14ac:dyDescent="0.15"/>
  <cols>
    <col min="1" max="1" width="4.6640625" style="118" customWidth="1"/>
    <col min="2" max="2" width="7.109375" style="213" bestFit="1" customWidth="1"/>
    <col min="3" max="3" width="5.33203125" style="214" bestFit="1" customWidth="1"/>
    <col min="4" max="4" width="16.88671875" style="214" customWidth="1"/>
    <col min="5" max="5" width="8" style="215" customWidth="1"/>
    <col min="6" max="6" width="4.6640625" style="215" customWidth="1"/>
    <col min="7" max="8" width="8.88671875" hidden="1" customWidth="1"/>
    <col min="9" max="9" width="8.109375" style="216" customWidth="1"/>
    <col min="10" max="10" width="4.88671875" style="216" customWidth="1"/>
    <col min="11" max="11" width="5.88671875" style="118" hidden="1" customWidth="1"/>
    <col min="12" max="12" width="8.88671875" style="118" hidden="1" customWidth="1"/>
    <col min="13" max="13" width="7.44140625" style="152" customWidth="1"/>
    <col min="14" max="14" width="5.5546875" style="118" customWidth="1"/>
    <col min="15" max="16" width="0" hidden="1" customWidth="1"/>
    <col min="17" max="17" width="7.44140625" customWidth="1"/>
    <col min="18" max="18" width="5.5546875" customWidth="1"/>
  </cols>
  <sheetData>
    <row r="1" spans="1:18" ht="33.75" customHeight="1" thickBot="1" x14ac:dyDescent="0.2">
      <c r="A1" s="371" t="s">
        <v>667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</row>
    <row r="2" spans="1:18" ht="14.25" thickBot="1" x14ac:dyDescent="0.2">
      <c r="A2" s="372" t="s">
        <v>346</v>
      </c>
      <c r="B2" s="374" t="s">
        <v>668</v>
      </c>
      <c r="C2" s="376" t="s">
        <v>669</v>
      </c>
      <c r="D2" s="378" t="s">
        <v>670</v>
      </c>
      <c r="E2" s="380" t="s">
        <v>671</v>
      </c>
      <c r="F2" s="381"/>
      <c r="G2" s="368">
        <v>43531</v>
      </c>
      <c r="H2" s="369"/>
      <c r="I2" s="369"/>
      <c r="J2" s="370"/>
      <c r="K2" s="368" t="s">
        <v>672</v>
      </c>
      <c r="L2" s="369"/>
      <c r="M2" s="369"/>
      <c r="N2" s="370"/>
      <c r="O2" s="368">
        <v>43620</v>
      </c>
      <c r="P2" s="369"/>
      <c r="Q2" s="369"/>
      <c r="R2" s="370"/>
    </row>
    <row r="3" spans="1:18" ht="14.25" thickBot="1" x14ac:dyDescent="0.2">
      <c r="A3" s="373"/>
      <c r="B3" s="375"/>
      <c r="C3" s="377"/>
      <c r="D3" s="379"/>
      <c r="E3" s="153" t="s">
        <v>673</v>
      </c>
      <c r="F3" s="154" t="s">
        <v>674</v>
      </c>
      <c r="G3" s="155" t="s">
        <v>675</v>
      </c>
      <c r="H3" s="156" t="s">
        <v>676</v>
      </c>
      <c r="I3" s="157" t="s">
        <v>6</v>
      </c>
      <c r="J3" s="158" t="s">
        <v>351</v>
      </c>
      <c r="K3" s="159" t="s">
        <v>668</v>
      </c>
      <c r="L3" s="160" t="s">
        <v>676</v>
      </c>
      <c r="M3" s="161" t="s">
        <v>677</v>
      </c>
      <c r="N3" s="162" t="s">
        <v>678</v>
      </c>
      <c r="O3" s="159" t="s">
        <v>668</v>
      </c>
      <c r="P3" s="160" t="s">
        <v>676</v>
      </c>
      <c r="Q3" s="161" t="s">
        <v>679</v>
      </c>
      <c r="R3" s="162" t="s">
        <v>678</v>
      </c>
    </row>
    <row r="4" spans="1:18" ht="13.5" customHeight="1" x14ac:dyDescent="0.15">
      <c r="A4" s="151" t="str">
        <f t="shared" ref="A4:A67" si="0">LEFT(B4,3)</f>
        <v>101</v>
      </c>
      <c r="B4" s="163">
        <v>10107</v>
      </c>
      <c r="C4" s="164" t="s">
        <v>366</v>
      </c>
      <c r="D4" s="165" t="s">
        <v>688</v>
      </c>
      <c r="E4" s="166">
        <v>0.67569999999999997</v>
      </c>
      <c r="F4" s="167">
        <v>1</v>
      </c>
      <c r="G4" s="221">
        <v>10107</v>
      </c>
      <c r="H4" s="223" t="s">
        <v>366</v>
      </c>
      <c r="I4" s="168">
        <v>332</v>
      </c>
      <c r="J4" s="169">
        <v>40</v>
      </c>
      <c r="K4" s="170">
        <v>10107</v>
      </c>
      <c r="L4" s="171" t="s">
        <v>366</v>
      </c>
      <c r="M4" s="172">
        <v>62.4</v>
      </c>
      <c r="N4" s="173">
        <v>110</v>
      </c>
      <c r="O4" s="225">
        <v>10107</v>
      </c>
      <c r="P4" s="226" t="s">
        <v>366</v>
      </c>
      <c r="Q4" s="217">
        <v>309</v>
      </c>
      <c r="R4" s="218">
        <v>87</v>
      </c>
    </row>
    <row r="5" spans="1:18" ht="13.5" customHeight="1" x14ac:dyDescent="0.15">
      <c r="A5" s="110" t="str">
        <f t="shared" si="0"/>
        <v>102</v>
      </c>
      <c r="B5" s="174">
        <v>10206</v>
      </c>
      <c r="C5" s="175" t="s">
        <v>397</v>
      </c>
      <c r="D5" s="176" t="s">
        <v>680</v>
      </c>
      <c r="E5" s="177">
        <v>1</v>
      </c>
      <c r="F5" s="178">
        <v>2</v>
      </c>
      <c r="G5" s="187">
        <v>10206</v>
      </c>
      <c r="H5" s="188" t="s">
        <v>397</v>
      </c>
      <c r="I5" s="181">
        <v>374</v>
      </c>
      <c r="J5" s="182">
        <v>7</v>
      </c>
      <c r="K5" s="183">
        <v>10206</v>
      </c>
      <c r="L5" s="184" t="s">
        <v>397</v>
      </c>
      <c r="M5" s="185">
        <v>88.857142857142861</v>
      </c>
      <c r="N5" s="186">
        <v>13</v>
      </c>
      <c r="O5" s="104">
        <v>10206</v>
      </c>
      <c r="P5" s="100" t="s">
        <v>397</v>
      </c>
      <c r="Q5" s="219">
        <v>392</v>
      </c>
      <c r="R5" s="220">
        <v>9</v>
      </c>
    </row>
    <row r="6" spans="1:18" ht="13.5" customHeight="1" x14ac:dyDescent="0.15">
      <c r="A6" s="110" t="str">
        <f t="shared" si="0"/>
        <v>103</v>
      </c>
      <c r="B6" s="174">
        <v>10326</v>
      </c>
      <c r="C6" s="175" t="s">
        <v>445</v>
      </c>
      <c r="D6" s="176" t="s">
        <v>681</v>
      </c>
      <c r="E6" s="177">
        <v>1.0582</v>
      </c>
      <c r="F6" s="178">
        <v>3</v>
      </c>
      <c r="G6" s="179">
        <v>10326</v>
      </c>
      <c r="H6" s="180" t="s">
        <v>445</v>
      </c>
      <c r="I6" s="181">
        <v>409</v>
      </c>
      <c r="J6" s="182">
        <v>2</v>
      </c>
      <c r="K6" s="183">
        <v>10326</v>
      </c>
      <c r="L6" s="184" t="s">
        <v>445</v>
      </c>
      <c r="M6" s="185">
        <v>97.857142857142861</v>
      </c>
      <c r="N6" s="186">
        <v>1</v>
      </c>
      <c r="O6" s="106">
        <v>10326</v>
      </c>
      <c r="P6" s="103" t="s">
        <v>445</v>
      </c>
      <c r="Q6" s="219">
        <v>422</v>
      </c>
      <c r="R6" s="220">
        <v>2</v>
      </c>
    </row>
    <row r="7" spans="1:18" ht="13.5" customHeight="1" x14ac:dyDescent="0.15">
      <c r="A7" s="110" t="str">
        <f t="shared" si="0"/>
        <v>104</v>
      </c>
      <c r="B7" s="174">
        <v>10422</v>
      </c>
      <c r="C7" s="175" t="s">
        <v>470</v>
      </c>
      <c r="D7" s="176" t="s">
        <v>682</v>
      </c>
      <c r="E7" s="177">
        <v>1.3513999999999999</v>
      </c>
      <c r="F7" s="178">
        <v>4</v>
      </c>
      <c r="G7" s="187">
        <v>10422</v>
      </c>
      <c r="H7" s="188" t="s">
        <v>470</v>
      </c>
      <c r="I7" s="181">
        <v>330</v>
      </c>
      <c r="J7" s="182">
        <v>42</v>
      </c>
      <c r="K7" s="183">
        <v>10422</v>
      </c>
      <c r="L7" s="184" t="s">
        <v>470</v>
      </c>
      <c r="M7" s="185">
        <v>82.4</v>
      </c>
      <c r="N7" s="186">
        <v>32</v>
      </c>
      <c r="O7" s="104">
        <v>10422</v>
      </c>
      <c r="P7" s="100" t="s">
        <v>470</v>
      </c>
      <c r="Q7" s="219">
        <v>347</v>
      </c>
      <c r="R7" s="220">
        <v>40</v>
      </c>
    </row>
    <row r="8" spans="1:18" ht="13.5" customHeight="1" x14ac:dyDescent="0.15">
      <c r="A8" s="110" t="str">
        <f t="shared" si="0"/>
        <v>105</v>
      </c>
      <c r="B8" s="174">
        <v>10526</v>
      </c>
      <c r="C8" s="175" t="s">
        <v>504</v>
      </c>
      <c r="D8" s="176" t="s">
        <v>680</v>
      </c>
      <c r="E8" s="177">
        <v>2</v>
      </c>
      <c r="F8" s="178">
        <v>5</v>
      </c>
      <c r="G8" s="187">
        <v>10526</v>
      </c>
      <c r="H8" s="188" t="s">
        <v>504</v>
      </c>
      <c r="I8" s="181">
        <v>367</v>
      </c>
      <c r="J8" s="182">
        <v>12</v>
      </c>
      <c r="K8" s="183">
        <v>10526</v>
      </c>
      <c r="L8" s="184" t="s">
        <v>504</v>
      </c>
      <c r="M8" s="185">
        <v>75.685714285714283</v>
      </c>
      <c r="N8" s="186">
        <v>53</v>
      </c>
      <c r="O8" s="105">
        <v>10526</v>
      </c>
      <c r="P8" s="102" t="s">
        <v>504</v>
      </c>
      <c r="Q8" s="219">
        <v>385</v>
      </c>
      <c r="R8" s="220">
        <v>11</v>
      </c>
    </row>
    <row r="9" spans="1:18" ht="13.5" customHeight="1" x14ac:dyDescent="0.15">
      <c r="A9" s="110" t="str">
        <f t="shared" si="0"/>
        <v>106</v>
      </c>
      <c r="B9" s="174">
        <v>10610</v>
      </c>
      <c r="C9" s="175" t="s">
        <v>518</v>
      </c>
      <c r="D9" s="176" t="s">
        <v>682</v>
      </c>
      <c r="E9" s="177">
        <v>2.0270000000000001</v>
      </c>
      <c r="F9" s="178">
        <v>6</v>
      </c>
      <c r="G9" s="179">
        <v>10610</v>
      </c>
      <c r="H9" s="180" t="s">
        <v>518</v>
      </c>
      <c r="I9" s="181">
        <v>345</v>
      </c>
      <c r="J9" s="182">
        <v>26</v>
      </c>
      <c r="K9" s="183">
        <v>10610</v>
      </c>
      <c r="L9" s="184" t="s">
        <v>518</v>
      </c>
      <c r="M9" s="185">
        <v>83.085714285714289</v>
      </c>
      <c r="N9" s="186">
        <v>26</v>
      </c>
      <c r="O9" s="104">
        <v>10610</v>
      </c>
      <c r="P9" s="100" t="s">
        <v>518</v>
      </c>
      <c r="Q9" s="219">
        <v>410</v>
      </c>
      <c r="R9" s="220">
        <v>3</v>
      </c>
    </row>
    <row r="10" spans="1:18" ht="13.5" customHeight="1" x14ac:dyDescent="0.15">
      <c r="A10" s="110" t="str">
        <f t="shared" si="0"/>
        <v>107</v>
      </c>
      <c r="B10" s="174">
        <v>10722</v>
      </c>
      <c r="C10" s="175" t="s">
        <v>561</v>
      </c>
      <c r="D10" s="176" t="s">
        <v>681</v>
      </c>
      <c r="E10" s="177">
        <v>2.1164000000000001</v>
      </c>
      <c r="F10" s="178">
        <v>7</v>
      </c>
      <c r="G10" s="187">
        <v>10722</v>
      </c>
      <c r="H10" s="188" t="s">
        <v>561</v>
      </c>
      <c r="I10" s="181">
        <v>337</v>
      </c>
      <c r="J10" s="182">
        <v>32</v>
      </c>
      <c r="K10" s="183">
        <v>10722</v>
      </c>
      <c r="L10" s="184" t="s">
        <v>561</v>
      </c>
      <c r="M10" s="185">
        <v>91.785714285714292</v>
      </c>
      <c r="N10" s="186">
        <v>8</v>
      </c>
      <c r="O10" s="106">
        <v>10722</v>
      </c>
      <c r="P10" s="103" t="s">
        <v>561</v>
      </c>
      <c r="Q10" s="219">
        <v>381</v>
      </c>
      <c r="R10" s="220">
        <v>17</v>
      </c>
    </row>
    <row r="11" spans="1:18" ht="13.5" customHeight="1" x14ac:dyDescent="0.15">
      <c r="A11" s="110" t="str">
        <f t="shared" si="0"/>
        <v>108</v>
      </c>
      <c r="B11" s="174">
        <v>10812</v>
      </c>
      <c r="C11" s="175" t="s">
        <v>583</v>
      </c>
      <c r="D11" s="176" t="s">
        <v>683</v>
      </c>
      <c r="E11" s="177">
        <v>2.4096000000000002</v>
      </c>
      <c r="F11" s="178">
        <v>8</v>
      </c>
      <c r="G11" s="179">
        <v>10812</v>
      </c>
      <c r="H11" s="180" t="s">
        <v>583</v>
      </c>
      <c r="I11" s="181">
        <v>381</v>
      </c>
      <c r="J11" s="182">
        <v>4</v>
      </c>
      <c r="K11" s="183">
        <v>10812</v>
      </c>
      <c r="L11" s="184" t="s">
        <v>583</v>
      </c>
      <c r="M11" s="185">
        <v>92.657142857142858</v>
      </c>
      <c r="N11" s="186">
        <v>6</v>
      </c>
      <c r="O11" s="106">
        <v>10812</v>
      </c>
      <c r="P11" s="103" t="s">
        <v>583</v>
      </c>
      <c r="Q11" s="219">
        <v>403</v>
      </c>
      <c r="R11" s="220">
        <v>5</v>
      </c>
    </row>
    <row r="12" spans="1:18" ht="13.5" customHeight="1" x14ac:dyDescent="0.15">
      <c r="A12" s="110" t="str">
        <f t="shared" si="0"/>
        <v>109</v>
      </c>
      <c r="B12" s="174">
        <v>10923</v>
      </c>
      <c r="C12" s="175" t="s">
        <v>624</v>
      </c>
      <c r="D12" s="176" t="s">
        <v>688</v>
      </c>
      <c r="E12" s="177">
        <v>2.7027000000000001</v>
      </c>
      <c r="F12" s="178">
        <v>9</v>
      </c>
      <c r="G12" s="187">
        <v>10923</v>
      </c>
      <c r="H12" s="188" t="s">
        <v>624</v>
      </c>
      <c r="I12" s="181">
        <v>374</v>
      </c>
      <c r="J12" s="182">
        <v>7</v>
      </c>
      <c r="K12" s="183">
        <v>10923</v>
      </c>
      <c r="L12" s="184" t="s">
        <v>624</v>
      </c>
      <c r="M12" s="185">
        <v>89.242857142857133</v>
      </c>
      <c r="N12" s="186">
        <v>12</v>
      </c>
      <c r="O12" s="106">
        <v>10923</v>
      </c>
      <c r="P12" s="103" t="s">
        <v>624</v>
      </c>
      <c r="Q12" s="219">
        <v>375</v>
      </c>
      <c r="R12" s="220">
        <v>19</v>
      </c>
    </row>
    <row r="13" spans="1:18" ht="13.5" customHeight="1" x14ac:dyDescent="0.15">
      <c r="A13" s="110" t="str">
        <f t="shared" si="0"/>
        <v>110</v>
      </c>
      <c r="B13" s="174">
        <v>11007</v>
      </c>
      <c r="C13" s="175" t="s">
        <v>642</v>
      </c>
      <c r="D13" s="176" t="s">
        <v>680</v>
      </c>
      <c r="E13" s="177">
        <v>3.5</v>
      </c>
      <c r="F13" s="178">
        <v>10</v>
      </c>
      <c r="G13" s="179">
        <v>11007</v>
      </c>
      <c r="H13" s="180" t="s">
        <v>642</v>
      </c>
      <c r="I13" s="181">
        <v>415</v>
      </c>
      <c r="J13" s="182">
        <v>1</v>
      </c>
      <c r="K13" s="183">
        <v>11007</v>
      </c>
      <c r="L13" s="184" t="s">
        <v>642</v>
      </c>
      <c r="M13" s="185">
        <v>95.771428571428586</v>
      </c>
      <c r="N13" s="186">
        <v>2</v>
      </c>
      <c r="O13" s="104">
        <v>11007</v>
      </c>
      <c r="P13" s="100" t="s">
        <v>642</v>
      </c>
      <c r="Q13" s="219">
        <v>431</v>
      </c>
      <c r="R13" s="220">
        <v>1</v>
      </c>
    </row>
    <row r="14" spans="1:18" ht="13.5" customHeight="1" x14ac:dyDescent="0.15">
      <c r="A14" s="110" t="str">
        <f t="shared" si="0"/>
        <v>110</v>
      </c>
      <c r="B14" s="174">
        <v>11031</v>
      </c>
      <c r="C14" s="175" t="s">
        <v>631</v>
      </c>
      <c r="D14" s="176" t="s">
        <v>687</v>
      </c>
      <c r="E14" s="177">
        <v>4.3243</v>
      </c>
      <c r="F14" s="178">
        <v>11</v>
      </c>
      <c r="G14" s="187">
        <v>11031</v>
      </c>
      <c r="H14" s="188" t="s">
        <v>631</v>
      </c>
      <c r="I14" s="181">
        <v>316</v>
      </c>
      <c r="J14" s="182">
        <v>60</v>
      </c>
      <c r="K14" s="183">
        <v>11031</v>
      </c>
      <c r="L14" s="184" t="s">
        <v>631</v>
      </c>
      <c r="M14" s="185">
        <v>78.028571428571425</v>
      </c>
      <c r="N14" s="186">
        <v>45</v>
      </c>
      <c r="O14" s="104">
        <v>11031</v>
      </c>
      <c r="P14" s="100" t="s">
        <v>631</v>
      </c>
      <c r="Q14" s="219">
        <v>354</v>
      </c>
      <c r="R14" s="220">
        <v>33</v>
      </c>
    </row>
    <row r="15" spans="1:18" ht="13.5" customHeight="1" x14ac:dyDescent="0.15">
      <c r="A15" s="110" t="str">
        <f t="shared" si="0"/>
        <v>109</v>
      </c>
      <c r="B15" s="174">
        <v>10915</v>
      </c>
      <c r="C15" s="175" t="s">
        <v>617</v>
      </c>
      <c r="D15" s="176" t="s">
        <v>689</v>
      </c>
      <c r="E15" s="177">
        <v>4.3478000000000003</v>
      </c>
      <c r="F15" s="178">
        <v>12</v>
      </c>
      <c r="G15" s="187">
        <v>10915</v>
      </c>
      <c r="H15" s="188" t="s">
        <v>617</v>
      </c>
      <c r="I15" s="181">
        <v>339</v>
      </c>
      <c r="J15" s="182">
        <v>29</v>
      </c>
      <c r="K15" s="183">
        <v>10915</v>
      </c>
      <c r="L15" s="184" t="s">
        <v>617</v>
      </c>
      <c r="M15" s="185">
        <v>86.399999999999991</v>
      </c>
      <c r="N15" s="186">
        <v>17</v>
      </c>
      <c r="O15" s="106">
        <v>10915</v>
      </c>
      <c r="P15" s="103" t="s">
        <v>617</v>
      </c>
      <c r="Q15" s="219">
        <v>374</v>
      </c>
      <c r="R15" s="220">
        <v>21</v>
      </c>
    </row>
    <row r="16" spans="1:18" ht="13.5" customHeight="1" x14ac:dyDescent="0.15">
      <c r="A16" s="110" t="str">
        <f t="shared" si="0"/>
        <v>108</v>
      </c>
      <c r="B16" s="174">
        <v>10823</v>
      </c>
      <c r="C16" s="175" t="s">
        <v>593</v>
      </c>
      <c r="D16" s="176" t="s">
        <v>688</v>
      </c>
      <c r="E16" s="177">
        <v>4.7297000000000002</v>
      </c>
      <c r="F16" s="178">
        <v>13</v>
      </c>
      <c r="G16" s="179">
        <v>10823</v>
      </c>
      <c r="H16" s="180" t="s">
        <v>593</v>
      </c>
      <c r="I16" s="181">
        <v>320</v>
      </c>
      <c r="J16" s="182">
        <v>55</v>
      </c>
      <c r="K16" s="183">
        <v>10823</v>
      </c>
      <c r="L16" s="184" t="s">
        <v>593</v>
      </c>
      <c r="M16" s="185">
        <v>83.757142857142853</v>
      </c>
      <c r="N16" s="186">
        <v>25</v>
      </c>
      <c r="O16" s="106">
        <v>10823</v>
      </c>
      <c r="P16" s="103" t="s">
        <v>593</v>
      </c>
      <c r="Q16" s="219">
        <v>348</v>
      </c>
      <c r="R16" s="220">
        <v>38</v>
      </c>
    </row>
    <row r="17" spans="1:18" ht="13.5" customHeight="1" x14ac:dyDescent="0.15">
      <c r="A17" s="110" t="str">
        <f t="shared" si="0"/>
        <v>107</v>
      </c>
      <c r="B17" s="174">
        <v>10721</v>
      </c>
      <c r="C17" s="175" t="s">
        <v>560</v>
      </c>
      <c r="D17" s="176" t="s">
        <v>684</v>
      </c>
      <c r="E17" s="177">
        <v>4.7618999999999998</v>
      </c>
      <c r="F17" s="178">
        <v>14</v>
      </c>
      <c r="G17" s="179">
        <v>10721</v>
      </c>
      <c r="H17" s="180" t="s">
        <v>560</v>
      </c>
      <c r="I17" s="181">
        <v>364</v>
      </c>
      <c r="J17" s="182">
        <v>14</v>
      </c>
      <c r="K17" s="183">
        <v>10721</v>
      </c>
      <c r="L17" s="184" t="s">
        <v>560</v>
      </c>
      <c r="M17" s="185">
        <v>91.971428571428561</v>
      </c>
      <c r="N17" s="186">
        <v>7</v>
      </c>
      <c r="O17" s="106">
        <v>10721</v>
      </c>
      <c r="P17" s="103" t="s">
        <v>560</v>
      </c>
      <c r="Q17" s="219">
        <v>398</v>
      </c>
      <c r="R17" s="220">
        <v>6</v>
      </c>
    </row>
    <row r="18" spans="1:18" ht="13.5" customHeight="1" x14ac:dyDescent="0.15">
      <c r="A18" s="110" t="str">
        <f t="shared" si="0"/>
        <v>106</v>
      </c>
      <c r="B18" s="174">
        <v>10617</v>
      </c>
      <c r="C18" s="175" t="s">
        <v>524</v>
      </c>
      <c r="D18" s="176" t="s">
        <v>685</v>
      </c>
      <c r="E18" s="177">
        <v>4.8128000000000002</v>
      </c>
      <c r="F18" s="178">
        <v>15</v>
      </c>
      <c r="G18" s="187">
        <v>10617</v>
      </c>
      <c r="H18" s="188" t="s">
        <v>524</v>
      </c>
      <c r="I18" s="181">
        <v>391</v>
      </c>
      <c r="J18" s="182">
        <v>3</v>
      </c>
      <c r="K18" s="183">
        <v>10617</v>
      </c>
      <c r="L18" s="184" t="s">
        <v>524</v>
      </c>
      <c r="M18" s="185">
        <v>93.814285714285703</v>
      </c>
      <c r="N18" s="186">
        <v>4</v>
      </c>
      <c r="O18" s="104">
        <v>10617</v>
      </c>
      <c r="P18" s="100" t="s">
        <v>524</v>
      </c>
      <c r="Q18" s="219">
        <v>395</v>
      </c>
      <c r="R18" s="220">
        <v>8</v>
      </c>
    </row>
    <row r="19" spans="1:18" ht="13.5" customHeight="1" x14ac:dyDescent="0.15">
      <c r="A19" s="110" t="str">
        <f t="shared" si="0"/>
        <v>105</v>
      </c>
      <c r="B19" s="174">
        <v>10520</v>
      </c>
      <c r="C19" s="175" t="s">
        <v>499</v>
      </c>
      <c r="D19" s="176" t="s">
        <v>690</v>
      </c>
      <c r="E19" s="177">
        <v>5.4054000000000002</v>
      </c>
      <c r="F19" s="178">
        <v>16</v>
      </c>
      <c r="G19" s="187">
        <v>10520</v>
      </c>
      <c r="H19" s="188" t="s">
        <v>499</v>
      </c>
      <c r="I19" s="181">
        <v>355</v>
      </c>
      <c r="J19" s="182">
        <v>20</v>
      </c>
      <c r="K19" s="183">
        <v>10520</v>
      </c>
      <c r="L19" s="184" t="s">
        <v>499</v>
      </c>
      <c r="M19" s="185">
        <v>91.128571428571419</v>
      </c>
      <c r="N19" s="186">
        <v>9</v>
      </c>
      <c r="O19" s="105">
        <v>10520</v>
      </c>
      <c r="P19" s="102" t="s">
        <v>499</v>
      </c>
      <c r="Q19" s="219">
        <v>368</v>
      </c>
      <c r="R19" s="220">
        <v>28</v>
      </c>
    </row>
    <row r="20" spans="1:18" ht="13.5" customHeight="1" x14ac:dyDescent="0.15">
      <c r="A20" s="110" t="str">
        <f t="shared" si="0"/>
        <v>104</v>
      </c>
      <c r="B20" s="174">
        <v>10421</v>
      </c>
      <c r="C20" s="175" t="s">
        <v>469</v>
      </c>
      <c r="D20" s="176" t="s">
        <v>688</v>
      </c>
      <c r="E20" s="177">
        <v>5.4054000000000002</v>
      </c>
      <c r="F20" s="178">
        <v>17</v>
      </c>
      <c r="G20" s="179">
        <v>10421</v>
      </c>
      <c r="H20" s="180" t="s">
        <v>469</v>
      </c>
      <c r="I20" s="181">
        <v>304</v>
      </c>
      <c r="J20" s="182">
        <v>73</v>
      </c>
      <c r="K20" s="183">
        <v>10421</v>
      </c>
      <c r="L20" s="184" t="s">
        <v>469</v>
      </c>
      <c r="M20" s="185">
        <v>67.414285714285725</v>
      </c>
      <c r="N20" s="186">
        <v>89</v>
      </c>
      <c r="O20" s="106">
        <v>10421</v>
      </c>
      <c r="P20" s="103" t="s">
        <v>469</v>
      </c>
      <c r="Q20" s="219">
        <v>304</v>
      </c>
      <c r="R20" s="220">
        <v>96</v>
      </c>
    </row>
    <row r="21" spans="1:18" ht="13.5" customHeight="1" x14ac:dyDescent="0.15">
      <c r="A21" s="110" t="str">
        <f t="shared" si="0"/>
        <v>103</v>
      </c>
      <c r="B21" s="174">
        <v>10307</v>
      </c>
      <c r="C21" s="175" t="s">
        <v>156</v>
      </c>
      <c r="D21" s="176" t="s">
        <v>682</v>
      </c>
      <c r="E21" s="177">
        <v>5.4054000000000002</v>
      </c>
      <c r="F21" s="178">
        <v>18</v>
      </c>
      <c r="G21" s="187">
        <v>10307</v>
      </c>
      <c r="H21" s="188" t="s">
        <v>156</v>
      </c>
      <c r="I21" s="181">
        <v>315</v>
      </c>
      <c r="J21" s="182">
        <v>62</v>
      </c>
      <c r="K21" s="183">
        <v>10307</v>
      </c>
      <c r="L21" s="184" t="s">
        <v>156</v>
      </c>
      <c r="M21" s="185">
        <v>77.185714285714283</v>
      </c>
      <c r="N21" s="186">
        <v>48</v>
      </c>
      <c r="O21" s="104">
        <v>10307</v>
      </c>
      <c r="P21" s="100" t="s">
        <v>156</v>
      </c>
      <c r="Q21" s="219">
        <v>311</v>
      </c>
      <c r="R21" s="220">
        <v>83</v>
      </c>
    </row>
    <row r="22" spans="1:18" ht="13.5" customHeight="1" x14ac:dyDescent="0.15">
      <c r="A22" s="110" t="str">
        <f t="shared" si="0"/>
        <v>102</v>
      </c>
      <c r="B22" s="174">
        <v>10229</v>
      </c>
      <c r="C22" s="175" t="s">
        <v>419</v>
      </c>
      <c r="D22" s="176" t="s">
        <v>688</v>
      </c>
      <c r="E22" s="177">
        <v>6.0811000000000002</v>
      </c>
      <c r="F22" s="178">
        <v>19</v>
      </c>
      <c r="G22" s="187">
        <v>10229</v>
      </c>
      <c r="H22" s="188" t="s">
        <v>419</v>
      </c>
      <c r="I22" s="181">
        <v>343</v>
      </c>
      <c r="J22" s="182">
        <v>28</v>
      </c>
      <c r="K22" s="183">
        <v>10229</v>
      </c>
      <c r="L22" s="184" t="s">
        <v>419</v>
      </c>
      <c r="M22" s="185">
        <v>73.971428571428575</v>
      </c>
      <c r="N22" s="186">
        <v>58</v>
      </c>
      <c r="O22" s="104">
        <v>10229</v>
      </c>
      <c r="P22" s="100" t="s">
        <v>419</v>
      </c>
      <c r="Q22" s="219">
        <v>336</v>
      </c>
      <c r="R22" s="220">
        <v>53</v>
      </c>
    </row>
    <row r="23" spans="1:18" ht="13.5" customHeight="1" x14ac:dyDescent="0.15">
      <c r="A23" s="110" t="str">
        <f t="shared" si="0"/>
        <v>101</v>
      </c>
      <c r="B23" s="174">
        <v>10101</v>
      </c>
      <c r="C23" s="175" t="s">
        <v>360</v>
      </c>
      <c r="D23" s="176" t="s">
        <v>689</v>
      </c>
      <c r="E23" s="177">
        <v>6.0869999999999997</v>
      </c>
      <c r="F23" s="178">
        <v>20</v>
      </c>
      <c r="G23" s="187">
        <v>10101</v>
      </c>
      <c r="H23" s="188" t="s">
        <v>360</v>
      </c>
      <c r="I23" s="181">
        <v>327</v>
      </c>
      <c r="J23" s="182">
        <v>46</v>
      </c>
      <c r="K23" s="183">
        <v>10101</v>
      </c>
      <c r="L23" s="184" t="s">
        <v>360</v>
      </c>
      <c r="M23" s="185">
        <v>68.085714285714289</v>
      </c>
      <c r="N23" s="186">
        <v>80</v>
      </c>
      <c r="O23" s="106">
        <v>10101</v>
      </c>
      <c r="P23" s="103" t="s">
        <v>360</v>
      </c>
      <c r="Q23" s="219">
        <v>286</v>
      </c>
      <c r="R23" s="220">
        <v>119</v>
      </c>
    </row>
    <row r="24" spans="1:18" ht="13.5" customHeight="1" x14ac:dyDescent="0.15">
      <c r="A24" s="110" t="str">
        <f t="shared" si="0"/>
        <v>101</v>
      </c>
      <c r="B24" s="174">
        <v>10120</v>
      </c>
      <c r="C24" s="175" t="s">
        <v>378</v>
      </c>
      <c r="D24" s="176" t="s">
        <v>693</v>
      </c>
      <c r="E24" s="177">
        <v>6.25</v>
      </c>
      <c r="F24" s="178">
        <v>21</v>
      </c>
      <c r="G24" s="187">
        <v>10120</v>
      </c>
      <c r="H24" s="188" t="s">
        <v>378</v>
      </c>
      <c r="I24" s="181">
        <v>296</v>
      </c>
      <c r="J24" s="182">
        <v>84</v>
      </c>
      <c r="K24" s="183">
        <v>10120</v>
      </c>
      <c r="L24" s="184" t="s">
        <v>378</v>
      </c>
      <c r="M24" s="185">
        <v>79.085714285714289</v>
      </c>
      <c r="N24" s="186">
        <v>40</v>
      </c>
      <c r="O24" s="106">
        <v>10120</v>
      </c>
      <c r="P24" s="103" t="s">
        <v>378</v>
      </c>
      <c r="Q24" s="219">
        <v>309</v>
      </c>
      <c r="R24" s="220">
        <v>87</v>
      </c>
    </row>
    <row r="25" spans="1:18" ht="13.5" customHeight="1" x14ac:dyDescent="0.15">
      <c r="A25" s="110" t="str">
        <f t="shared" si="0"/>
        <v>102</v>
      </c>
      <c r="B25" s="174">
        <v>10218</v>
      </c>
      <c r="C25" s="175" t="s">
        <v>408</v>
      </c>
      <c r="D25" s="176" t="s">
        <v>685</v>
      </c>
      <c r="E25" s="177">
        <v>6.4170999999999996</v>
      </c>
      <c r="F25" s="178">
        <v>22</v>
      </c>
      <c r="G25" s="187">
        <v>10218</v>
      </c>
      <c r="H25" s="188" t="s">
        <v>408</v>
      </c>
      <c r="I25" s="181">
        <v>373</v>
      </c>
      <c r="J25" s="182">
        <v>9</v>
      </c>
      <c r="K25" s="183">
        <v>10218</v>
      </c>
      <c r="L25" s="184" t="s">
        <v>408</v>
      </c>
      <c r="M25" s="185">
        <v>83</v>
      </c>
      <c r="N25" s="186">
        <v>27</v>
      </c>
      <c r="O25" s="106">
        <v>10218</v>
      </c>
      <c r="P25" s="103" t="s">
        <v>408</v>
      </c>
      <c r="Q25" s="219">
        <v>366</v>
      </c>
      <c r="R25" s="220">
        <v>30</v>
      </c>
    </row>
    <row r="26" spans="1:18" ht="13.5" customHeight="1" x14ac:dyDescent="0.15">
      <c r="A26" s="110" t="str">
        <f t="shared" si="0"/>
        <v>103</v>
      </c>
      <c r="B26" s="174">
        <v>10308</v>
      </c>
      <c r="C26" s="175" t="s">
        <v>429</v>
      </c>
      <c r="D26" s="176" t="s">
        <v>687</v>
      </c>
      <c r="E26" s="177">
        <v>6.4865000000000004</v>
      </c>
      <c r="F26" s="178">
        <v>23</v>
      </c>
      <c r="G26" s="187">
        <v>10308</v>
      </c>
      <c r="H26" s="188" t="s">
        <v>429</v>
      </c>
      <c r="I26" s="181">
        <v>270</v>
      </c>
      <c r="J26" s="182">
        <v>130</v>
      </c>
      <c r="K26" s="183">
        <v>10308</v>
      </c>
      <c r="L26" s="184" t="s">
        <v>429</v>
      </c>
      <c r="M26" s="185">
        <v>82.814285714285717</v>
      </c>
      <c r="N26" s="186">
        <v>30</v>
      </c>
      <c r="O26" s="105">
        <v>10308</v>
      </c>
      <c r="P26" s="102" t="s">
        <v>429</v>
      </c>
      <c r="Q26" s="219">
        <v>341</v>
      </c>
      <c r="R26" s="220">
        <v>49</v>
      </c>
    </row>
    <row r="27" spans="1:18" ht="13.5" customHeight="1" x14ac:dyDescent="0.15">
      <c r="A27" s="110" t="str">
        <f t="shared" si="0"/>
        <v>104</v>
      </c>
      <c r="B27" s="174">
        <v>10434</v>
      </c>
      <c r="C27" s="175" t="s">
        <v>480</v>
      </c>
      <c r="D27" s="176" t="s">
        <v>680</v>
      </c>
      <c r="E27" s="177">
        <v>6.5</v>
      </c>
      <c r="F27" s="178">
        <v>24</v>
      </c>
      <c r="G27" s="187">
        <v>10434</v>
      </c>
      <c r="H27" s="188" t="s">
        <v>480</v>
      </c>
      <c r="I27" s="181">
        <v>334</v>
      </c>
      <c r="J27" s="182">
        <v>38</v>
      </c>
      <c r="K27" s="183">
        <v>10434</v>
      </c>
      <c r="L27" s="184" t="s">
        <v>480</v>
      </c>
      <c r="M27" s="185">
        <v>92.785714285714292</v>
      </c>
      <c r="N27" s="186">
        <v>5</v>
      </c>
      <c r="O27" s="106">
        <v>10434</v>
      </c>
      <c r="P27" s="103" t="s">
        <v>480</v>
      </c>
      <c r="Q27" s="219">
        <v>385</v>
      </c>
      <c r="R27" s="220">
        <v>11</v>
      </c>
    </row>
    <row r="28" spans="1:18" ht="13.5" customHeight="1" x14ac:dyDescent="0.15">
      <c r="A28" s="110" t="str">
        <f t="shared" si="0"/>
        <v>105</v>
      </c>
      <c r="B28" s="174">
        <v>10513</v>
      </c>
      <c r="C28" s="175" t="s">
        <v>492</v>
      </c>
      <c r="D28" s="176" t="s">
        <v>683</v>
      </c>
      <c r="E28" s="177">
        <v>6.8273000000000001</v>
      </c>
      <c r="F28" s="178">
        <v>25</v>
      </c>
      <c r="G28" s="179">
        <v>10513</v>
      </c>
      <c r="H28" s="180" t="s">
        <v>492</v>
      </c>
      <c r="I28" s="181">
        <v>345</v>
      </c>
      <c r="J28" s="182">
        <v>26</v>
      </c>
      <c r="K28" s="183">
        <v>10513</v>
      </c>
      <c r="L28" s="184" t="s">
        <v>492</v>
      </c>
      <c r="M28" s="185">
        <v>80.48571428571428</v>
      </c>
      <c r="N28" s="186">
        <v>33</v>
      </c>
      <c r="O28" s="104">
        <v>10513</v>
      </c>
      <c r="P28" s="100" t="s">
        <v>492</v>
      </c>
      <c r="Q28" s="219">
        <v>366</v>
      </c>
      <c r="R28" s="220">
        <v>30</v>
      </c>
    </row>
    <row r="29" spans="1:18" ht="13.5" customHeight="1" x14ac:dyDescent="0.15">
      <c r="A29" s="110" t="str">
        <f t="shared" si="0"/>
        <v>106</v>
      </c>
      <c r="B29" s="174">
        <v>10618</v>
      </c>
      <c r="C29" s="175" t="s">
        <v>525</v>
      </c>
      <c r="D29" s="176" t="s">
        <v>687</v>
      </c>
      <c r="E29" s="177">
        <v>7.5675999999999997</v>
      </c>
      <c r="F29" s="178">
        <v>26</v>
      </c>
      <c r="G29" s="187">
        <v>10618</v>
      </c>
      <c r="H29" s="188" t="s">
        <v>525</v>
      </c>
      <c r="I29" s="181">
        <v>381</v>
      </c>
      <c r="J29" s="182">
        <v>4</v>
      </c>
      <c r="K29" s="183">
        <v>10618</v>
      </c>
      <c r="L29" s="184" t="s">
        <v>525</v>
      </c>
      <c r="M29" s="185">
        <v>90.242857142857133</v>
      </c>
      <c r="N29" s="186">
        <v>11</v>
      </c>
      <c r="O29" s="105">
        <v>10618</v>
      </c>
      <c r="P29" s="102" t="s">
        <v>525</v>
      </c>
      <c r="Q29" s="219">
        <v>383</v>
      </c>
      <c r="R29" s="220">
        <v>14</v>
      </c>
    </row>
    <row r="30" spans="1:18" ht="13.5" customHeight="1" x14ac:dyDescent="0.15">
      <c r="A30" s="110" t="str">
        <f t="shared" si="0"/>
        <v>107</v>
      </c>
      <c r="B30" s="174">
        <v>10731</v>
      </c>
      <c r="C30" s="175" t="s">
        <v>570</v>
      </c>
      <c r="D30" s="176" t="s">
        <v>689</v>
      </c>
      <c r="E30" s="177">
        <v>7.8261000000000003</v>
      </c>
      <c r="F30" s="178">
        <v>27</v>
      </c>
      <c r="G30" s="187">
        <v>10731</v>
      </c>
      <c r="H30" s="188" t="s">
        <v>570</v>
      </c>
      <c r="I30" s="181">
        <v>301</v>
      </c>
      <c r="J30" s="182">
        <v>80</v>
      </c>
      <c r="K30" s="183">
        <v>10731</v>
      </c>
      <c r="L30" s="184" t="s">
        <v>570</v>
      </c>
      <c r="M30" s="185">
        <v>73.857142857142861</v>
      </c>
      <c r="N30" s="186">
        <v>60</v>
      </c>
      <c r="O30" s="104">
        <v>10731</v>
      </c>
      <c r="P30" s="100" t="s">
        <v>570</v>
      </c>
      <c r="Q30" s="219">
        <v>321</v>
      </c>
      <c r="R30" s="220">
        <v>64</v>
      </c>
    </row>
    <row r="31" spans="1:18" ht="13.5" customHeight="1" x14ac:dyDescent="0.15">
      <c r="A31" s="110" t="str">
        <f t="shared" si="0"/>
        <v>108</v>
      </c>
      <c r="B31" s="174">
        <v>10805</v>
      </c>
      <c r="C31" s="175" t="s">
        <v>578</v>
      </c>
      <c r="D31" s="176" t="s">
        <v>681</v>
      </c>
      <c r="E31" s="177">
        <v>7.9364999999999997</v>
      </c>
      <c r="F31" s="178">
        <v>28</v>
      </c>
      <c r="G31" s="187">
        <v>10805</v>
      </c>
      <c r="H31" s="188" t="s">
        <v>578</v>
      </c>
      <c r="I31" s="181">
        <v>296</v>
      </c>
      <c r="J31" s="182">
        <v>84</v>
      </c>
      <c r="K31" s="183">
        <v>10805</v>
      </c>
      <c r="L31" s="184" t="s">
        <v>578</v>
      </c>
      <c r="M31" s="185">
        <v>78.228571428571414</v>
      </c>
      <c r="N31" s="186">
        <v>44</v>
      </c>
      <c r="O31" s="106">
        <v>10805</v>
      </c>
      <c r="P31" s="103" t="s">
        <v>578</v>
      </c>
      <c r="Q31" s="219">
        <v>343</v>
      </c>
      <c r="R31" s="220">
        <v>44</v>
      </c>
    </row>
    <row r="32" spans="1:18" ht="13.5" customHeight="1" x14ac:dyDescent="0.15">
      <c r="A32" s="110" t="str">
        <f t="shared" si="0"/>
        <v>109</v>
      </c>
      <c r="B32" s="174">
        <v>10924</v>
      </c>
      <c r="C32" s="175" t="s">
        <v>625</v>
      </c>
      <c r="D32" s="176" t="s">
        <v>683</v>
      </c>
      <c r="E32" s="177">
        <v>8.4337</v>
      </c>
      <c r="F32" s="178">
        <v>29</v>
      </c>
      <c r="G32" s="187">
        <v>10924</v>
      </c>
      <c r="H32" s="188" t="s">
        <v>625</v>
      </c>
      <c r="I32" s="181">
        <v>367</v>
      </c>
      <c r="J32" s="182">
        <v>12</v>
      </c>
      <c r="K32" s="183">
        <v>10924</v>
      </c>
      <c r="L32" s="184" t="s">
        <v>625</v>
      </c>
      <c r="M32" s="185">
        <v>85.585714285714289</v>
      </c>
      <c r="N32" s="186">
        <v>21</v>
      </c>
      <c r="O32" s="106">
        <v>10924</v>
      </c>
      <c r="P32" s="103" t="s">
        <v>625</v>
      </c>
      <c r="Q32" s="219">
        <v>404</v>
      </c>
      <c r="R32" s="220">
        <v>4</v>
      </c>
    </row>
    <row r="33" spans="1:18" ht="13.5" customHeight="1" x14ac:dyDescent="0.15">
      <c r="A33" s="110" t="str">
        <f t="shared" si="0"/>
        <v>110</v>
      </c>
      <c r="B33" s="174">
        <v>11030</v>
      </c>
      <c r="C33" s="175" t="s">
        <v>662</v>
      </c>
      <c r="D33" s="176" t="s">
        <v>681</v>
      </c>
      <c r="E33" s="177">
        <v>8.4656000000000002</v>
      </c>
      <c r="F33" s="178">
        <v>30</v>
      </c>
      <c r="G33" s="187">
        <v>11030</v>
      </c>
      <c r="H33" s="188" t="s">
        <v>662</v>
      </c>
      <c r="I33" s="181">
        <v>330</v>
      </c>
      <c r="J33" s="182">
        <v>42</v>
      </c>
      <c r="K33" s="183">
        <v>11030</v>
      </c>
      <c r="L33" s="184" t="s">
        <v>662</v>
      </c>
      <c r="M33" s="185">
        <v>69.128571428571448</v>
      </c>
      <c r="N33" s="186">
        <v>75</v>
      </c>
      <c r="O33" s="106">
        <v>11030</v>
      </c>
      <c r="P33" s="103" t="s">
        <v>662</v>
      </c>
      <c r="Q33" s="219">
        <v>383</v>
      </c>
      <c r="R33" s="220">
        <v>14</v>
      </c>
    </row>
    <row r="34" spans="1:18" ht="13.5" customHeight="1" x14ac:dyDescent="0.15">
      <c r="A34" s="110" t="str">
        <f t="shared" si="0"/>
        <v>110</v>
      </c>
      <c r="B34" s="174">
        <v>11032</v>
      </c>
      <c r="C34" s="175" t="s">
        <v>663</v>
      </c>
      <c r="D34" s="176" t="s">
        <v>680</v>
      </c>
      <c r="E34" s="177">
        <v>8.5</v>
      </c>
      <c r="F34" s="178">
        <v>31</v>
      </c>
      <c r="G34" s="179">
        <v>11032</v>
      </c>
      <c r="H34" s="180" t="s">
        <v>663</v>
      </c>
      <c r="I34" s="181">
        <v>251</v>
      </c>
      <c r="J34" s="182">
        <v>160</v>
      </c>
      <c r="K34" s="183">
        <v>11032</v>
      </c>
      <c r="L34" s="184" t="s">
        <v>663</v>
      </c>
      <c r="M34" s="185">
        <v>61.1</v>
      </c>
      <c r="N34" s="186">
        <v>116</v>
      </c>
      <c r="O34" s="106">
        <v>11032</v>
      </c>
      <c r="P34" s="103" t="s">
        <v>663</v>
      </c>
      <c r="Q34" s="219">
        <v>314</v>
      </c>
      <c r="R34" s="220">
        <v>76</v>
      </c>
    </row>
    <row r="35" spans="1:18" ht="13.5" customHeight="1" x14ac:dyDescent="0.15">
      <c r="A35" s="110" t="str">
        <f t="shared" si="0"/>
        <v>109</v>
      </c>
      <c r="B35" s="174">
        <v>10901</v>
      </c>
      <c r="C35" s="175" t="s">
        <v>605</v>
      </c>
      <c r="D35" s="176" t="s">
        <v>688</v>
      </c>
      <c r="E35" s="177">
        <v>8.7837999999999994</v>
      </c>
      <c r="F35" s="178">
        <v>32</v>
      </c>
      <c r="G35" s="187">
        <v>10901</v>
      </c>
      <c r="H35" s="188" t="s">
        <v>605</v>
      </c>
      <c r="I35" s="181">
        <v>333</v>
      </c>
      <c r="J35" s="182">
        <v>39</v>
      </c>
      <c r="K35" s="183">
        <v>10901</v>
      </c>
      <c r="L35" s="184" t="s">
        <v>605</v>
      </c>
      <c r="M35" s="185">
        <v>76.214285714285708</v>
      </c>
      <c r="N35" s="186">
        <v>51</v>
      </c>
      <c r="O35" s="106">
        <v>10901</v>
      </c>
      <c r="P35" s="103" t="s">
        <v>605</v>
      </c>
      <c r="Q35" s="219">
        <v>337</v>
      </c>
      <c r="R35" s="220">
        <v>52</v>
      </c>
    </row>
    <row r="36" spans="1:18" ht="13.5" customHeight="1" x14ac:dyDescent="0.15">
      <c r="A36" s="110" t="str">
        <f t="shared" si="0"/>
        <v>108</v>
      </c>
      <c r="B36" s="174">
        <v>10820</v>
      </c>
      <c r="C36" s="175" t="s">
        <v>590</v>
      </c>
      <c r="D36" s="176" t="s">
        <v>686</v>
      </c>
      <c r="E36" s="177">
        <v>8.9146999999999998</v>
      </c>
      <c r="F36" s="178">
        <v>33</v>
      </c>
      <c r="G36" s="187">
        <v>10820</v>
      </c>
      <c r="H36" s="188" t="s">
        <v>590</v>
      </c>
      <c r="I36" s="181">
        <v>311</v>
      </c>
      <c r="J36" s="182">
        <v>67</v>
      </c>
      <c r="K36" s="183">
        <v>10820</v>
      </c>
      <c r="L36" s="184" t="s">
        <v>590</v>
      </c>
      <c r="M36" s="185">
        <v>75.714285714285708</v>
      </c>
      <c r="N36" s="186">
        <v>52</v>
      </c>
      <c r="O36" s="104">
        <v>10820</v>
      </c>
      <c r="P36" s="100" t="s">
        <v>590</v>
      </c>
      <c r="Q36" s="219">
        <v>319</v>
      </c>
      <c r="R36" s="220">
        <v>69</v>
      </c>
    </row>
    <row r="37" spans="1:18" ht="13.5" customHeight="1" x14ac:dyDescent="0.15">
      <c r="A37" s="110" t="str">
        <f t="shared" si="0"/>
        <v>107</v>
      </c>
      <c r="B37" s="174">
        <v>10717</v>
      </c>
      <c r="C37" s="175" t="s">
        <v>556</v>
      </c>
      <c r="D37" s="176" t="s">
        <v>680</v>
      </c>
      <c r="E37" s="177">
        <v>9</v>
      </c>
      <c r="F37" s="178">
        <v>34</v>
      </c>
      <c r="G37" s="187">
        <v>10717</v>
      </c>
      <c r="H37" s="188" t="s">
        <v>556</v>
      </c>
      <c r="I37" s="181">
        <v>323</v>
      </c>
      <c r="J37" s="182">
        <v>51</v>
      </c>
      <c r="K37" s="183">
        <v>10717</v>
      </c>
      <c r="L37" s="184" t="s">
        <v>556</v>
      </c>
      <c r="M37" s="185">
        <v>87.899999999999991</v>
      </c>
      <c r="N37" s="186">
        <v>14</v>
      </c>
      <c r="O37" s="106">
        <v>10717</v>
      </c>
      <c r="P37" s="103" t="s">
        <v>556</v>
      </c>
      <c r="Q37" s="219">
        <v>375</v>
      </c>
      <c r="R37" s="220">
        <v>19</v>
      </c>
    </row>
    <row r="38" spans="1:18" ht="13.5" customHeight="1" x14ac:dyDescent="0.15">
      <c r="A38" s="110" t="str">
        <f t="shared" si="0"/>
        <v>106</v>
      </c>
      <c r="B38" s="174">
        <v>10632</v>
      </c>
      <c r="C38" s="175" t="s">
        <v>538</v>
      </c>
      <c r="D38" s="176" t="s">
        <v>687</v>
      </c>
      <c r="E38" s="177">
        <v>9.1891999999999996</v>
      </c>
      <c r="F38" s="178">
        <v>35</v>
      </c>
      <c r="G38" s="187">
        <v>10632</v>
      </c>
      <c r="H38" s="188" t="s">
        <v>538</v>
      </c>
      <c r="I38" s="181">
        <v>350</v>
      </c>
      <c r="J38" s="182">
        <v>22</v>
      </c>
      <c r="K38" s="183">
        <v>10632</v>
      </c>
      <c r="L38" s="184" t="s">
        <v>538</v>
      </c>
      <c r="M38" s="185">
        <v>87.200000000000017</v>
      </c>
      <c r="N38" s="186">
        <v>16</v>
      </c>
      <c r="O38" s="106">
        <v>10632</v>
      </c>
      <c r="P38" s="103" t="s">
        <v>538</v>
      </c>
      <c r="Q38" s="219">
        <v>347</v>
      </c>
      <c r="R38" s="220">
        <v>40</v>
      </c>
    </row>
    <row r="39" spans="1:18" ht="13.5" customHeight="1" x14ac:dyDescent="0.15">
      <c r="A39" s="110" t="str">
        <f t="shared" si="0"/>
        <v>105</v>
      </c>
      <c r="B39" s="174">
        <v>10523</v>
      </c>
      <c r="C39" s="175" t="s">
        <v>501</v>
      </c>
      <c r="D39" s="176" t="s">
        <v>682</v>
      </c>
      <c r="E39" s="177">
        <v>9.4595000000000002</v>
      </c>
      <c r="F39" s="178">
        <v>36</v>
      </c>
      <c r="G39" s="179">
        <v>10523</v>
      </c>
      <c r="H39" s="180" t="s">
        <v>501</v>
      </c>
      <c r="I39" s="181">
        <v>216</v>
      </c>
      <c r="J39" s="182">
        <v>237</v>
      </c>
      <c r="K39" s="183">
        <v>10523</v>
      </c>
      <c r="L39" s="184" t="s">
        <v>501</v>
      </c>
      <c r="M39" s="185">
        <v>59.042857142857137</v>
      </c>
      <c r="N39" s="186">
        <v>128</v>
      </c>
      <c r="O39" s="106">
        <v>10523</v>
      </c>
      <c r="P39" s="103" t="s">
        <v>501</v>
      </c>
      <c r="Q39" s="219">
        <v>217</v>
      </c>
      <c r="R39" s="220">
        <v>217</v>
      </c>
    </row>
    <row r="40" spans="1:18" ht="13.5" customHeight="1" x14ac:dyDescent="0.15">
      <c r="A40" s="110" t="str">
        <f t="shared" si="0"/>
        <v>104</v>
      </c>
      <c r="B40" s="174">
        <v>10424</v>
      </c>
      <c r="C40" s="175" t="s">
        <v>472</v>
      </c>
      <c r="D40" s="176" t="s">
        <v>681</v>
      </c>
      <c r="E40" s="177">
        <v>10.052899999999999</v>
      </c>
      <c r="F40" s="178">
        <v>37</v>
      </c>
      <c r="G40" s="187">
        <v>10424</v>
      </c>
      <c r="H40" s="188" t="s">
        <v>472</v>
      </c>
      <c r="I40" s="181">
        <v>284</v>
      </c>
      <c r="J40" s="182">
        <v>104</v>
      </c>
      <c r="K40" s="183">
        <v>10424</v>
      </c>
      <c r="L40" s="184" t="s">
        <v>472</v>
      </c>
      <c r="M40" s="185">
        <v>63.685714285714269</v>
      </c>
      <c r="N40" s="186">
        <v>102</v>
      </c>
      <c r="O40" s="106">
        <v>10424</v>
      </c>
      <c r="P40" s="103" t="s">
        <v>472</v>
      </c>
      <c r="Q40" s="219">
        <v>261</v>
      </c>
      <c r="R40" s="220">
        <v>146</v>
      </c>
    </row>
    <row r="41" spans="1:18" ht="13.5" customHeight="1" x14ac:dyDescent="0.15">
      <c r="A41" s="110" t="str">
        <f t="shared" si="0"/>
        <v>103</v>
      </c>
      <c r="B41" s="174">
        <v>10314</v>
      </c>
      <c r="C41" s="175" t="s">
        <v>434</v>
      </c>
      <c r="D41" s="176" t="s">
        <v>686</v>
      </c>
      <c r="E41" s="177">
        <v>10.077500000000001</v>
      </c>
      <c r="F41" s="178">
        <v>38</v>
      </c>
      <c r="G41" s="187">
        <v>10314</v>
      </c>
      <c r="H41" s="188" t="s">
        <v>434</v>
      </c>
      <c r="I41" s="181">
        <v>335</v>
      </c>
      <c r="J41" s="182">
        <v>35</v>
      </c>
      <c r="K41" s="183">
        <v>10314</v>
      </c>
      <c r="L41" s="184" t="s">
        <v>434</v>
      </c>
      <c r="M41" s="185">
        <v>85.057142857142864</v>
      </c>
      <c r="N41" s="186">
        <v>22</v>
      </c>
      <c r="O41" s="106">
        <v>10314</v>
      </c>
      <c r="P41" s="103" t="s">
        <v>434</v>
      </c>
      <c r="Q41" s="219">
        <v>387</v>
      </c>
      <c r="R41" s="220">
        <v>10</v>
      </c>
    </row>
    <row r="42" spans="1:18" ht="13.5" customHeight="1" x14ac:dyDescent="0.15">
      <c r="A42" s="110" t="str">
        <f t="shared" si="0"/>
        <v>102</v>
      </c>
      <c r="B42" s="174">
        <v>10209</v>
      </c>
      <c r="C42" s="175" t="s">
        <v>400</v>
      </c>
      <c r="D42" s="176" t="s">
        <v>688</v>
      </c>
      <c r="E42" s="177">
        <v>10.1351</v>
      </c>
      <c r="F42" s="178">
        <v>39</v>
      </c>
      <c r="G42" s="187">
        <v>10209</v>
      </c>
      <c r="H42" s="188" t="s">
        <v>400</v>
      </c>
      <c r="I42" s="181">
        <v>335</v>
      </c>
      <c r="J42" s="182">
        <v>35</v>
      </c>
      <c r="K42" s="183">
        <v>10209</v>
      </c>
      <c r="L42" s="184" t="s">
        <v>400</v>
      </c>
      <c r="M42" s="185">
        <v>78.614285714285714</v>
      </c>
      <c r="N42" s="186">
        <v>41</v>
      </c>
      <c r="O42" s="105">
        <v>10209</v>
      </c>
      <c r="P42" s="102" t="s">
        <v>400</v>
      </c>
      <c r="Q42" s="219">
        <v>332</v>
      </c>
      <c r="R42" s="220">
        <v>56</v>
      </c>
    </row>
    <row r="43" spans="1:18" ht="13.5" customHeight="1" x14ac:dyDescent="0.15">
      <c r="A43" s="110" t="str">
        <f t="shared" si="0"/>
        <v>101</v>
      </c>
      <c r="B43" s="174">
        <v>10109</v>
      </c>
      <c r="C43" s="175" t="s">
        <v>367</v>
      </c>
      <c r="D43" s="176" t="s">
        <v>684</v>
      </c>
      <c r="E43" s="177">
        <v>10.2041</v>
      </c>
      <c r="F43" s="178">
        <v>40</v>
      </c>
      <c r="G43" s="187">
        <v>10109</v>
      </c>
      <c r="H43" s="188" t="s">
        <v>367</v>
      </c>
      <c r="I43" s="181">
        <v>235</v>
      </c>
      <c r="J43" s="182">
        <v>196</v>
      </c>
      <c r="K43" s="183">
        <v>10109</v>
      </c>
      <c r="L43" s="184" t="s">
        <v>367</v>
      </c>
      <c r="M43" s="185">
        <v>67.385714285714286</v>
      </c>
      <c r="N43" s="186">
        <v>90</v>
      </c>
      <c r="O43" s="106">
        <v>10109</v>
      </c>
      <c r="P43" s="103" t="s">
        <v>367</v>
      </c>
      <c r="Q43" s="219">
        <v>233</v>
      </c>
      <c r="R43" s="220">
        <v>192</v>
      </c>
    </row>
    <row r="44" spans="1:18" ht="13.5" customHeight="1" x14ac:dyDescent="0.15">
      <c r="A44" s="110" t="str">
        <f t="shared" si="0"/>
        <v>101</v>
      </c>
      <c r="B44" s="174">
        <v>10124</v>
      </c>
      <c r="C44" s="175" t="s">
        <v>381</v>
      </c>
      <c r="D44" s="176" t="s">
        <v>683</v>
      </c>
      <c r="E44" s="177">
        <v>10.441800000000001</v>
      </c>
      <c r="F44" s="178">
        <v>41</v>
      </c>
      <c r="G44" s="187">
        <v>10124</v>
      </c>
      <c r="H44" s="188" t="s">
        <v>381</v>
      </c>
      <c r="I44" s="181">
        <v>368</v>
      </c>
      <c r="J44" s="182">
        <v>11</v>
      </c>
      <c r="K44" s="183">
        <v>10124</v>
      </c>
      <c r="L44" s="184" t="s">
        <v>381</v>
      </c>
      <c r="M44" s="185">
        <v>79.271428571428572</v>
      </c>
      <c r="N44" s="186">
        <v>38</v>
      </c>
      <c r="O44" s="106">
        <v>10124</v>
      </c>
      <c r="P44" s="103" t="s">
        <v>381</v>
      </c>
      <c r="Q44" s="219">
        <v>377</v>
      </c>
      <c r="R44" s="220">
        <v>18</v>
      </c>
    </row>
    <row r="45" spans="1:18" ht="13.5" customHeight="1" x14ac:dyDescent="0.15">
      <c r="A45" s="110" t="str">
        <f t="shared" si="0"/>
        <v>102</v>
      </c>
      <c r="B45" s="174">
        <v>10226</v>
      </c>
      <c r="C45" s="175" t="s">
        <v>416</v>
      </c>
      <c r="D45" s="176" t="s">
        <v>686</v>
      </c>
      <c r="E45" s="177">
        <v>10.4651</v>
      </c>
      <c r="F45" s="178">
        <v>42</v>
      </c>
      <c r="G45" s="179">
        <v>10226</v>
      </c>
      <c r="H45" s="180" t="s">
        <v>416</v>
      </c>
      <c r="I45" s="181">
        <v>347</v>
      </c>
      <c r="J45" s="182">
        <v>25</v>
      </c>
      <c r="K45" s="183">
        <v>10226</v>
      </c>
      <c r="L45" s="184" t="s">
        <v>416</v>
      </c>
      <c r="M45" s="185">
        <v>77.95714285714287</v>
      </c>
      <c r="N45" s="186">
        <v>47</v>
      </c>
      <c r="O45" s="106">
        <v>10226</v>
      </c>
      <c r="P45" s="103" t="s">
        <v>416</v>
      </c>
      <c r="Q45" s="219">
        <v>373</v>
      </c>
      <c r="R45" s="220">
        <v>22</v>
      </c>
    </row>
    <row r="46" spans="1:18" ht="13.5" customHeight="1" x14ac:dyDescent="0.15">
      <c r="A46" s="110" t="str">
        <f t="shared" si="0"/>
        <v>103</v>
      </c>
      <c r="B46" s="174">
        <v>10321</v>
      </c>
      <c r="C46" s="175" t="s">
        <v>441</v>
      </c>
      <c r="D46" s="176" t="s">
        <v>685</v>
      </c>
      <c r="E46" s="177">
        <v>10.6952</v>
      </c>
      <c r="F46" s="178">
        <v>43</v>
      </c>
      <c r="G46" s="187">
        <v>10321</v>
      </c>
      <c r="H46" s="188" t="s">
        <v>441</v>
      </c>
      <c r="I46" s="181">
        <v>321</v>
      </c>
      <c r="J46" s="182">
        <v>53</v>
      </c>
      <c r="K46" s="183">
        <v>10321</v>
      </c>
      <c r="L46" s="184" t="s">
        <v>441</v>
      </c>
      <c r="M46" s="185">
        <v>80.028571428571439</v>
      </c>
      <c r="N46" s="186">
        <v>34</v>
      </c>
      <c r="O46" s="106">
        <v>10321</v>
      </c>
      <c r="P46" s="103" t="s">
        <v>441</v>
      </c>
      <c r="Q46" s="219">
        <v>330</v>
      </c>
      <c r="R46" s="220">
        <v>57</v>
      </c>
    </row>
    <row r="47" spans="1:18" ht="13.5" customHeight="1" x14ac:dyDescent="0.15">
      <c r="A47" s="110" t="str">
        <f t="shared" si="0"/>
        <v>104</v>
      </c>
      <c r="B47" s="174">
        <v>10426</v>
      </c>
      <c r="C47" s="175" t="s">
        <v>474</v>
      </c>
      <c r="D47" s="176" t="s">
        <v>687</v>
      </c>
      <c r="E47" s="177">
        <v>10.8108</v>
      </c>
      <c r="F47" s="178">
        <v>44</v>
      </c>
      <c r="G47" s="187">
        <v>10426</v>
      </c>
      <c r="H47" s="188" t="s">
        <v>474</v>
      </c>
      <c r="I47" s="181">
        <v>335</v>
      </c>
      <c r="J47" s="182">
        <v>35</v>
      </c>
      <c r="K47" s="183">
        <v>10426</v>
      </c>
      <c r="L47" s="184" t="s">
        <v>474</v>
      </c>
      <c r="M47" s="185">
        <v>82.914285714285725</v>
      </c>
      <c r="N47" s="186">
        <v>29</v>
      </c>
      <c r="O47" s="104">
        <v>10426</v>
      </c>
      <c r="P47" s="100" t="s">
        <v>474</v>
      </c>
      <c r="Q47" s="219">
        <v>383</v>
      </c>
      <c r="R47" s="220">
        <v>14</v>
      </c>
    </row>
    <row r="48" spans="1:18" ht="13.5" customHeight="1" x14ac:dyDescent="0.15">
      <c r="A48" s="110" t="str">
        <f t="shared" si="0"/>
        <v>105</v>
      </c>
      <c r="B48" s="174">
        <v>10517</v>
      </c>
      <c r="C48" s="175" t="s">
        <v>496</v>
      </c>
      <c r="D48" s="176" t="s">
        <v>683</v>
      </c>
      <c r="E48" s="177">
        <v>11.244999999999999</v>
      </c>
      <c r="F48" s="178">
        <v>45</v>
      </c>
      <c r="G48" s="187">
        <v>10517</v>
      </c>
      <c r="H48" s="188" t="s">
        <v>496</v>
      </c>
      <c r="I48" s="181">
        <v>312</v>
      </c>
      <c r="J48" s="182">
        <v>66</v>
      </c>
      <c r="K48" s="183">
        <v>10517</v>
      </c>
      <c r="L48" s="184" t="s">
        <v>496</v>
      </c>
      <c r="M48" s="185">
        <v>82.54285714285713</v>
      </c>
      <c r="N48" s="186">
        <v>31</v>
      </c>
      <c r="O48" s="104">
        <v>10517</v>
      </c>
      <c r="P48" s="100" t="s">
        <v>496</v>
      </c>
      <c r="Q48" s="219">
        <v>343</v>
      </c>
      <c r="R48" s="220">
        <v>44</v>
      </c>
    </row>
    <row r="49" spans="1:18" ht="13.5" customHeight="1" x14ac:dyDescent="0.15">
      <c r="A49" s="110" t="str">
        <f t="shared" si="0"/>
        <v>106</v>
      </c>
      <c r="B49" s="174">
        <v>10608</v>
      </c>
      <c r="C49" s="175" t="s">
        <v>516</v>
      </c>
      <c r="D49" s="176" t="s">
        <v>682</v>
      </c>
      <c r="E49" s="177">
        <v>11.486499999999999</v>
      </c>
      <c r="F49" s="178">
        <v>46</v>
      </c>
      <c r="G49" s="179">
        <v>10608</v>
      </c>
      <c r="H49" s="180" t="s">
        <v>516</v>
      </c>
      <c r="I49" s="181">
        <v>208</v>
      </c>
      <c r="J49" s="182">
        <v>256</v>
      </c>
      <c r="K49" s="183">
        <v>10608</v>
      </c>
      <c r="L49" s="184" t="s">
        <v>516</v>
      </c>
      <c r="M49" s="185">
        <v>58.414285714285711</v>
      </c>
      <c r="N49" s="186">
        <v>132</v>
      </c>
      <c r="O49" s="105">
        <v>10608</v>
      </c>
      <c r="P49" s="102" t="s">
        <v>516</v>
      </c>
      <c r="Q49" s="219">
        <v>229</v>
      </c>
      <c r="R49" s="220">
        <v>200</v>
      </c>
    </row>
    <row r="50" spans="1:18" ht="13.5" customHeight="1" x14ac:dyDescent="0.15">
      <c r="A50" s="110" t="str">
        <f t="shared" si="0"/>
        <v>107</v>
      </c>
      <c r="B50" s="174">
        <v>10725</v>
      </c>
      <c r="C50" s="175" t="s">
        <v>564</v>
      </c>
      <c r="D50" s="176" t="s">
        <v>685</v>
      </c>
      <c r="E50" s="177">
        <v>11.764699999999999</v>
      </c>
      <c r="F50" s="178">
        <v>47</v>
      </c>
      <c r="G50" s="179">
        <v>10725</v>
      </c>
      <c r="H50" s="180" t="s">
        <v>564</v>
      </c>
      <c r="I50" s="181">
        <v>332</v>
      </c>
      <c r="J50" s="182">
        <v>40</v>
      </c>
      <c r="K50" s="183">
        <v>10725</v>
      </c>
      <c r="L50" s="184" t="s">
        <v>564</v>
      </c>
      <c r="M50" s="185">
        <v>79.157142857142858</v>
      </c>
      <c r="N50" s="186">
        <v>39</v>
      </c>
      <c r="O50" s="106">
        <v>10725</v>
      </c>
      <c r="P50" s="103" t="s">
        <v>564</v>
      </c>
      <c r="Q50" s="219">
        <v>344</v>
      </c>
      <c r="R50" s="220">
        <v>43</v>
      </c>
    </row>
    <row r="51" spans="1:18" ht="13.5" customHeight="1" x14ac:dyDescent="0.15">
      <c r="A51" s="110" t="str">
        <f t="shared" si="0"/>
        <v>108</v>
      </c>
      <c r="B51" s="174">
        <v>10832</v>
      </c>
      <c r="C51" s="175" t="s">
        <v>602</v>
      </c>
      <c r="D51" s="176" t="s">
        <v>687</v>
      </c>
      <c r="E51" s="177">
        <v>11.8919</v>
      </c>
      <c r="F51" s="178">
        <v>48</v>
      </c>
      <c r="G51" s="187">
        <v>10832</v>
      </c>
      <c r="H51" s="188" t="s">
        <v>602</v>
      </c>
      <c r="I51" s="181">
        <v>316</v>
      </c>
      <c r="J51" s="182">
        <v>60</v>
      </c>
      <c r="K51" s="183">
        <v>10832</v>
      </c>
      <c r="L51" s="184" t="s">
        <v>602</v>
      </c>
      <c r="M51" s="185">
        <v>82.95714285714287</v>
      </c>
      <c r="N51" s="186">
        <v>28</v>
      </c>
      <c r="O51" s="104">
        <v>10832</v>
      </c>
      <c r="P51" s="100" t="s">
        <v>602</v>
      </c>
      <c r="Q51" s="219">
        <v>352</v>
      </c>
      <c r="R51" s="220">
        <v>34</v>
      </c>
    </row>
    <row r="52" spans="1:18" ht="13.5" customHeight="1" x14ac:dyDescent="0.15">
      <c r="A52" s="110" t="str">
        <f t="shared" si="0"/>
        <v>109</v>
      </c>
      <c r="B52" s="174">
        <v>10928</v>
      </c>
      <c r="C52" s="175" t="s">
        <v>629</v>
      </c>
      <c r="D52" s="176" t="s">
        <v>683</v>
      </c>
      <c r="E52" s="177">
        <v>12.0482</v>
      </c>
      <c r="F52" s="178">
        <v>49</v>
      </c>
      <c r="G52" s="179">
        <v>10928</v>
      </c>
      <c r="H52" s="180" t="s">
        <v>629</v>
      </c>
      <c r="I52" s="181">
        <v>304</v>
      </c>
      <c r="J52" s="182">
        <v>73</v>
      </c>
      <c r="K52" s="183">
        <v>10928</v>
      </c>
      <c r="L52" s="184" t="s">
        <v>629</v>
      </c>
      <c r="M52" s="185">
        <v>74.785714285714292</v>
      </c>
      <c r="N52" s="186">
        <v>57</v>
      </c>
      <c r="O52" s="106">
        <v>10928</v>
      </c>
      <c r="P52" s="103" t="s">
        <v>629</v>
      </c>
      <c r="Q52" s="219">
        <v>348</v>
      </c>
      <c r="R52" s="220">
        <v>38</v>
      </c>
    </row>
    <row r="53" spans="1:18" ht="13.5" customHeight="1" x14ac:dyDescent="0.15">
      <c r="A53" s="110" t="str">
        <f t="shared" si="0"/>
        <v>110</v>
      </c>
      <c r="B53" s="174">
        <v>11011</v>
      </c>
      <c r="C53" s="175" t="s">
        <v>646</v>
      </c>
      <c r="D53" s="176" t="s">
        <v>685</v>
      </c>
      <c r="E53" s="177">
        <v>12.2995</v>
      </c>
      <c r="F53" s="178">
        <v>50</v>
      </c>
      <c r="G53" s="187">
        <v>11011</v>
      </c>
      <c r="H53" s="188" t="s">
        <v>646</v>
      </c>
      <c r="I53" s="181">
        <v>363</v>
      </c>
      <c r="J53" s="182">
        <v>15</v>
      </c>
      <c r="K53" s="183">
        <v>11011</v>
      </c>
      <c r="L53" s="184" t="s">
        <v>646</v>
      </c>
      <c r="M53" s="185">
        <v>84.514285714285705</v>
      </c>
      <c r="N53" s="186">
        <v>23</v>
      </c>
      <c r="O53" s="104">
        <v>11011</v>
      </c>
      <c r="P53" s="100" t="s">
        <v>646</v>
      </c>
      <c r="Q53" s="219">
        <v>371</v>
      </c>
      <c r="R53" s="220">
        <v>25</v>
      </c>
    </row>
    <row r="54" spans="1:18" ht="13.5" customHeight="1" x14ac:dyDescent="0.15">
      <c r="A54" s="110" t="str">
        <f t="shared" si="0"/>
        <v>110</v>
      </c>
      <c r="B54" s="174">
        <v>11020</v>
      </c>
      <c r="C54" s="175" t="s">
        <v>654</v>
      </c>
      <c r="D54" s="176" t="s">
        <v>687</v>
      </c>
      <c r="E54" s="177">
        <v>12.432399999999999</v>
      </c>
      <c r="F54" s="178">
        <v>51</v>
      </c>
      <c r="G54" s="179">
        <v>11020</v>
      </c>
      <c r="H54" s="180" t="s">
        <v>654</v>
      </c>
      <c r="I54" s="181">
        <v>356</v>
      </c>
      <c r="J54" s="182">
        <v>17</v>
      </c>
      <c r="K54" s="183">
        <v>11020</v>
      </c>
      <c r="L54" s="184" t="s">
        <v>654</v>
      </c>
      <c r="M54" s="185">
        <v>87.399999999999991</v>
      </c>
      <c r="N54" s="186">
        <v>15</v>
      </c>
      <c r="O54" s="105">
        <v>11020</v>
      </c>
      <c r="P54" s="102" t="s">
        <v>654</v>
      </c>
      <c r="Q54" s="219">
        <v>385</v>
      </c>
      <c r="R54" s="220">
        <v>11</v>
      </c>
    </row>
    <row r="55" spans="1:18" ht="13.5" customHeight="1" x14ac:dyDescent="0.15">
      <c r="A55" s="110" t="str">
        <f t="shared" si="0"/>
        <v>109</v>
      </c>
      <c r="B55" s="174">
        <v>10906</v>
      </c>
      <c r="C55" s="175" t="s">
        <v>609</v>
      </c>
      <c r="D55" s="176" t="s">
        <v>680</v>
      </c>
      <c r="E55" s="177">
        <v>12.5</v>
      </c>
      <c r="F55" s="178">
        <v>52</v>
      </c>
      <c r="G55" s="187">
        <v>10906</v>
      </c>
      <c r="H55" s="188" t="s">
        <v>609</v>
      </c>
      <c r="I55" s="181">
        <v>339</v>
      </c>
      <c r="J55" s="182">
        <v>29</v>
      </c>
      <c r="K55" s="183">
        <v>10906</v>
      </c>
      <c r="L55" s="184" t="s">
        <v>609</v>
      </c>
      <c r="M55" s="185">
        <v>84.428571428571431</v>
      </c>
      <c r="N55" s="186">
        <v>24</v>
      </c>
      <c r="O55" s="106">
        <v>10906</v>
      </c>
      <c r="P55" s="103" t="s">
        <v>609</v>
      </c>
      <c r="Q55" s="219">
        <v>357</v>
      </c>
      <c r="R55" s="220">
        <v>32</v>
      </c>
    </row>
    <row r="56" spans="1:18" ht="13.5" customHeight="1" x14ac:dyDescent="0.15">
      <c r="A56" s="110" t="str">
        <f t="shared" si="0"/>
        <v>108</v>
      </c>
      <c r="B56" s="174">
        <v>10831</v>
      </c>
      <c r="C56" s="175" t="s">
        <v>601</v>
      </c>
      <c r="D56" s="176" t="s">
        <v>688</v>
      </c>
      <c r="E56" s="177">
        <v>13.513500000000001</v>
      </c>
      <c r="F56" s="178">
        <v>53</v>
      </c>
      <c r="G56" s="187">
        <v>10831</v>
      </c>
      <c r="H56" s="188" t="s">
        <v>601</v>
      </c>
      <c r="I56" s="181">
        <v>307</v>
      </c>
      <c r="J56" s="182">
        <v>69</v>
      </c>
      <c r="K56" s="183">
        <v>10831</v>
      </c>
      <c r="L56" s="184" t="s">
        <v>601</v>
      </c>
      <c r="M56" s="185">
        <v>76.242857142857147</v>
      </c>
      <c r="N56" s="186">
        <v>50</v>
      </c>
      <c r="O56" s="106">
        <v>10831</v>
      </c>
      <c r="P56" s="103" t="s">
        <v>601</v>
      </c>
      <c r="Q56" s="219">
        <v>315</v>
      </c>
      <c r="R56" s="220">
        <v>73</v>
      </c>
    </row>
    <row r="57" spans="1:18" ht="13.5" customHeight="1" x14ac:dyDescent="0.15">
      <c r="A57" s="110" t="str">
        <f t="shared" si="0"/>
        <v>107</v>
      </c>
      <c r="B57" s="174">
        <v>10712</v>
      </c>
      <c r="C57" s="175" t="s">
        <v>551</v>
      </c>
      <c r="D57" s="176" t="s">
        <v>686</v>
      </c>
      <c r="E57" s="177">
        <v>13.9535</v>
      </c>
      <c r="F57" s="178">
        <v>54</v>
      </c>
      <c r="G57" s="187">
        <v>10712</v>
      </c>
      <c r="H57" s="188" t="s">
        <v>551</v>
      </c>
      <c r="I57" s="181">
        <v>356</v>
      </c>
      <c r="J57" s="182">
        <v>17</v>
      </c>
      <c r="K57" s="183">
        <v>10712</v>
      </c>
      <c r="L57" s="184" t="s">
        <v>551</v>
      </c>
      <c r="M57" s="185">
        <v>86.2</v>
      </c>
      <c r="N57" s="186">
        <v>18</v>
      </c>
      <c r="O57" s="106">
        <v>10712</v>
      </c>
      <c r="P57" s="103" t="s">
        <v>551</v>
      </c>
      <c r="Q57" s="219">
        <v>370</v>
      </c>
      <c r="R57" s="220">
        <v>26</v>
      </c>
    </row>
    <row r="58" spans="1:18" ht="13.5" customHeight="1" x14ac:dyDescent="0.15">
      <c r="A58" s="110" t="str">
        <f t="shared" si="0"/>
        <v>106</v>
      </c>
      <c r="B58" s="174">
        <v>10630</v>
      </c>
      <c r="C58" s="175" t="s">
        <v>471</v>
      </c>
      <c r="D58" s="176" t="s">
        <v>688</v>
      </c>
      <c r="E58" s="177">
        <v>14.1892</v>
      </c>
      <c r="F58" s="178">
        <v>55</v>
      </c>
      <c r="G58" s="187">
        <v>10630</v>
      </c>
      <c r="H58" s="188" t="s">
        <v>471</v>
      </c>
      <c r="I58" s="181">
        <v>320</v>
      </c>
      <c r="J58" s="182">
        <v>55</v>
      </c>
      <c r="K58" s="183">
        <v>10630</v>
      </c>
      <c r="L58" s="184" t="s">
        <v>471</v>
      </c>
      <c r="M58" s="185">
        <v>77.128571428571448</v>
      </c>
      <c r="N58" s="186">
        <v>49</v>
      </c>
      <c r="O58" s="106">
        <v>10630</v>
      </c>
      <c r="P58" s="103" t="s">
        <v>471</v>
      </c>
      <c r="Q58" s="219">
        <v>350</v>
      </c>
      <c r="R58" s="220">
        <v>37</v>
      </c>
    </row>
    <row r="59" spans="1:18" ht="13.5" customHeight="1" x14ac:dyDescent="0.15">
      <c r="A59" s="110" t="str">
        <f t="shared" si="0"/>
        <v>105</v>
      </c>
      <c r="B59" s="174">
        <v>10508</v>
      </c>
      <c r="C59" s="175" t="s">
        <v>488</v>
      </c>
      <c r="D59" s="176" t="s">
        <v>682</v>
      </c>
      <c r="E59" s="177">
        <v>14.1892</v>
      </c>
      <c r="F59" s="178">
        <v>56</v>
      </c>
      <c r="G59" s="179">
        <v>10508</v>
      </c>
      <c r="H59" s="180" t="s">
        <v>488</v>
      </c>
      <c r="I59" s="181">
        <v>211</v>
      </c>
      <c r="J59" s="182">
        <v>249</v>
      </c>
      <c r="K59" s="183">
        <v>10508</v>
      </c>
      <c r="L59" s="184" t="s">
        <v>488</v>
      </c>
      <c r="M59" s="185">
        <v>40.142857142857146</v>
      </c>
      <c r="N59" s="186">
        <v>245</v>
      </c>
      <c r="O59" s="105">
        <v>10508</v>
      </c>
      <c r="P59" s="102" t="s">
        <v>488</v>
      </c>
      <c r="Q59" s="219">
        <v>185</v>
      </c>
      <c r="R59" s="220">
        <v>266</v>
      </c>
    </row>
    <row r="60" spans="1:18" ht="13.5" customHeight="1" x14ac:dyDescent="0.15">
      <c r="A60" s="110" t="str">
        <f t="shared" si="0"/>
        <v>104</v>
      </c>
      <c r="B60" s="174">
        <v>10429</v>
      </c>
      <c r="C60" s="175" t="s">
        <v>476</v>
      </c>
      <c r="D60" s="176" t="s">
        <v>684</v>
      </c>
      <c r="E60" s="177">
        <v>14.2857</v>
      </c>
      <c r="F60" s="178">
        <v>57</v>
      </c>
      <c r="G60" s="187">
        <v>10429</v>
      </c>
      <c r="H60" s="188" t="s">
        <v>476</v>
      </c>
      <c r="I60" s="181">
        <v>289</v>
      </c>
      <c r="J60" s="182">
        <v>94</v>
      </c>
      <c r="K60" s="183">
        <v>10429</v>
      </c>
      <c r="L60" s="184" t="s">
        <v>476</v>
      </c>
      <c r="M60" s="185">
        <v>62.48571428571428</v>
      </c>
      <c r="N60" s="186">
        <v>109</v>
      </c>
      <c r="O60" s="106">
        <v>10429</v>
      </c>
      <c r="P60" s="103" t="s">
        <v>476</v>
      </c>
      <c r="Q60" s="219">
        <v>342</v>
      </c>
      <c r="R60" s="220">
        <v>48</v>
      </c>
    </row>
    <row r="61" spans="1:18" ht="13.5" customHeight="1" x14ac:dyDescent="0.15">
      <c r="A61" s="110" t="str">
        <f t="shared" si="0"/>
        <v>103</v>
      </c>
      <c r="B61" s="174">
        <v>10301</v>
      </c>
      <c r="C61" s="175" t="s">
        <v>424</v>
      </c>
      <c r="D61" s="176" t="s">
        <v>680</v>
      </c>
      <c r="E61" s="177">
        <v>14.5</v>
      </c>
      <c r="F61" s="178">
        <v>58</v>
      </c>
      <c r="G61" s="187">
        <v>10301</v>
      </c>
      <c r="H61" s="188" t="s">
        <v>424</v>
      </c>
      <c r="I61" s="181">
        <v>300</v>
      </c>
      <c r="J61" s="182">
        <v>81</v>
      </c>
      <c r="K61" s="183">
        <v>10301</v>
      </c>
      <c r="L61" s="184" t="s">
        <v>424</v>
      </c>
      <c r="M61" s="185">
        <v>85.671428571428564</v>
      </c>
      <c r="N61" s="186">
        <v>20</v>
      </c>
      <c r="O61" s="106">
        <v>10301</v>
      </c>
      <c r="P61" s="103" t="s">
        <v>424</v>
      </c>
      <c r="Q61" s="219">
        <v>340</v>
      </c>
      <c r="R61" s="220">
        <v>50</v>
      </c>
    </row>
    <row r="62" spans="1:18" ht="13.5" customHeight="1" x14ac:dyDescent="0.15">
      <c r="A62" s="110" t="str">
        <f t="shared" si="0"/>
        <v>102</v>
      </c>
      <c r="B62" s="174">
        <v>10207</v>
      </c>
      <c r="C62" s="175" t="s">
        <v>398</v>
      </c>
      <c r="D62" s="176" t="s">
        <v>683</v>
      </c>
      <c r="E62" s="177">
        <v>14.859400000000001</v>
      </c>
      <c r="F62" s="178">
        <v>59</v>
      </c>
      <c r="G62" s="187">
        <v>10207</v>
      </c>
      <c r="H62" s="188" t="s">
        <v>398</v>
      </c>
      <c r="I62" s="181">
        <v>325</v>
      </c>
      <c r="J62" s="182">
        <v>48</v>
      </c>
      <c r="K62" s="183">
        <v>10207</v>
      </c>
      <c r="L62" s="184" t="s">
        <v>398</v>
      </c>
      <c r="M62" s="185">
        <v>71.785714285714292</v>
      </c>
      <c r="N62" s="186">
        <v>65</v>
      </c>
      <c r="O62" s="106">
        <v>10207</v>
      </c>
      <c r="P62" s="103" t="s">
        <v>398</v>
      </c>
      <c r="Q62" s="219">
        <v>325</v>
      </c>
      <c r="R62" s="220">
        <v>60</v>
      </c>
    </row>
    <row r="63" spans="1:18" ht="13.5" customHeight="1" x14ac:dyDescent="0.15">
      <c r="A63" s="110" t="str">
        <f t="shared" si="0"/>
        <v>101</v>
      </c>
      <c r="B63" s="174">
        <v>10129</v>
      </c>
      <c r="C63" s="175" t="s">
        <v>386</v>
      </c>
      <c r="D63" s="176" t="s">
        <v>688</v>
      </c>
      <c r="E63" s="177">
        <v>14.8649</v>
      </c>
      <c r="F63" s="178">
        <v>60</v>
      </c>
      <c r="G63" s="187">
        <v>10129</v>
      </c>
      <c r="H63" s="188" t="s">
        <v>386</v>
      </c>
      <c r="I63" s="181">
        <v>350</v>
      </c>
      <c r="J63" s="182">
        <v>22</v>
      </c>
      <c r="K63" s="183">
        <v>10129</v>
      </c>
      <c r="L63" s="184" t="s">
        <v>386</v>
      </c>
      <c r="M63" s="185">
        <v>67.585714285714303</v>
      </c>
      <c r="N63" s="186">
        <v>85</v>
      </c>
      <c r="O63" s="106">
        <v>10129</v>
      </c>
      <c r="P63" s="103" t="s">
        <v>386</v>
      </c>
      <c r="Q63" s="219">
        <v>351</v>
      </c>
      <c r="R63" s="220">
        <v>35</v>
      </c>
    </row>
    <row r="64" spans="1:18" ht="13.5" customHeight="1" x14ac:dyDescent="0.15">
      <c r="A64" s="110" t="str">
        <f t="shared" si="0"/>
        <v>101</v>
      </c>
      <c r="B64" s="174">
        <v>10110</v>
      </c>
      <c r="C64" s="175" t="s">
        <v>368</v>
      </c>
      <c r="D64" s="176" t="s">
        <v>680</v>
      </c>
      <c r="E64" s="177">
        <v>15</v>
      </c>
      <c r="F64" s="178">
        <v>61</v>
      </c>
      <c r="G64" s="187">
        <v>10110</v>
      </c>
      <c r="H64" s="188" t="s">
        <v>368</v>
      </c>
      <c r="I64" s="181">
        <v>261</v>
      </c>
      <c r="J64" s="182">
        <v>145</v>
      </c>
      <c r="K64" s="183">
        <v>10110</v>
      </c>
      <c r="L64" s="184" t="s">
        <v>368</v>
      </c>
      <c r="M64" s="185">
        <v>63.699999999999989</v>
      </c>
      <c r="N64" s="186">
        <v>101</v>
      </c>
      <c r="O64" s="106">
        <v>10110</v>
      </c>
      <c r="P64" s="103" t="s">
        <v>368</v>
      </c>
      <c r="Q64" s="219">
        <v>319</v>
      </c>
      <c r="R64" s="220">
        <v>69</v>
      </c>
    </row>
    <row r="65" spans="1:18" ht="13.5" customHeight="1" x14ac:dyDescent="0.15">
      <c r="A65" s="110" t="str">
        <f t="shared" si="0"/>
        <v>102</v>
      </c>
      <c r="B65" s="174">
        <v>10224</v>
      </c>
      <c r="C65" s="175" t="s">
        <v>414</v>
      </c>
      <c r="D65" s="176" t="s">
        <v>687</v>
      </c>
      <c r="E65" s="177">
        <v>15.1351</v>
      </c>
      <c r="F65" s="178">
        <v>62</v>
      </c>
      <c r="G65" s="179">
        <v>10224</v>
      </c>
      <c r="H65" s="180" t="s">
        <v>414</v>
      </c>
      <c r="I65" s="181">
        <v>314</v>
      </c>
      <c r="J65" s="182">
        <v>64</v>
      </c>
      <c r="K65" s="183">
        <v>10224</v>
      </c>
      <c r="L65" s="184" t="s">
        <v>414</v>
      </c>
      <c r="M65" s="185">
        <v>71.128571428571433</v>
      </c>
      <c r="N65" s="186">
        <v>69</v>
      </c>
      <c r="O65" s="106">
        <v>10224</v>
      </c>
      <c r="P65" s="103" t="s">
        <v>414</v>
      </c>
      <c r="Q65" s="219">
        <v>301</v>
      </c>
      <c r="R65" s="220">
        <v>102</v>
      </c>
    </row>
    <row r="66" spans="1:18" ht="13.5" customHeight="1" x14ac:dyDescent="0.15">
      <c r="A66" s="110" t="str">
        <f t="shared" si="0"/>
        <v>103</v>
      </c>
      <c r="B66" s="174">
        <v>10330</v>
      </c>
      <c r="C66" s="175" t="s">
        <v>449</v>
      </c>
      <c r="D66" s="176" t="s">
        <v>683</v>
      </c>
      <c r="E66" s="177">
        <v>15.260999999999999</v>
      </c>
      <c r="F66" s="178">
        <v>63</v>
      </c>
      <c r="G66" s="187">
        <v>10330</v>
      </c>
      <c r="H66" s="188" t="s">
        <v>449</v>
      </c>
      <c r="I66" s="181">
        <v>284</v>
      </c>
      <c r="J66" s="182">
        <v>104</v>
      </c>
      <c r="K66" s="183">
        <v>10330</v>
      </c>
      <c r="L66" s="184" t="s">
        <v>449</v>
      </c>
      <c r="M66" s="185">
        <v>78</v>
      </c>
      <c r="N66" s="186">
        <v>46</v>
      </c>
      <c r="O66" s="106">
        <v>10330</v>
      </c>
      <c r="P66" s="103" t="s">
        <v>449</v>
      </c>
      <c r="Q66" s="219">
        <v>347</v>
      </c>
      <c r="R66" s="220">
        <v>40</v>
      </c>
    </row>
    <row r="67" spans="1:18" ht="13.5" customHeight="1" x14ac:dyDescent="0.15">
      <c r="A67" s="110" t="str">
        <f t="shared" si="0"/>
        <v>104</v>
      </c>
      <c r="B67" s="174">
        <v>10408</v>
      </c>
      <c r="C67" s="175" t="s">
        <v>459</v>
      </c>
      <c r="D67" s="176" t="s">
        <v>688</v>
      </c>
      <c r="E67" s="177">
        <v>15.5405</v>
      </c>
      <c r="F67" s="178">
        <v>64</v>
      </c>
      <c r="G67" s="187">
        <v>10408</v>
      </c>
      <c r="H67" s="188" t="s">
        <v>459</v>
      </c>
      <c r="I67" s="181">
        <v>296</v>
      </c>
      <c r="J67" s="182">
        <v>84</v>
      </c>
      <c r="K67" s="183">
        <v>10408</v>
      </c>
      <c r="L67" s="184" t="s">
        <v>459</v>
      </c>
      <c r="M67" s="185">
        <v>64.542857142857159</v>
      </c>
      <c r="N67" s="186">
        <v>99</v>
      </c>
      <c r="O67" s="104">
        <v>10408</v>
      </c>
      <c r="P67" s="100" t="s">
        <v>459</v>
      </c>
      <c r="Q67" s="219">
        <v>303</v>
      </c>
      <c r="R67" s="220">
        <v>99</v>
      </c>
    </row>
    <row r="68" spans="1:18" ht="13.5" customHeight="1" x14ac:dyDescent="0.15">
      <c r="A68" s="110" t="str">
        <f t="shared" ref="A68:A131" si="1">LEFT(B68,3)</f>
        <v>105</v>
      </c>
      <c r="B68" s="174">
        <v>10507</v>
      </c>
      <c r="C68" s="175" t="s">
        <v>487</v>
      </c>
      <c r="D68" s="176" t="s">
        <v>682</v>
      </c>
      <c r="E68" s="177">
        <v>15.5405</v>
      </c>
      <c r="F68" s="178">
        <v>65</v>
      </c>
      <c r="G68" s="187">
        <v>10507</v>
      </c>
      <c r="H68" s="188" t="s">
        <v>487</v>
      </c>
      <c r="I68" s="181">
        <v>238</v>
      </c>
      <c r="J68" s="182">
        <v>192</v>
      </c>
      <c r="K68" s="183">
        <v>10507</v>
      </c>
      <c r="L68" s="184" t="s">
        <v>487</v>
      </c>
      <c r="M68" s="185">
        <v>39.771428571428565</v>
      </c>
      <c r="N68" s="186">
        <v>248</v>
      </c>
      <c r="O68" s="106">
        <v>10507</v>
      </c>
      <c r="P68" s="103" t="s">
        <v>487</v>
      </c>
      <c r="Q68" s="219">
        <v>213</v>
      </c>
      <c r="R68" s="220">
        <v>225</v>
      </c>
    </row>
    <row r="69" spans="1:18" ht="13.5" customHeight="1" x14ac:dyDescent="0.15">
      <c r="A69" s="110" t="str">
        <f t="shared" si="1"/>
        <v>106</v>
      </c>
      <c r="B69" s="174">
        <v>10601</v>
      </c>
      <c r="C69" s="175" t="s">
        <v>512</v>
      </c>
      <c r="D69" s="176" t="s">
        <v>693</v>
      </c>
      <c r="E69" s="177">
        <v>15.625</v>
      </c>
      <c r="F69" s="178">
        <v>66</v>
      </c>
      <c r="G69" s="187">
        <v>10601</v>
      </c>
      <c r="H69" s="188" t="s">
        <v>512</v>
      </c>
      <c r="I69" s="181">
        <v>239</v>
      </c>
      <c r="J69" s="182">
        <v>191</v>
      </c>
      <c r="K69" s="183">
        <v>10601</v>
      </c>
      <c r="L69" s="184" t="s">
        <v>512</v>
      </c>
      <c r="M69" s="185">
        <v>35.771428571428572</v>
      </c>
      <c r="N69" s="186">
        <v>266</v>
      </c>
      <c r="O69" s="104">
        <v>10601</v>
      </c>
      <c r="P69" s="101" t="s">
        <v>512</v>
      </c>
      <c r="Q69" s="219">
        <v>239</v>
      </c>
      <c r="R69" s="220">
        <v>176</v>
      </c>
    </row>
    <row r="70" spans="1:18" ht="13.5" customHeight="1" x14ac:dyDescent="0.15">
      <c r="A70" s="110" t="str">
        <f t="shared" si="1"/>
        <v>107</v>
      </c>
      <c r="B70" s="174">
        <v>10711</v>
      </c>
      <c r="C70" s="175" t="s">
        <v>58</v>
      </c>
      <c r="D70" s="176" t="s">
        <v>688</v>
      </c>
      <c r="E70" s="177">
        <v>16.216200000000001</v>
      </c>
      <c r="F70" s="178">
        <v>67</v>
      </c>
      <c r="G70" s="187">
        <v>10711</v>
      </c>
      <c r="H70" s="188" t="s">
        <v>58</v>
      </c>
      <c r="I70" s="181">
        <v>284</v>
      </c>
      <c r="J70" s="182">
        <v>104</v>
      </c>
      <c r="K70" s="183">
        <v>10711</v>
      </c>
      <c r="L70" s="184" t="s">
        <v>58</v>
      </c>
      <c r="M70" s="185">
        <v>61.128571428571426</v>
      </c>
      <c r="N70" s="186">
        <v>115</v>
      </c>
      <c r="O70" s="106">
        <v>10711</v>
      </c>
      <c r="P70" s="103" t="s">
        <v>58</v>
      </c>
      <c r="Q70" s="219">
        <v>307</v>
      </c>
      <c r="R70" s="220">
        <v>90</v>
      </c>
    </row>
    <row r="71" spans="1:18" ht="13.5" customHeight="1" x14ac:dyDescent="0.15">
      <c r="A71" s="110" t="str">
        <f t="shared" si="1"/>
        <v>108</v>
      </c>
      <c r="B71" s="174">
        <v>10822</v>
      </c>
      <c r="C71" s="175" t="s">
        <v>592</v>
      </c>
      <c r="D71" s="176" t="s">
        <v>682</v>
      </c>
      <c r="E71" s="177">
        <v>16.216200000000001</v>
      </c>
      <c r="F71" s="178">
        <v>68</v>
      </c>
      <c r="G71" s="187">
        <v>10822</v>
      </c>
      <c r="H71" s="188" t="s">
        <v>592</v>
      </c>
      <c r="I71" s="181">
        <v>179</v>
      </c>
      <c r="J71" s="182">
        <v>293</v>
      </c>
      <c r="K71" s="183">
        <v>10822</v>
      </c>
      <c r="L71" s="184" t="s">
        <v>592</v>
      </c>
      <c r="M71" s="185">
        <v>29.2</v>
      </c>
      <c r="N71" s="186">
        <v>291</v>
      </c>
      <c r="O71" s="104">
        <v>10822</v>
      </c>
      <c r="P71" s="100" t="s">
        <v>592</v>
      </c>
      <c r="Q71" s="219">
        <v>185</v>
      </c>
      <c r="R71" s="220">
        <v>266</v>
      </c>
    </row>
    <row r="72" spans="1:18" ht="13.5" customHeight="1" x14ac:dyDescent="0.15">
      <c r="A72" s="110" t="str">
        <f t="shared" si="1"/>
        <v>109</v>
      </c>
      <c r="B72" s="174">
        <v>10922</v>
      </c>
      <c r="C72" s="175" t="s">
        <v>623</v>
      </c>
      <c r="D72" s="176" t="s">
        <v>680</v>
      </c>
      <c r="E72" s="177">
        <v>16.5</v>
      </c>
      <c r="F72" s="178">
        <v>69</v>
      </c>
      <c r="G72" s="179">
        <v>10922</v>
      </c>
      <c r="H72" s="180" t="s">
        <v>623</v>
      </c>
      <c r="I72" s="181">
        <v>273</v>
      </c>
      <c r="J72" s="182">
        <v>125</v>
      </c>
      <c r="K72" s="183">
        <v>10922</v>
      </c>
      <c r="L72" s="184" t="s">
        <v>623</v>
      </c>
      <c r="M72" s="185">
        <v>49.157142857142851</v>
      </c>
      <c r="N72" s="186">
        <v>179</v>
      </c>
      <c r="O72" s="106">
        <v>10922</v>
      </c>
      <c r="P72" s="103" t="s">
        <v>623</v>
      </c>
      <c r="Q72" s="219">
        <v>223</v>
      </c>
      <c r="R72" s="220">
        <v>210</v>
      </c>
    </row>
    <row r="73" spans="1:18" ht="13.5" customHeight="1" x14ac:dyDescent="0.15">
      <c r="A73" s="110" t="str">
        <f t="shared" si="1"/>
        <v>110</v>
      </c>
      <c r="B73" s="174">
        <v>11022</v>
      </c>
      <c r="C73" s="175" t="s">
        <v>656</v>
      </c>
      <c r="D73" s="176" t="s">
        <v>685</v>
      </c>
      <c r="E73" s="177">
        <v>16.577500000000001</v>
      </c>
      <c r="F73" s="178">
        <v>70</v>
      </c>
      <c r="G73" s="187">
        <v>11022</v>
      </c>
      <c r="H73" s="188" t="s">
        <v>656</v>
      </c>
      <c r="I73" s="181">
        <v>376</v>
      </c>
      <c r="J73" s="182">
        <v>6</v>
      </c>
      <c r="K73" s="183">
        <v>11022</v>
      </c>
      <c r="L73" s="184" t="s">
        <v>656</v>
      </c>
      <c r="M73" s="185">
        <v>90.257142857142853</v>
      </c>
      <c r="N73" s="186">
        <v>10</v>
      </c>
      <c r="O73" s="105">
        <v>11022</v>
      </c>
      <c r="P73" s="102" t="s">
        <v>656</v>
      </c>
      <c r="Q73" s="219">
        <v>396</v>
      </c>
      <c r="R73" s="220">
        <v>7</v>
      </c>
    </row>
    <row r="74" spans="1:18" ht="13.5" customHeight="1" x14ac:dyDescent="0.15">
      <c r="A74" s="110" t="str">
        <f t="shared" si="1"/>
        <v>110</v>
      </c>
      <c r="B74" s="174">
        <v>11008</v>
      </c>
      <c r="C74" s="175" t="s">
        <v>643</v>
      </c>
      <c r="D74" s="176" t="s">
        <v>684</v>
      </c>
      <c r="E74" s="177">
        <v>17.006799999999998</v>
      </c>
      <c r="F74" s="178">
        <v>71</v>
      </c>
      <c r="G74" s="187">
        <v>11008</v>
      </c>
      <c r="H74" s="188" t="s">
        <v>643</v>
      </c>
      <c r="I74" s="181">
        <v>268</v>
      </c>
      <c r="J74" s="182">
        <v>137</v>
      </c>
      <c r="K74" s="183">
        <v>11008</v>
      </c>
      <c r="L74" s="184" t="s">
        <v>643</v>
      </c>
      <c r="M74" s="185">
        <v>59.671428571428571</v>
      </c>
      <c r="N74" s="186">
        <v>124</v>
      </c>
      <c r="O74" s="106">
        <v>11008</v>
      </c>
      <c r="P74" s="103" t="s">
        <v>643</v>
      </c>
      <c r="Q74" s="219">
        <v>288</v>
      </c>
      <c r="R74" s="220">
        <v>116</v>
      </c>
    </row>
    <row r="75" spans="1:18" ht="13.5" customHeight="1" x14ac:dyDescent="0.15">
      <c r="A75" s="110" t="str">
        <f t="shared" si="1"/>
        <v>109</v>
      </c>
      <c r="B75" s="174">
        <v>10917</v>
      </c>
      <c r="C75" s="175" t="s">
        <v>465</v>
      </c>
      <c r="D75" s="176" t="s">
        <v>680</v>
      </c>
      <c r="E75" s="177">
        <v>17.5</v>
      </c>
      <c r="F75" s="178">
        <v>72</v>
      </c>
      <c r="G75" s="187">
        <v>10917</v>
      </c>
      <c r="H75" s="188" t="s">
        <v>465</v>
      </c>
      <c r="I75" s="181">
        <v>282</v>
      </c>
      <c r="J75" s="182">
        <v>112</v>
      </c>
      <c r="K75" s="183">
        <v>10917</v>
      </c>
      <c r="L75" s="184" t="s">
        <v>465</v>
      </c>
      <c r="M75" s="185">
        <v>67.542857142857144</v>
      </c>
      <c r="N75" s="186">
        <v>86</v>
      </c>
      <c r="O75" s="105">
        <v>10917</v>
      </c>
      <c r="P75" s="102" t="s">
        <v>465</v>
      </c>
      <c r="Q75" s="219">
        <v>297</v>
      </c>
      <c r="R75" s="220">
        <v>105</v>
      </c>
    </row>
    <row r="76" spans="1:18" ht="13.5" customHeight="1" x14ac:dyDescent="0.15">
      <c r="A76" s="110" t="str">
        <f t="shared" si="1"/>
        <v>108</v>
      </c>
      <c r="B76" s="174">
        <v>10829</v>
      </c>
      <c r="C76" s="175" t="s">
        <v>599</v>
      </c>
      <c r="D76" s="176" t="s">
        <v>685</v>
      </c>
      <c r="E76" s="177">
        <v>18.181799999999999</v>
      </c>
      <c r="F76" s="178">
        <v>73</v>
      </c>
      <c r="G76" s="187">
        <v>10829</v>
      </c>
      <c r="H76" s="188" t="s">
        <v>599</v>
      </c>
      <c r="I76" s="181">
        <v>361</v>
      </c>
      <c r="J76" s="182">
        <v>16</v>
      </c>
      <c r="K76" s="183">
        <v>10829</v>
      </c>
      <c r="L76" s="184" t="s">
        <v>599</v>
      </c>
      <c r="M76" s="185">
        <v>86.114285714285728</v>
      </c>
      <c r="N76" s="186">
        <v>19</v>
      </c>
      <c r="O76" s="104">
        <v>10829</v>
      </c>
      <c r="P76" s="100" t="s">
        <v>599</v>
      </c>
      <c r="Q76" s="219">
        <v>370</v>
      </c>
      <c r="R76" s="220">
        <v>26</v>
      </c>
    </row>
    <row r="77" spans="1:18" ht="13.5" customHeight="1" x14ac:dyDescent="0.15">
      <c r="A77" s="110" t="str">
        <f t="shared" si="1"/>
        <v>107</v>
      </c>
      <c r="B77" s="174">
        <v>10732</v>
      </c>
      <c r="C77" s="175" t="s">
        <v>571</v>
      </c>
      <c r="D77" s="176" t="s">
        <v>688</v>
      </c>
      <c r="E77" s="177">
        <v>18.243200000000002</v>
      </c>
      <c r="F77" s="178">
        <v>74</v>
      </c>
      <c r="G77" s="187">
        <v>10732</v>
      </c>
      <c r="H77" s="188" t="s">
        <v>571</v>
      </c>
      <c r="I77" s="181">
        <v>296</v>
      </c>
      <c r="J77" s="182">
        <v>84</v>
      </c>
      <c r="K77" s="183">
        <v>10732</v>
      </c>
      <c r="L77" s="184" t="s">
        <v>571</v>
      </c>
      <c r="M77" s="185">
        <v>79.899999999999991</v>
      </c>
      <c r="N77" s="186">
        <v>36</v>
      </c>
      <c r="O77" s="106">
        <v>10732</v>
      </c>
      <c r="P77" s="103" t="s">
        <v>571</v>
      </c>
      <c r="Q77" s="219">
        <v>324</v>
      </c>
      <c r="R77" s="220">
        <v>61</v>
      </c>
    </row>
    <row r="78" spans="1:18" ht="13.5" customHeight="1" x14ac:dyDescent="0.15">
      <c r="A78" s="110" t="str">
        <f t="shared" si="1"/>
        <v>106</v>
      </c>
      <c r="B78" s="174">
        <v>10615</v>
      </c>
      <c r="C78" s="175" t="s">
        <v>523</v>
      </c>
      <c r="D78" s="176" t="s">
        <v>682</v>
      </c>
      <c r="E78" s="177">
        <v>18.243200000000002</v>
      </c>
      <c r="F78" s="178">
        <v>75</v>
      </c>
      <c r="G78" s="187">
        <v>10615</v>
      </c>
      <c r="H78" s="188" t="s">
        <v>523</v>
      </c>
      <c r="I78" s="181">
        <v>222</v>
      </c>
      <c r="J78" s="182">
        <v>224</v>
      </c>
      <c r="K78" s="183">
        <v>10615</v>
      </c>
      <c r="L78" s="184" t="s">
        <v>523</v>
      </c>
      <c r="M78" s="185">
        <v>41.457142857142856</v>
      </c>
      <c r="N78" s="186">
        <v>234</v>
      </c>
      <c r="O78" s="106">
        <v>10615</v>
      </c>
      <c r="P78" s="103" t="s">
        <v>523</v>
      </c>
      <c r="Q78" s="219">
        <v>198</v>
      </c>
      <c r="R78" s="220">
        <v>249</v>
      </c>
    </row>
    <row r="79" spans="1:18" ht="13.5" customHeight="1" x14ac:dyDescent="0.15">
      <c r="A79" s="110" t="str">
        <f t="shared" si="1"/>
        <v>105</v>
      </c>
      <c r="B79" s="174">
        <v>10503</v>
      </c>
      <c r="C79" s="175" t="s">
        <v>483</v>
      </c>
      <c r="D79" s="176" t="s">
        <v>681</v>
      </c>
      <c r="E79" s="177">
        <v>18.5185</v>
      </c>
      <c r="F79" s="178">
        <v>76</v>
      </c>
      <c r="G79" s="187">
        <v>10503</v>
      </c>
      <c r="H79" s="188" t="s">
        <v>483</v>
      </c>
      <c r="I79" s="181">
        <v>257</v>
      </c>
      <c r="J79" s="182">
        <v>150</v>
      </c>
      <c r="K79" s="183">
        <v>10503</v>
      </c>
      <c r="L79" s="184" t="s">
        <v>483</v>
      </c>
      <c r="M79" s="185">
        <v>67.614285714285714</v>
      </c>
      <c r="N79" s="186">
        <v>84</v>
      </c>
      <c r="O79" s="105">
        <v>10503</v>
      </c>
      <c r="P79" s="102" t="s">
        <v>483</v>
      </c>
      <c r="Q79" s="219">
        <v>312</v>
      </c>
      <c r="R79" s="220">
        <v>78</v>
      </c>
    </row>
    <row r="80" spans="1:18" ht="13.5" customHeight="1" x14ac:dyDescent="0.15">
      <c r="A80" s="110" t="str">
        <f t="shared" si="1"/>
        <v>104</v>
      </c>
      <c r="B80" s="174">
        <v>10417</v>
      </c>
      <c r="C80" s="175" t="s">
        <v>465</v>
      </c>
      <c r="D80" s="176" t="s">
        <v>686</v>
      </c>
      <c r="E80" s="177">
        <v>18.604700000000001</v>
      </c>
      <c r="F80" s="178">
        <v>77</v>
      </c>
      <c r="G80" s="179">
        <v>10417</v>
      </c>
      <c r="H80" s="180" t="s">
        <v>465</v>
      </c>
      <c r="I80" s="181">
        <v>325</v>
      </c>
      <c r="J80" s="182">
        <v>48</v>
      </c>
      <c r="K80" s="183">
        <v>10417</v>
      </c>
      <c r="L80" s="184" t="s">
        <v>465</v>
      </c>
      <c r="M80" s="185">
        <v>63.01428571428572</v>
      </c>
      <c r="N80" s="186">
        <v>107</v>
      </c>
      <c r="O80" s="104">
        <v>10417</v>
      </c>
      <c r="P80" s="100" t="s">
        <v>465</v>
      </c>
      <c r="Q80" s="219">
        <v>283</v>
      </c>
      <c r="R80" s="220">
        <v>122</v>
      </c>
    </row>
    <row r="81" spans="1:18" ht="13.5" customHeight="1" x14ac:dyDescent="0.15">
      <c r="A81" s="110" t="str">
        <f t="shared" si="1"/>
        <v>103</v>
      </c>
      <c r="B81" s="174">
        <v>10327</v>
      </c>
      <c r="C81" s="175" t="s">
        <v>446</v>
      </c>
      <c r="D81" s="176" t="s">
        <v>690</v>
      </c>
      <c r="E81" s="177">
        <v>18.918900000000001</v>
      </c>
      <c r="F81" s="178">
        <v>78</v>
      </c>
      <c r="G81" s="187">
        <v>10327</v>
      </c>
      <c r="H81" s="188" t="s">
        <v>446</v>
      </c>
      <c r="I81" s="181">
        <v>266</v>
      </c>
      <c r="J81" s="182">
        <v>142</v>
      </c>
      <c r="K81" s="183">
        <v>10327</v>
      </c>
      <c r="L81" s="184" t="s">
        <v>446</v>
      </c>
      <c r="M81" s="185">
        <v>63.6</v>
      </c>
      <c r="N81" s="186">
        <v>103</v>
      </c>
      <c r="O81" s="104">
        <v>10327</v>
      </c>
      <c r="P81" s="101" t="s">
        <v>446</v>
      </c>
      <c r="Q81" s="219">
        <v>322</v>
      </c>
      <c r="R81" s="220">
        <v>63</v>
      </c>
    </row>
    <row r="82" spans="1:18" ht="13.5" customHeight="1" x14ac:dyDescent="0.15">
      <c r="A82" s="110" t="str">
        <f t="shared" si="1"/>
        <v>102</v>
      </c>
      <c r="B82" s="174">
        <v>10222</v>
      </c>
      <c r="C82" s="175" t="s">
        <v>412</v>
      </c>
      <c r="D82" s="176" t="s">
        <v>684</v>
      </c>
      <c r="E82" s="177">
        <v>19.047599999999999</v>
      </c>
      <c r="F82" s="178">
        <v>79</v>
      </c>
      <c r="G82" s="187">
        <v>10222</v>
      </c>
      <c r="H82" s="188" t="s">
        <v>412</v>
      </c>
      <c r="I82" s="181">
        <v>241</v>
      </c>
      <c r="J82" s="182">
        <v>182</v>
      </c>
      <c r="K82" s="183">
        <v>10222</v>
      </c>
      <c r="L82" s="184" t="s">
        <v>412</v>
      </c>
      <c r="M82" s="185">
        <v>54.81428571428571</v>
      </c>
      <c r="N82" s="186">
        <v>151</v>
      </c>
      <c r="O82" s="106">
        <v>10222</v>
      </c>
      <c r="P82" s="103" t="s">
        <v>412</v>
      </c>
      <c r="Q82" s="219">
        <v>243</v>
      </c>
      <c r="R82" s="220">
        <v>169</v>
      </c>
    </row>
    <row r="83" spans="1:18" ht="13.5" customHeight="1" x14ac:dyDescent="0.15">
      <c r="A83" s="110" t="str">
        <f t="shared" si="1"/>
        <v>101</v>
      </c>
      <c r="B83" s="174">
        <v>10121</v>
      </c>
      <c r="C83" s="175" t="s">
        <v>379</v>
      </c>
      <c r="D83" s="176" t="s">
        <v>689</v>
      </c>
      <c r="E83" s="177">
        <v>19.130400000000002</v>
      </c>
      <c r="F83" s="178">
        <v>80</v>
      </c>
      <c r="G83" s="187">
        <v>10121</v>
      </c>
      <c r="H83" s="188" t="s">
        <v>379</v>
      </c>
      <c r="I83" s="181">
        <v>255</v>
      </c>
      <c r="J83" s="182">
        <v>155</v>
      </c>
      <c r="K83" s="183">
        <v>10121</v>
      </c>
      <c r="L83" s="184" t="s">
        <v>379</v>
      </c>
      <c r="M83" s="185"/>
      <c r="N83" s="186"/>
      <c r="O83" s="106">
        <v>10121</v>
      </c>
      <c r="P83" s="103"/>
      <c r="Q83" s="219"/>
      <c r="R83" s="220"/>
    </row>
    <row r="84" spans="1:18" ht="13.5" customHeight="1" x14ac:dyDescent="0.15">
      <c r="A84" s="110" t="str">
        <f t="shared" si="1"/>
        <v>101</v>
      </c>
      <c r="B84" s="174">
        <v>10130</v>
      </c>
      <c r="C84" s="175" t="s">
        <v>387</v>
      </c>
      <c r="D84" s="176" t="s">
        <v>683</v>
      </c>
      <c r="E84" s="177">
        <v>19.277100000000001</v>
      </c>
      <c r="F84" s="178">
        <v>81</v>
      </c>
      <c r="G84" s="187">
        <v>10130</v>
      </c>
      <c r="H84" s="188" t="s">
        <v>387</v>
      </c>
      <c r="I84" s="181">
        <v>324</v>
      </c>
      <c r="J84" s="182">
        <v>50</v>
      </c>
      <c r="K84" s="183">
        <v>10130</v>
      </c>
      <c r="L84" s="184" t="s">
        <v>387</v>
      </c>
      <c r="M84" s="185">
        <v>67.071428571428569</v>
      </c>
      <c r="N84" s="186">
        <v>91</v>
      </c>
      <c r="O84" s="106">
        <v>10130</v>
      </c>
      <c r="P84" s="103" t="s">
        <v>387</v>
      </c>
      <c r="Q84" s="219">
        <v>314</v>
      </c>
      <c r="R84" s="220">
        <v>76</v>
      </c>
    </row>
    <row r="85" spans="1:18" ht="13.5" customHeight="1" x14ac:dyDescent="0.15">
      <c r="A85" s="110" t="str">
        <f t="shared" si="1"/>
        <v>102</v>
      </c>
      <c r="B85" s="174">
        <v>10220</v>
      </c>
      <c r="C85" s="175" t="s">
        <v>410</v>
      </c>
      <c r="D85" s="176" t="s">
        <v>680</v>
      </c>
      <c r="E85" s="177">
        <v>19.5</v>
      </c>
      <c r="F85" s="178">
        <v>82</v>
      </c>
      <c r="G85" s="187">
        <v>10220</v>
      </c>
      <c r="H85" s="188" t="s">
        <v>410</v>
      </c>
      <c r="I85" s="181">
        <v>308</v>
      </c>
      <c r="J85" s="182">
        <v>68</v>
      </c>
      <c r="K85" s="183">
        <v>10220</v>
      </c>
      <c r="L85" s="184" t="s">
        <v>410</v>
      </c>
      <c r="M85" s="185">
        <v>60.571428571428569</v>
      </c>
      <c r="N85" s="186">
        <v>121</v>
      </c>
      <c r="O85" s="106">
        <v>10220</v>
      </c>
      <c r="P85" s="103" t="s">
        <v>410</v>
      </c>
      <c r="Q85" s="219">
        <v>321</v>
      </c>
      <c r="R85" s="220">
        <v>64</v>
      </c>
    </row>
    <row r="86" spans="1:18" ht="13.5" customHeight="1" x14ac:dyDescent="0.15">
      <c r="A86" s="110" t="str">
        <f t="shared" si="1"/>
        <v>103</v>
      </c>
      <c r="B86" s="174">
        <v>10312</v>
      </c>
      <c r="C86" s="175" t="s">
        <v>432</v>
      </c>
      <c r="D86" s="176" t="s">
        <v>683</v>
      </c>
      <c r="E86" s="177">
        <v>19.678699999999999</v>
      </c>
      <c r="F86" s="178">
        <v>83</v>
      </c>
      <c r="G86" s="187">
        <v>10312</v>
      </c>
      <c r="H86" s="188" t="s">
        <v>432</v>
      </c>
      <c r="I86" s="181">
        <v>350</v>
      </c>
      <c r="J86" s="182">
        <v>22</v>
      </c>
      <c r="K86" s="183">
        <v>10312</v>
      </c>
      <c r="L86" s="184" t="s">
        <v>432</v>
      </c>
      <c r="M86" s="185">
        <v>93.95714285714287</v>
      </c>
      <c r="N86" s="186">
        <v>3</v>
      </c>
      <c r="O86" s="106">
        <v>10312</v>
      </c>
      <c r="P86" s="103" t="s">
        <v>432</v>
      </c>
      <c r="Q86" s="219">
        <v>368</v>
      </c>
      <c r="R86" s="220">
        <v>28</v>
      </c>
    </row>
    <row r="87" spans="1:18" ht="13.5" customHeight="1" x14ac:dyDescent="0.15">
      <c r="A87" s="110" t="str">
        <f t="shared" si="1"/>
        <v>104</v>
      </c>
      <c r="B87" s="174">
        <v>10420</v>
      </c>
      <c r="C87" s="175" t="s">
        <v>468</v>
      </c>
      <c r="D87" s="176" t="s">
        <v>685</v>
      </c>
      <c r="E87" s="177">
        <v>19.786100000000001</v>
      </c>
      <c r="F87" s="178">
        <v>84</v>
      </c>
      <c r="G87" s="187">
        <v>10420</v>
      </c>
      <c r="H87" s="188" t="s">
        <v>468</v>
      </c>
      <c r="I87" s="181">
        <v>299</v>
      </c>
      <c r="J87" s="182">
        <v>82</v>
      </c>
      <c r="K87" s="183">
        <v>10420</v>
      </c>
      <c r="L87" s="184" t="s">
        <v>468</v>
      </c>
      <c r="M87" s="185">
        <v>67.428571428571431</v>
      </c>
      <c r="N87" s="186">
        <v>88</v>
      </c>
      <c r="O87" s="104">
        <v>10420</v>
      </c>
      <c r="P87" s="101" t="s">
        <v>468</v>
      </c>
      <c r="Q87" s="219">
        <v>288</v>
      </c>
      <c r="R87" s="220">
        <v>116</v>
      </c>
    </row>
    <row r="88" spans="1:18" ht="13.5" customHeight="1" x14ac:dyDescent="0.15">
      <c r="A88" s="110" t="str">
        <f t="shared" si="1"/>
        <v>105</v>
      </c>
      <c r="B88" s="174">
        <v>10512</v>
      </c>
      <c r="C88" s="175" t="s">
        <v>491</v>
      </c>
      <c r="D88" s="176" t="s">
        <v>680</v>
      </c>
      <c r="E88" s="177">
        <v>20</v>
      </c>
      <c r="F88" s="178">
        <v>85</v>
      </c>
      <c r="G88" s="187">
        <v>10512</v>
      </c>
      <c r="H88" s="188" t="s">
        <v>491</v>
      </c>
      <c r="I88" s="181">
        <v>339</v>
      </c>
      <c r="J88" s="182">
        <v>29</v>
      </c>
      <c r="K88" s="183">
        <v>10512</v>
      </c>
      <c r="L88" s="184" t="s">
        <v>491</v>
      </c>
      <c r="M88" s="185">
        <v>68.599999999999994</v>
      </c>
      <c r="N88" s="186">
        <v>79</v>
      </c>
      <c r="O88" s="106">
        <v>10512</v>
      </c>
      <c r="P88" s="103" t="s">
        <v>491</v>
      </c>
      <c r="Q88" s="219">
        <v>304</v>
      </c>
      <c r="R88" s="220">
        <v>96</v>
      </c>
    </row>
    <row r="89" spans="1:18" ht="13.5" customHeight="1" x14ac:dyDescent="0.15">
      <c r="A89" s="110" t="str">
        <f t="shared" si="1"/>
        <v>106</v>
      </c>
      <c r="B89" s="174">
        <v>10620</v>
      </c>
      <c r="C89" s="175" t="s">
        <v>527</v>
      </c>
      <c r="D89" s="176" t="s">
        <v>691</v>
      </c>
      <c r="E89" s="177">
        <v>20</v>
      </c>
      <c r="F89" s="178">
        <v>86</v>
      </c>
      <c r="G89" s="187">
        <v>10620</v>
      </c>
      <c r="H89" s="188" t="s">
        <v>527</v>
      </c>
      <c r="I89" s="181">
        <v>307</v>
      </c>
      <c r="J89" s="182">
        <v>69</v>
      </c>
      <c r="K89" s="183">
        <v>10620</v>
      </c>
      <c r="L89" s="184" t="s">
        <v>527</v>
      </c>
      <c r="M89" s="185">
        <v>68.942857142857136</v>
      </c>
      <c r="N89" s="186">
        <v>76</v>
      </c>
      <c r="O89" s="106">
        <v>10620</v>
      </c>
      <c r="P89" s="103" t="s">
        <v>527</v>
      </c>
      <c r="Q89" s="219">
        <v>320</v>
      </c>
      <c r="R89" s="220">
        <v>68</v>
      </c>
    </row>
    <row r="90" spans="1:18" s="46" customFormat="1" ht="13.5" customHeight="1" x14ac:dyDescent="0.15">
      <c r="A90" s="110" t="str">
        <f t="shared" si="1"/>
        <v>107</v>
      </c>
      <c r="B90" s="174">
        <v>10703</v>
      </c>
      <c r="C90" s="175" t="s">
        <v>543</v>
      </c>
      <c r="D90" s="176" t="s">
        <v>683</v>
      </c>
      <c r="E90" s="177">
        <v>20.080300000000001</v>
      </c>
      <c r="F90" s="178">
        <v>87</v>
      </c>
      <c r="G90" s="187">
        <v>10703</v>
      </c>
      <c r="H90" s="188" t="s">
        <v>543</v>
      </c>
      <c r="I90" s="181">
        <v>329</v>
      </c>
      <c r="J90" s="182">
        <v>44</v>
      </c>
      <c r="K90" s="183">
        <v>10703</v>
      </c>
      <c r="L90" s="184" t="s">
        <v>543</v>
      </c>
      <c r="M90" s="185">
        <v>73.900000000000006</v>
      </c>
      <c r="N90" s="186">
        <v>59</v>
      </c>
      <c r="O90" s="106">
        <v>10703</v>
      </c>
      <c r="P90" s="103" t="s">
        <v>543</v>
      </c>
      <c r="Q90" s="219">
        <v>338</v>
      </c>
      <c r="R90" s="220">
        <v>51</v>
      </c>
    </row>
    <row r="91" spans="1:18" ht="13.5" customHeight="1" x14ac:dyDescent="0.15">
      <c r="A91" s="110" t="str">
        <f t="shared" si="1"/>
        <v>108</v>
      </c>
      <c r="B91" s="174">
        <v>10817</v>
      </c>
      <c r="C91" s="175" t="s">
        <v>587</v>
      </c>
      <c r="D91" s="176" t="s">
        <v>684</v>
      </c>
      <c r="E91" s="177">
        <v>20.408200000000001</v>
      </c>
      <c r="F91" s="178">
        <v>88</v>
      </c>
      <c r="G91" s="187">
        <v>10817</v>
      </c>
      <c r="H91" s="188" t="s">
        <v>587</v>
      </c>
      <c r="I91" s="181">
        <v>302</v>
      </c>
      <c r="J91" s="182">
        <v>78</v>
      </c>
      <c r="K91" s="183">
        <v>10817</v>
      </c>
      <c r="L91" s="184" t="s">
        <v>587</v>
      </c>
      <c r="M91" s="185">
        <v>67.657142857142858</v>
      </c>
      <c r="N91" s="186">
        <v>83</v>
      </c>
      <c r="O91" s="106">
        <v>10817</v>
      </c>
      <c r="P91" s="103" t="s">
        <v>587</v>
      </c>
      <c r="Q91" s="219">
        <v>305</v>
      </c>
      <c r="R91" s="220">
        <v>94</v>
      </c>
    </row>
    <row r="92" spans="1:18" ht="13.5" customHeight="1" x14ac:dyDescent="0.15">
      <c r="A92" s="110" t="str">
        <f t="shared" si="1"/>
        <v>109</v>
      </c>
      <c r="B92" s="174">
        <v>10910</v>
      </c>
      <c r="C92" s="175" t="s">
        <v>612</v>
      </c>
      <c r="D92" s="176" t="s">
        <v>694</v>
      </c>
      <c r="E92" s="177">
        <v>20.454499999999999</v>
      </c>
      <c r="F92" s="178">
        <v>89</v>
      </c>
      <c r="G92" s="187">
        <v>10910</v>
      </c>
      <c r="H92" s="188" t="s">
        <v>612</v>
      </c>
      <c r="I92" s="181">
        <v>241</v>
      </c>
      <c r="J92" s="182">
        <v>182</v>
      </c>
      <c r="K92" s="183">
        <v>10910</v>
      </c>
      <c r="L92" s="184" t="s">
        <v>612</v>
      </c>
      <c r="M92" s="185">
        <v>52.128571428571433</v>
      </c>
      <c r="N92" s="186">
        <v>161</v>
      </c>
      <c r="O92" s="106">
        <v>10910</v>
      </c>
      <c r="P92" s="103" t="s">
        <v>612</v>
      </c>
      <c r="Q92" s="219">
        <v>255</v>
      </c>
      <c r="R92" s="220">
        <v>154</v>
      </c>
    </row>
    <row r="93" spans="1:18" ht="13.5" customHeight="1" x14ac:dyDescent="0.15">
      <c r="A93" s="110" t="str">
        <f t="shared" si="1"/>
        <v>110</v>
      </c>
      <c r="B93" s="174">
        <v>11026</v>
      </c>
      <c r="C93" s="175" t="s">
        <v>30</v>
      </c>
      <c r="D93" s="176" t="s">
        <v>680</v>
      </c>
      <c r="E93" s="177">
        <v>20.5</v>
      </c>
      <c r="F93" s="178">
        <v>90</v>
      </c>
      <c r="G93" s="187">
        <v>11026</v>
      </c>
      <c r="H93" s="188" t="s">
        <v>30</v>
      </c>
      <c r="I93" s="181">
        <v>353</v>
      </c>
      <c r="J93" s="182">
        <v>21</v>
      </c>
      <c r="K93" s="183">
        <v>11026</v>
      </c>
      <c r="L93" s="184" t="s">
        <v>30</v>
      </c>
      <c r="M93" s="185">
        <v>71.142857142857139</v>
      </c>
      <c r="N93" s="186">
        <v>68</v>
      </c>
      <c r="O93" s="106">
        <v>11026</v>
      </c>
      <c r="P93" s="103" t="s">
        <v>30</v>
      </c>
      <c r="Q93" s="219">
        <v>372</v>
      </c>
      <c r="R93" s="220">
        <v>23</v>
      </c>
    </row>
    <row r="94" spans="1:18" ht="13.5" customHeight="1" x14ac:dyDescent="0.15">
      <c r="A94" s="110" t="str">
        <f t="shared" si="1"/>
        <v>110</v>
      </c>
      <c r="B94" s="174">
        <v>11019</v>
      </c>
      <c r="C94" s="175" t="s">
        <v>653</v>
      </c>
      <c r="D94" s="176" t="s">
        <v>687</v>
      </c>
      <c r="E94" s="177">
        <v>20.540500000000002</v>
      </c>
      <c r="F94" s="178">
        <v>91</v>
      </c>
      <c r="G94" s="187">
        <v>11019</v>
      </c>
      <c r="H94" s="188" t="s">
        <v>653</v>
      </c>
      <c r="I94" s="181">
        <v>326</v>
      </c>
      <c r="J94" s="182">
        <v>47</v>
      </c>
      <c r="K94" s="183">
        <v>11019</v>
      </c>
      <c r="L94" s="184" t="s">
        <v>653</v>
      </c>
      <c r="M94" s="185">
        <v>63.871428571428559</v>
      </c>
      <c r="N94" s="186">
        <v>100</v>
      </c>
      <c r="O94" s="106">
        <v>11019</v>
      </c>
      <c r="P94" s="103" t="s">
        <v>653</v>
      </c>
      <c r="Q94" s="219">
        <v>312</v>
      </c>
      <c r="R94" s="220">
        <v>78</v>
      </c>
    </row>
    <row r="95" spans="1:18" ht="13.5" customHeight="1" x14ac:dyDescent="0.15">
      <c r="A95" s="107" t="str">
        <f t="shared" si="1"/>
        <v>109</v>
      </c>
      <c r="B95" s="189">
        <v>10919</v>
      </c>
      <c r="C95" s="190" t="s">
        <v>620</v>
      </c>
      <c r="D95" s="191" t="s">
        <v>688</v>
      </c>
      <c r="E95" s="192">
        <v>20.945900000000002</v>
      </c>
      <c r="F95" s="178">
        <v>92</v>
      </c>
      <c r="G95" s="193">
        <v>10919</v>
      </c>
      <c r="H95" s="194" t="s">
        <v>620</v>
      </c>
      <c r="I95" s="195">
        <v>270</v>
      </c>
      <c r="J95" s="182">
        <v>130</v>
      </c>
      <c r="K95" s="193">
        <v>10919</v>
      </c>
      <c r="L95" s="196" t="s">
        <v>620</v>
      </c>
      <c r="M95" s="197">
        <v>58.500000000000007</v>
      </c>
      <c r="N95" s="186">
        <v>130</v>
      </c>
      <c r="O95" s="106">
        <v>10919</v>
      </c>
      <c r="P95" s="103" t="s">
        <v>620</v>
      </c>
      <c r="Q95" s="219">
        <v>290</v>
      </c>
      <c r="R95" s="220">
        <v>110</v>
      </c>
    </row>
    <row r="96" spans="1:18" ht="13.5" customHeight="1" x14ac:dyDescent="0.15">
      <c r="A96" s="110" t="str">
        <f t="shared" si="1"/>
        <v>108</v>
      </c>
      <c r="B96" s="174">
        <v>10811</v>
      </c>
      <c r="C96" s="175" t="s">
        <v>582</v>
      </c>
      <c r="D96" s="176" t="s">
        <v>687</v>
      </c>
      <c r="E96" s="177">
        <v>21.081099999999999</v>
      </c>
      <c r="F96" s="178">
        <v>93</v>
      </c>
      <c r="G96" s="187">
        <v>10811</v>
      </c>
      <c r="H96" s="188" t="s">
        <v>582</v>
      </c>
      <c r="I96" s="181">
        <v>256</v>
      </c>
      <c r="J96" s="182">
        <v>151</v>
      </c>
      <c r="K96" s="183">
        <v>10811</v>
      </c>
      <c r="L96" s="184" t="s">
        <v>582</v>
      </c>
      <c r="M96" s="185">
        <v>67.785714285714278</v>
      </c>
      <c r="N96" s="186">
        <v>82</v>
      </c>
      <c r="O96" s="106">
        <v>10811</v>
      </c>
      <c r="P96" s="103" t="s">
        <v>582</v>
      </c>
      <c r="Q96" s="219">
        <v>306</v>
      </c>
      <c r="R96" s="220">
        <v>93</v>
      </c>
    </row>
    <row r="97" spans="1:18" ht="13.5" customHeight="1" x14ac:dyDescent="0.15">
      <c r="A97" s="110" t="str">
        <f t="shared" si="1"/>
        <v>107</v>
      </c>
      <c r="B97" s="174">
        <v>10720</v>
      </c>
      <c r="C97" s="175" t="s">
        <v>559</v>
      </c>
      <c r="D97" s="176" t="s">
        <v>680</v>
      </c>
      <c r="E97" s="177">
        <v>21.5</v>
      </c>
      <c r="F97" s="178">
        <v>94</v>
      </c>
      <c r="G97" s="187">
        <v>10720</v>
      </c>
      <c r="H97" s="188" t="s">
        <v>559</v>
      </c>
      <c r="I97" s="181">
        <v>288</v>
      </c>
      <c r="J97" s="182">
        <v>97</v>
      </c>
      <c r="K97" s="183">
        <v>10720</v>
      </c>
      <c r="L97" s="184" t="s">
        <v>559</v>
      </c>
      <c r="M97" s="185">
        <v>58.485714285714288</v>
      </c>
      <c r="N97" s="186">
        <v>131</v>
      </c>
      <c r="O97" s="106">
        <v>10720</v>
      </c>
      <c r="P97" s="103" t="s">
        <v>559</v>
      </c>
      <c r="Q97" s="219">
        <v>263</v>
      </c>
      <c r="R97" s="220">
        <v>144</v>
      </c>
    </row>
    <row r="98" spans="1:18" ht="13.5" customHeight="1" x14ac:dyDescent="0.15">
      <c r="A98" s="110" t="str">
        <f t="shared" si="1"/>
        <v>106</v>
      </c>
      <c r="B98" s="174">
        <v>10607</v>
      </c>
      <c r="C98" s="175" t="s">
        <v>515</v>
      </c>
      <c r="D98" s="176" t="s">
        <v>682</v>
      </c>
      <c r="E98" s="177">
        <v>21.621600000000001</v>
      </c>
      <c r="F98" s="178">
        <v>95</v>
      </c>
      <c r="G98" s="187">
        <v>10607</v>
      </c>
      <c r="H98" s="188" t="s">
        <v>515</v>
      </c>
      <c r="I98" s="181">
        <v>287</v>
      </c>
      <c r="J98" s="182">
        <v>101</v>
      </c>
      <c r="K98" s="183">
        <v>10607</v>
      </c>
      <c r="L98" s="184" t="s">
        <v>515</v>
      </c>
      <c r="M98" s="185">
        <v>73.057142857142864</v>
      </c>
      <c r="N98" s="186">
        <v>62</v>
      </c>
      <c r="O98" s="106">
        <v>10607</v>
      </c>
      <c r="P98" s="103" t="s">
        <v>515</v>
      </c>
      <c r="Q98" s="219">
        <v>296</v>
      </c>
      <c r="R98" s="220">
        <v>106</v>
      </c>
    </row>
    <row r="99" spans="1:18" ht="13.5" customHeight="1" x14ac:dyDescent="0.15">
      <c r="A99" s="110" t="str">
        <f t="shared" si="1"/>
        <v>105</v>
      </c>
      <c r="B99" s="174">
        <v>10528</v>
      </c>
      <c r="C99" s="175" t="s">
        <v>506</v>
      </c>
      <c r="D99" s="176" t="s">
        <v>688</v>
      </c>
      <c r="E99" s="177">
        <v>22.2973</v>
      </c>
      <c r="F99" s="178">
        <v>96</v>
      </c>
      <c r="G99" s="187">
        <v>10528</v>
      </c>
      <c r="H99" s="188" t="s">
        <v>506</v>
      </c>
      <c r="I99" s="181">
        <v>288</v>
      </c>
      <c r="J99" s="182">
        <v>97</v>
      </c>
      <c r="K99" s="183">
        <v>10528</v>
      </c>
      <c r="L99" s="184" t="s">
        <v>506</v>
      </c>
      <c r="M99" s="185">
        <v>64.642857142857139</v>
      </c>
      <c r="N99" s="186">
        <v>98</v>
      </c>
      <c r="O99" s="106">
        <v>10528</v>
      </c>
      <c r="P99" s="103" t="s">
        <v>506</v>
      </c>
      <c r="Q99" s="219">
        <v>305</v>
      </c>
      <c r="R99" s="220">
        <v>94</v>
      </c>
    </row>
    <row r="100" spans="1:18" ht="13.5" customHeight="1" x14ac:dyDescent="0.15">
      <c r="A100" s="110" t="str">
        <f t="shared" si="1"/>
        <v>104</v>
      </c>
      <c r="B100" s="174">
        <v>10406</v>
      </c>
      <c r="C100" s="175" t="s">
        <v>458</v>
      </c>
      <c r="D100" s="176" t="s">
        <v>691</v>
      </c>
      <c r="E100" s="177">
        <v>22.352900000000002</v>
      </c>
      <c r="F100" s="178">
        <v>97</v>
      </c>
      <c r="G100" s="179">
        <v>10406</v>
      </c>
      <c r="H100" s="180" t="s">
        <v>458</v>
      </c>
      <c r="I100" s="181">
        <v>336</v>
      </c>
      <c r="J100" s="182">
        <v>33</v>
      </c>
      <c r="K100" s="183">
        <v>10406</v>
      </c>
      <c r="L100" s="184" t="s">
        <v>458</v>
      </c>
      <c r="M100" s="185">
        <v>66.857142857142861</v>
      </c>
      <c r="N100" s="186">
        <v>92</v>
      </c>
      <c r="O100" s="106">
        <v>10406</v>
      </c>
      <c r="P100" s="103" t="s">
        <v>458</v>
      </c>
      <c r="Q100" s="219">
        <v>302</v>
      </c>
      <c r="R100" s="220">
        <v>101</v>
      </c>
    </row>
    <row r="101" spans="1:18" ht="13.5" customHeight="1" x14ac:dyDescent="0.15">
      <c r="A101" s="110" t="str">
        <f t="shared" si="1"/>
        <v>103</v>
      </c>
      <c r="B101" s="174">
        <v>10331</v>
      </c>
      <c r="C101" s="175" t="s">
        <v>450</v>
      </c>
      <c r="D101" s="176" t="s">
        <v>685</v>
      </c>
      <c r="E101" s="177">
        <v>22.459900000000001</v>
      </c>
      <c r="F101" s="178">
        <v>98</v>
      </c>
      <c r="G101" s="187">
        <v>10331</v>
      </c>
      <c r="H101" s="188" t="s">
        <v>450</v>
      </c>
      <c r="I101" s="181">
        <v>372</v>
      </c>
      <c r="J101" s="182">
        <v>10</v>
      </c>
      <c r="K101" s="183">
        <v>10331</v>
      </c>
      <c r="L101" s="184" t="s">
        <v>450</v>
      </c>
      <c r="M101" s="185">
        <v>79.742857142857147</v>
      </c>
      <c r="N101" s="186">
        <v>37</v>
      </c>
      <c r="O101" s="104">
        <v>10331</v>
      </c>
      <c r="P101" s="100" t="s">
        <v>450</v>
      </c>
      <c r="Q101" s="219">
        <v>372</v>
      </c>
      <c r="R101" s="220">
        <v>23</v>
      </c>
    </row>
    <row r="102" spans="1:18" ht="13.5" customHeight="1" x14ac:dyDescent="0.15">
      <c r="A102" s="110" t="str">
        <f t="shared" si="1"/>
        <v>102</v>
      </c>
      <c r="B102" s="174">
        <v>10223</v>
      </c>
      <c r="C102" s="175" t="s">
        <v>413</v>
      </c>
      <c r="D102" s="176" t="s">
        <v>680</v>
      </c>
      <c r="E102" s="177">
        <v>22.5</v>
      </c>
      <c r="F102" s="178">
        <v>99</v>
      </c>
      <c r="G102" s="187">
        <v>10223</v>
      </c>
      <c r="H102" s="188" t="s">
        <v>413</v>
      </c>
      <c r="I102" s="181">
        <v>303</v>
      </c>
      <c r="J102" s="182">
        <v>76</v>
      </c>
      <c r="K102" s="183">
        <v>10223</v>
      </c>
      <c r="L102" s="184" t="s">
        <v>413</v>
      </c>
      <c r="M102" s="185">
        <v>62.485714285714288</v>
      </c>
      <c r="N102" s="186">
        <v>108</v>
      </c>
      <c r="O102" s="106">
        <v>10223</v>
      </c>
      <c r="P102" s="103" t="s">
        <v>413</v>
      </c>
      <c r="Q102" s="219">
        <v>312</v>
      </c>
      <c r="R102" s="220">
        <v>78</v>
      </c>
    </row>
    <row r="103" spans="1:18" ht="13.5" customHeight="1" x14ac:dyDescent="0.15">
      <c r="A103" s="110" t="str">
        <f t="shared" si="1"/>
        <v>101</v>
      </c>
      <c r="B103" s="174">
        <v>10133</v>
      </c>
      <c r="C103" s="175" t="s">
        <v>390</v>
      </c>
      <c r="D103" s="176" t="s">
        <v>686</v>
      </c>
      <c r="E103" s="177">
        <v>22.868200000000002</v>
      </c>
      <c r="F103" s="178">
        <v>100</v>
      </c>
      <c r="G103" s="179">
        <v>10133</v>
      </c>
      <c r="H103" s="180" t="s">
        <v>390</v>
      </c>
      <c r="I103" s="181">
        <v>313</v>
      </c>
      <c r="J103" s="182">
        <v>65</v>
      </c>
      <c r="K103" s="183">
        <v>10133</v>
      </c>
      <c r="L103" s="184" t="s">
        <v>390</v>
      </c>
      <c r="M103" s="185">
        <v>65.649999999999991</v>
      </c>
      <c r="N103" s="186">
        <v>97</v>
      </c>
      <c r="O103" s="106">
        <v>10133</v>
      </c>
      <c r="P103" s="103" t="s">
        <v>390</v>
      </c>
      <c r="Q103" s="219">
        <v>304</v>
      </c>
      <c r="R103" s="220">
        <v>96</v>
      </c>
    </row>
    <row r="104" spans="1:18" ht="13.5" customHeight="1" x14ac:dyDescent="0.15">
      <c r="A104" s="110" t="str">
        <f t="shared" si="1"/>
        <v>101</v>
      </c>
      <c r="B104" s="174">
        <v>10128</v>
      </c>
      <c r="C104" s="175" t="s">
        <v>385</v>
      </c>
      <c r="D104" s="176" t="s">
        <v>685</v>
      </c>
      <c r="E104" s="177">
        <v>22.994700000000002</v>
      </c>
      <c r="F104" s="178">
        <v>101</v>
      </c>
      <c r="G104" s="187">
        <v>10128</v>
      </c>
      <c r="H104" s="188" t="s">
        <v>385</v>
      </c>
      <c r="I104" s="181">
        <v>296</v>
      </c>
      <c r="J104" s="182">
        <v>84</v>
      </c>
      <c r="K104" s="183">
        <v>10128</v>
      </c>
      <c r="L104" s="184" t="s">
        <v>385</v>
      </c>
      <c r="M104" s="185">
        <v>74.914285714285711</v>
      </c>
      <c r="N104" s="186">
        <v>55</v>
      </c>
      <c r="O104" s="106">
        <v>10128</v>
      </c>
      <c r="P104" s="103" t="s">
        <v>385</v>
      </c>
      <c r="Q104" s="219">
        <v>326</v>
      </c>
      <c r="R104" s="220">
        <v>58</v>
      </c>
    </row>
    <row r="105" spans="1:18" ht="13.5" customHeight="1" x14ac:dyDescent="0.15">
      <c r="A105" s="110" t="str">
        <f t="shared" si="1"/>
        <v>102</v>
      </c>
      <c r="B105" s="174">
        <v>10231</v>
      </c>
      <c r="C105" s="175" t="s">
        <v>420</v>
      </c>
      <c r="D105" s="176" t="s">
        <v>685</v>
      </c>
      <c r="E105" s="177">
        <v>23.529399999999999</v>
      </c>
      <c r="F105" s="178">
        <v>102</v>
      </c>
      <c r="G105" s="187">
        <v>10231</v>
      </c>
      <c r="H105" s="188" t="s">
        <v>420</v>
      </c>
      <c r="I105" s="181">
        <v>329</v>
      </c>
      <c r="J105" s="182">
        <v>44</v>
      </c>
      <c r="K105" s="183">
        <v>10231</v>
      </c>
      <c r="L105" s="184" t="s">
        <v>420</v>
      </c>
      <c r="M105" s="185">
        <v>74.857142857142861</v>
      </c>
      <c r="N105" s="186">
        <v>56</v>
      </c>
      <c r="O105" s="104">
        <v>10231</v>
      </c>
      <c r="P105" s="101" t="s">
        <v>420</v>
      </c>
      <c r="Q105" s="219">
        <v>343</v>
      </c>
      <c r="R105" s="220">
        <v>44</v>
      </c>
    </row>
    <row r="106" spans="1:18" ht="13.5" customHeight="1" x14ac:dyDescent="0.15">
      <c r="A106" s="107" t="str">
        <f t="shared" si="1"/>
        <v>103</v>
      </c>
      <c r="B106" s="189">
        <v>10319</v>
      </c>
      <c r="C106" s="190" t="s">
        <v>439</v>
      </c>
      <c r="D106" s="191" t="s">
        <v>686</v>
      </c>
      <c r="E106" s="192">
        <v>23.6434</v>
      </c>
      <c r="F106" s="178">
        <v>103</v>
      </c>
      <c r="G106" s="198">
        <v>10319</v>
      </c>
      <c r="H106" s="199" t="s">
        <v>439</v>
      </c>
      <c r="I106" s="195">
        <v>267</v>
      </c>
      <c r="J106" s="182">
        <v>138</v>
      </c>
      <c r="K106" s="193">
        <v>10319</v>
      </c>
      <c r="L106" s="196" t="s">
        <v>439</v>
      </c>
      <c r="M106" s="197">
        <v>57.242857142857147</v>
      </c>
      <c r="N106" s="186">
        <v>137</v>
      </c>
      <c r="O106" s="106">
        <v>10319</v>
      </c>
      <c r="P106" s="103" t="s">
        <v>439</v>
      </c>
      <c r="Q106" s="219">
        <v>286</v>
      </c>
      <c r="R106" s="220">
        <v>119</v>
      </c>
    </row>
    <row r="107" spans="1:18" ht="13.5" customHeight="1" x14ac:dyDescent="0.15">
      <c r="A107" s="110" t="str">
        <f t="shared" si="1"/>
        <v>104</v>
      </c>
      <c r="B107" s="174">
        <v>10402</v>
      </c>
      <c r="C107" s="175" t="s">
        <v>455</v>
      </c>
      <c r="D107" s="176" t="s">
        <v>682</v>
      </c>
      <c r="E107" s="177">
        <v>23.648599999999998</v>
      </c>
      <c r="F107" s="178">
        <v>104</v>
      </c>
      <c r="G107" s="179">
        <v>10402</v>
      </c>
      <c r="H107" s="180" t="s">
        <v>455</v>
      </c>
      <c r="I107" s="181">
        <v>225</v>
      </c>
      <c r="J107" s="182">
        <v>221</v>
      </c>
      <c r="K107" s="183">
        <v>10402</v>
      </c>
      <c r="L107" s="184" t="s">
        <v>455</v>
      </c>
      <c r="M107" s="185">
        <v>49.771428571428565</v>
      </c>
      <c r="N107" s="186">
        <v>174</v>
      </c>
      <c r="O107" s="106">
        <v>10402</v>
      </c>
      <c r="P107" s="103" t="s">
        <v>455</v>
      </c>
      <c r="Q107" s="219">
        <v>201</v>
      </c>
      <c r="R107" s="220">
        <v>244</v>
      </c>
    </row>
    <row r="108" spans="1:18" ht="13.5" customHeight="1" x14ac:dyDescent="0.15">
      <c r="A108" s="110" t="str">
        <f t="shared" si="1"/>
        <v>105</v>
      </c>
      <c r="B108" s="174">
        <v>10533</v>
      </c>
      <c r="C108" s="175" t="s">
        <v>510</v>
      </c>
      <c r="D108" s="176" t="s">
        <v>688</v>
      </c>
      <c r="E108" s="177">
        <v>24.324300000000001</v>
      </c>
      <c r="F108" s="178">
        <v>105</v>
      </c>
      <c r="G108" s="187">
        <v>10533</v>
      </c>
      <c r="H108" s="188" t="s">
        <v>510</v>
      </c>
      <c r="I108" s="181">
        <v>250</v>
      </c>
      <c r="J108" s="182">
        <v>162</v>
      </c>
      <c r="K108" s="183">
        <v>10533</v>
      </c>
      <c r="L108" s="184" t="s">
        <v>510</v>
      </c>
      <c r="M108" s="185">
        <v>54.74285714285714</v>
      </c>
      <c r="N108" s="186">
        <v>152</v>
      </c>
      <c r="O108" s="106">
        <v>10533</v>
      </c>
      <c r="P108" s="103" t="s">
        <v>510</v>
      </c>
      <c r="Q108" s="219">
        <v>271</v>
      </c>
      <c r="R108" s="220">
        <v>136</v>
      </c>
    </row>
    <row r="109" spans="1:18" ht="13.5" customHeight="1" x14ac:dyDescent="0.15">
      <c r="A109" s="110" t="str">
        <f t="shared" si="1"/>
        <v>106</v>
      </c>
      <c r="B109" s="174">
        <v>10625</v>
      </c>
      <c r="C109" s="175" t="s">
        <v>532</v>
      </c>
      <c r="D109" s="176" t="s">
        <v>686</v>
      </c>
      <c r="E109" s="177">
        <v>24.8062</v>
      </c>
      <c r="F109" s="178">
        <v>106</v>
      </c>
      <c r="G109" s="187">
        <v>10625</v>
      </c>
      <c r="H109" s="188" t="s">
        <v>532</v>
      </c>
      <c r="I109" s="181">
        <v>298</v>
      </c>
      <c r="J109" s="182">
        <v>83</v>
      </c>
      <c r="K109" s="183">
        <v>10625</v>
      </c>
      <c r="L109" s="184" t="s">
        <v>532</v>
      </c>
      <c r="M109" s="185">
        <v>56.899999999999991</v>
      </c>
      <c r="N109" s="186">
        <v>140</v>
      </c>
      <c r="O109" s="105">
        <v>10625</v>
      </c>
      <c r="P109" s="102" t="s">
        <v>532</v>
      </c>
      <c r="Q109" s="219">
        <v>271</v>
      </c>
      <c r="R109" s="220">
        <v>136</v>
      </c>
    </row>
    <row r="110" spans="1:18" ht="13.5" customHeight="1" x14ac:dyDescent="0.15">
      <c r="A110" s="110" t="str">
        <f t="shared" si="1"/>
        <v>107</v>
      </c>
      <c r="B110" s="174">
        <v>10714</v>
      </c>
      <c r="C110" s="175" t="s">
        <v>553</v>
      </c>
      <c r="D110" s="176" t="s">
        <v>687</v>
      </c>
      <c r="E110" s="177">
        <v>24.864899999999999</v>
      </c>
      <c r="F110" s="178">
        <v>107</v>
      </c>
      <c r="G110" s="187">
        <v>10714</v>
      </c>
      <c r="H110" s="188" t="s">
        <v>553</v>
      </c>
      <c r="I110" s="181">
        <v>267</v>
      </c>
      <c r="J110" s="182">
        <v>138</v>
      </c>
      <c r="K110" s="183">
        <v>10714</v>
      </c>
      <c r="L110" s="184" t="s">
        <v>553</v>
      </c>
      <c r="M110" s="185">
        <v>55.4</v>
      </c>
      <c r="N110" s="186">
        <v>146</v>
      </c>
      <c r="O110" s="106">
        <v>10714</v>
      </c>
      <c r="P110" s="103" t="s">
        <v>553</v>
      </c>
      <c r="Q110" s="219">
        <v>227</v>
      </c>
      <c r="R110" s="220">
        <v>205</v>
      </c>
    </row>
    <row r="111" spans="1:18" ht="13.5" customHeight="1" x14ac:dyDescent="0.15">
      <c r="A111" s="110" t="str">
        <f t="shared" si="1"/>
        <v>108</v>
      </c>
      <c r="B111" s="174">
        <v>10810</v>
      </c>
      <c r="C111" s="175" t="s">
        <v>735</v>
      </c>
      <c r="D111" s="176" t="s">
        <v>682</v>
      </c>
      <c r="E111" s="177">
        <v>25</v>
      </c>
      <c r="F111" s="178">
        <v>108</v>
      </c>
      <c r="G111" s="183"/>
      <c r="H111" s="180"/>
      <c r="I111" s="181"/>
      <c r="J111" s="182"/>
      <c r="K111" s="183">
        <v>10810</v>
      </c>
      <c r="L111" s="184" t="s">
        <v>735</v>
      </c>
      <c r="M111" s="185">
        <v>38.585714285714289</v>
      </c>
      <c r="N111" s="186">
        <v>254</v>
      </c>
      <c r="O111" s="106">
        <v>10810</v>
      </c>
      <c r="P111" s="103"/>
      <c r="Q111" s="219"/>
      <c r="R111" s="220"/>
    </row>
    <row r="112" spans="1:18" ht="13.5" customHeight="1" x14ac:dyDescent="0.15">
      <c r="A112" s="110" t="str">
        <f t="shared" si="1"/>
        <v>109</v>
      </c>
      <c r="B112" s="174">
        <v>10905</v>
      </c>
      <c r="C112" s="175" t="s">
        <v>608</v>
      </c>
      <c r="D112" s="176" t="s">
        <v>684</v>
      </c>
      <c r="E112" s="177">
        <v>25.170100000000001</v>
      </c>
      <c r="F112" s="178">
        <v>109</v>
      </c>
      <c r="G112" s="187">
        <v>10905</v>
      </c>
      <c r="H112" s="188" t="s">
        <v>608</v>
      </c>
      <c r="I112" s="181">
        <v>282</v>
      </c>
      <c r="J112" s="182">
        <v>112</v>
      </c>
      <c r="K112" s="183">
        <v>10905</v>
      </c>
      <c r="L112" s="184" t="s">
        <v>608</v>
      </c>
      <c r="M112" s="185">
        <v>65.900000000000006</v>
      </c>
      <c r="N112" s="186">
        <v>95</v>
      </c>
      <c r="O112" s="105">
        <v>10905</v>
      </c>
      <c r="P112" s="102" t="s">
        <v>608</v>
      </c>
      <c r="Q112" s="219">
        <v>296</v>
      </c>
      <c r="R112" s="220">
        <v>106</v>
      </c>
    </row>
    <row r="113" spans="1:18" ht="13.5" customHeight="1" x14ac:dyDescent="0.15">
      <c r="A113" s="110" t="str">
        <f t="shared" si="1"/>
        <v>110</v>
      </c>
      <c r="B113" s="174">
        <v>11033</v>
      </c>
      <c r="C113" s="175" t="s">
        <v>509</v>
      </c>
      <c r="D113" s="176" t="s">
        <v>686</v>
      </c>
      <c r="E113" s="177">
        <v>25.1938</v>
      </c>
      <c r="F113" s="178">
        <v>110</v>
      </c>
      <c r="G113" s="187">
        <v>11033</v>
      </c>
      <c r="H113" s="188" t="s">
        <v>509</v>
      </c>
      <c r="I113" s="181">
        <v>245</v>
      </c>
      <c r="J113" s="182">
        <v>170</v>
      </c>
      <c r="K113" s="183">
        <v>11033</v>
      </c>
      <c r="L113" s="184" t="s">
        <v>509</v>
      </c>
      <c r="M113" s="185">
        <v>59.128571428571426</v>
      </c>
      <c r="N113" s="186">
        <v>126</v>
      </c>
      <c r="O113" s="106">
        <v>11033</v>
      </c>
      <c r="P113" s="103" t="s">
        <v>509</v>
      </c>
      <c r="Q113" s="219">
        <v>299</v>
      </c>
      <c r="R113" s="220">
        <v>103</v>
      </c>
    </row>
    <row r="114" spans="1:18" ht="13.5" customHeight="1" x14ac:dyDescent="0.15">
      <c r="A114" s="110" t="str">
        <f t="shared" si="1"/>
        <v>110</v>
      </c>
      <c r="B114" s="174">
        <v>11009</v>
      </c>
      <c r="C114" s="175" t="s">
        <v>644</v>
      </c>
      <c r="D114" s="176" t="s">
        <v>682</v>
      </c>
      <c r="E114" s="177">
        <v>25.675699999999999</v>
      </c>
      <c r="F114" s="178">
        <v>111</v>
      </c>
      <c r="G114" s="187">
        <v>11009</v>
      </c>
      <c r="H114" s="188" t="s">
        <v>644</v>
      </c>
      <c r="I114" s="181">
        <v>261</v>
      </c>
      <c r="J114" s="182">
        <v>145</v>
      </c>
      <c r="K114" s="183">
        <v>11009</v>
      </c>
      <c r="L114" s="184" t="s">
        <v>644</v>
      </c>
      <c r="M114" s="185">
        <v>48.628571428571426</v>
      </c>
      <c r="N114" s="186">
        <v>181</v>
      </c>
      <c r="O114" s="106">
        <v>11009</v>
      </c>
      <c r="P114" s="103" t="s">
        <v>644</v>
      </c>
      <c r="Q114" s="219">
        <v>228</v>
      </c>
      <c r="R114" s="220">
        <v>204</v>
      </c>
    </row>
    <row r="115" spans="1:18" ht="13.5" customHeight="1" x14ac:dyDescent="0.15">
      <c r="A115" s="110" t="str">
        <f t="shared" si="1"/>
        <v>109</v>
      </c>
      <c r="B115" s="174">
        <v>10930</v>
      </c>
      <c r="C115" s="175" t="s">
        <v>631</v>
      </c>
      <c r="D115" s="176" t="s">
        <v>680</v>
      </c>
      <c r="E115" s="177">
        <v>26</v>
      </c>
      <c r="F115" s="178">
        <v>112</v>
      </c>
      <c r="G115" s="187">
        <v>10930</v>
      </c>
      <c r="H115" s="188" t="s">
        <v>631</v>
      </c>
      <c r="I115" s="181">
        <v>321</v>
      </c>
      <c r="J115" s="182">
        <v>53</v>
      </c>
      <c r="K115" s="183">
        <v>10930</v>
      </c>
      <c r="L115" s="184" t="s">
        <v>631</v>
      </c>
      <c r="M115" s="185">
        <v>70.98571428571428</v>
      </c>
      <c r="N115" s="186">
        <v>70</v>
      </c>
      <c r="O115" s="104">
        <v>10930</v>
      </c>
      <c r="P115" s="100" t="s">
        <v>631</v>
      </c>
      <c r="Q115" s="219">
        <v>317</v>
      </c>
      <c r="R115" s="220">
        <v>72</v>
      </c>
    </row>
    <row r="116" spans="1:18" ht="13.5" customHeight="1" x14ac:dyDescent="0.15">
      <c r="A116" s="110" t="str">
        <f t="shared" si="1"/>
        <v>108</v>
      </c>
      <c r="B116" s="174">
        <v>10834</v>
      </c>
      <c r="C116" s="175" t="s">
        <v>604</v>
      </c>
      <c r="D116" s="176" t="s">
        <v>681</v>
      </c>
      <c r="E116" s="177">
        <v>26.454999999999998</v>
      </c>
      <c r="F116" s="178">
        <v>113</v>
      </c>
      <c r="G116" s="187">
        <v>10834</v>
      </c>
      <c r="H116" s="188" t="s">
        <v>604</v>
      </c>
      <c r="I116" s="181">
        <v>277</v>
      </c>
      <c r="J116" s="182">
        <v>122</v>
      </c>
      <c r="K116" s="183">
        <v>10834</v>
      </c>
      <c r="L116" s="184" t="s">
        <v>604</v>
      </c>
      <c r="M116" s="185">
        <v>48.357142857142868</v>
      </c>
      <c r="N116" s="186">
        <v>182</v>
      </c>
      <c r="O116" s="106">
        <v>10834</v>
      </c>
      <c r="P116" s="103" t="s">
        <v>604</v>
      </c>
      <c r="Q116" s="219">
        <v>239</v>
      </c>
      <c r="R116" s="220">
        <v>176</v>
      </c>
    </row>
    <row r="117" spans="1:18" ht="13.5" customHeight="1" x14ac:dyDescent="0.15">
      <c r="A117" s="110" t="str">
        <f t="shared" si="1"/>
        <v>107</v>
      </c>
      <c r="B117" s="174">
        <v>10718</v>
      </c>
      <c r="C117" s="175" t="s">
        <v>557</v>
      </c>
      <c r="D117" s="176" t="s">
        <v>686</v>
      </c>
      <c r="E117" s="177">
        <v>26.744199999999999</v>
      </c>
      <c r="F117" s="178">
        <v>114</v>
      </c>
      <c r="G117" s="187">
        <v>10718</v>
      </c>
      <c r="H117" s="188" t="s">
        <v>557</v>
      </c>
      <c r="I117" s="181">
        <v>269</v>
      </c>
      <c r="J117" s="182">
        <v>134</v>
      </c>
      <c r="K117" s="183">
        <v>10718</v>
      </c>
      <c r="L117" s="184" t="s">
        <v>557</v>
      </c>
      <c r="M117" s="185">
        <v>45.24285714285714</v>
      </c>
      <c r="N117" s="186">
        <v>198</v>
      </c>
      <c r="O117" s="104">
        <v>10718</v>
      </c>
      <c r="P117" s="100" t="s">
        <v>557</v>
      </c>
      <c r="Q117" s="219">
        <v>254</v>
      </c>
      <c r="R117" s="220">
        <v>157</v>
      </c>
    </row>
    <row r="118" spans="1:18" ht="13.5" customHeight="1" x14ac:dyDescent="0.15">
      <c r="A118" s="110" t="str">
        <f t="shared" si="1"/>
        <v>106</v>
      </c>
      <c r="B118" s="174">
        <v>10624</v>
      </c>
      <c r="C118" s="175" t="s">
        <v>531</v>
      </c>
      <c r="D118" s="176" t="s">
        <v>681</v>
      </c>
      <c r="E118" s="177">
        <v>26.984100000000002</v>
      </c>
      <c r="F118" s="178">
        <v>115</v>
      </c>
      <c r="G118" s="187">
        <v>10624</v>
      </c>
      <c r="H118" s="188" t="s">
        <v>531</v>
      </c>
      <c r="I118" s="181">
        <v>281</v>
      </c>
      <c r="J118" s="182">
        <v>114</v>
      </c>
      <c r="K118" s="183">
        <v>10624</v>
      </c>
      <c r="L118" s="184" t="s">
        <v>531</v>
      </c>
      <c r="M118" s="185">
        <v>63.228571428571435</v>
      </c>
      <c r="N118" s="186">
        <v>105</v>
      </c>
      <c r="O118" s="106">
        <v>10624</v>
      </c>
      <c r="P118" s="103" t="s">
        <v>531</v>
      </c>
      <c r="Q118" s="219">
        <v>292</v>
      </c>
      <c r="R118" s="220">
        <v>109</v>
      </c>
    </row>
    <row r="119" spans="1:18" ht="13.5" customHeight="1" x14ac:dyDescent="0.15">
      <c r="A119" s="110" t="str">
        <f t="shared" si="1"/>
        <v>105</v>
      </c>
      <c r="B119" s="174">
        <v>10530</v>
      </c>
      <c r="C119" s="175" t="s">
        <v>508</v>
      </c>
      <c r="D119" s="176" t="s">
        <v>688</v>
      </c>
      <c r="E119" s="177">
        <v>27.027000000000001</v>
      </c>
      <c r="F119" s="178">
        <v>116</v>
      </c>
      <c r="G119" s="179">
        <v>10530</v>
      </c>
      <c r="H119" s="180" t="s">
        <v>508</v>
      </c>
      <c r="I119" s="181">
        <v>306</v>
      </c>
      <c r="J119" s="182">
        <v>72</v>
      </c>
      <c r="K119" s="183">
        <v>10530</v>
      </c>
      <c r="L119" s="184" t="s">
        <v>508</v>
      </c>
      <c r="M119" s="185">
        <v>57.414285714285718</v>
      </c>
      <c r="N119" s="186">
        <v>135</v>
      </c>
      <c r="O119" s="106">
        <v>10530</v>
      </c>
      <c r="P119" s="103" t="s">
        <v>508</v>
      </c>
      <c r="Q119" s="219">
        <v>281</v>
      </c>
      <c r="R119" s="220">
        <v>124</v>
      </c>
    </row>
    <row r="120" spans="1:18" ht="13.5" customHeight="1" x14ac:dyDescent="0.15">
      <c r="A120" s="110" t="str">
        <f t="shared" si="1"/>
        <v>104</v>
      </c>
      <c r="B120" s="174">
        <v>10432</v>
      </c>
      <c r="C120" s="175" t="s">
        <v>666</v>
      </c>
      <c r="D120" s="176" t="s">
        <v>691</v>
      </c>
      <c r="E120" s="177">
        <v>27.058800000000002</v>
      </c>
      <c r="F120" s="178">
        <v>117</v>
      </c>
      <c r="G120" s="183"/>
      <c r="H120" s="180"/>
      <c r="I120" s="181"/>
      <c r="J120" s="182"/>
      <c r="K120" s="183">
        <v>10432</v>
      </c>
      <c r="L120" s="184" t="s">
        <v>666</v>
      </c>
      <c r="M120" s="185">
        <v>54.557142857142857</v>
      </c>
      <c r="N120" s="186">
        <v>156</v>
      </c>
      <c r="O120" s="106">
        <v>10432</v>
      </c>
      <c r="P120" s="103" t="s">
        <v>666</v>
      </c>
      <c r="Q120" s="219">
        <v>238</v>
      </c>
      <c r="R120" s="220">
        <v>180</v>
      </c>
    </row>
    <row r="121" spans="1:18" ht="13.5" customHeight="1" x14ac:dyDescent="0.15">
      <c r="A121" s="110" t="str">
        <f t="shared" si="1"/>
        <v>103</v>
      </c>
      <c r="B121" s="174">
        <v>10329</v>
      </c>
      <c r="C121" s="175" t="s">
        <v>448</v>
      </c>
      <c r="D121" s="176" t="s">
        <v>685</v>
      </c>
      <c r="E121" s="177">
        <v>27.2727</v>
      </c>
      <c r="F121" s="178">
        <v>118</v>
      </c>
      <c r="G121" s="187">
        <v>10329</v>
      </c>
      <c r="H121" s="188" t="s">
        <v>448</v>
      </c>
      <c r="I121" s="181">
        <v>286</v>
      </c>
      <c r="J121" s="182">
        <v>102</v>
      </c>
      <c r="K121" s="183">
        <v>10329</v>
      </c>
      <c r="L121" s="184" t="s">
        <v>448</v>
      </c>
      <c r="M121" s="185">
        <v>68.671428571428578</v>
      </c>
      <c r="N121" s="186">
        <v>78</v>
      </c>
      <c r="O121" s="106">
        <v>10329</v>
      </c>
      <c r="P121" s="103" t="s">
        <v>448</v>
      </c>
      <c r="Q121" s="219">
        <v>303</v>
      </c>
      <c r="R121" s="220">
        <v>99</v>
      </c>
    </row>
    <row r="122" spans="1:18" ht="13.5" customHeight="1" x14ac:dyDescent="0.15">
      <c r="A122" s="110" t="str">
        <f t="shared" si="1"/>
        <v>102</v>
      </c>
      <c r="B122" s="174">
        <v>10202</v>
      </c>
      <c r="C122" s="175" t="s">
        <v>393</v>
      </c>
      <c r="D122" s="176" t="s">
        <v>680</v>
      </c>
      <c r="E122" s="177">
        <v>27.5</v>
      </c>
      <c r="F122" s="178">
        <v>119</v>
      </c>
      <c r="G122" s="187">
        <v>10202</v>
      </c>
      <c r="H122" s="188" t="s">
        <v>393</v>
      </c>
      <c r="I122" s="181">
        <v>273</v>
      </c>
      <c r="J122" s="182">
        <v>125</v>
      </c>
      <c r="K122" s="183">
        <v>10202</v>
      </c>
      <c r="L122" s="184" t="s">
        <v>393</v>
      </c>
      <c r="M122" s="185">
        <v>60.928571428571423</v>
      </c>
      <c r="N122" s="186">
        <v>118</v>
      </c>
      <c r="O122" s="104">
        <v>10202</v>
      </c>
      <c r="P122" s="100" t="s">
        <v>393</v>
      </c>
      <c r="Q122" s="219">
        <v>276</v>
      </c>
      <c r="R122" s="220">
        <v>132</v>
      </c>
    </row>
    <row r="123" spans="1:18" ht="13.5" customHeight="1" x14ac:dyDescent="0.15">
      <c r="A123" s="110" t="str">
        <f t="shared" si="1"/>
        <v>101</v>
      </c>
      <c r="B123" s="174">
        <v>10117</v>
      </c>
      <c r="C123" s="175" t="s">
        <v>375</v>
      </c>
      <c r="D123" s="176" t="s">
        <v>681</v>
      </c>
      <c r="E123" s="177">
        <v>27.513200000000001</v>
      </c>
      <c r="F123" s="178">
        <v>120</v>
      </c>
      <c r="G123" s="187">
        <v>10117</v>
      </c>
      <c r="H123" s="188" t="s">
        <v>375</v>
      </c>
      <c r="I123" s="181">
        <v>227</v>
      </c>
      <c r="J123" s="182">
        <v>211</v>
      </c>
      <c r="K123" s="183">
        <v>10117</v>
      </c>
      <c r="L123" s="184" t="s">
        <v>375</v>
      </c>
      <c r="M123" s="185">
        <v>62.271428571428565</v>
      </c>
      <c r="N123" s="186">
        <v>112</v>
      </c>
      <c r="O123" s="106">
        <v>10117</v>
      </c>
      <c r="P123" s="103" t="s">
        <v>375</v>
      </c>
      <c r="Q123" s="219">
        <v>266</v>
      </c>
      <c r="R123" s="220">
        <v>142</v>
      </c>
    </row>
    <row r="124" spans="1:18" ht="13.5" customHeight="1" x14ac:dyDescent="0.15">
      <c r="A124" s="110" t="str">
        <f t="shared" si="1"/>
        <v>101</v>
      </c>
      <c r="B124" s="174">
        <v>10103</v>
      </c>
      <c r="C124" s="175" t="s">
        <v>362</v>
      </c>
      <c r="D124" s="176" t="s">
        <v>682</v>
      </c>
      <c r="E124" s="177">
        <v>27.7027</v>
      </c>
      <c r="F124" s="178">
        <v>121</v>
      </c>
      <c r="G124" s="187">
        <v>10103</v>
      </c>
      <c r="H124" s="188" t="s">
        <v>362</v>
      </c>
      <c r="I124" s="181">
        <v>244</v>
      </c>
      <c r="J124" s="182">
        <v>173</v>
      </c>
      <c r="K124" s="183">
        <v>10103</v>
      </c>
      <c r="L124" s="184" t="s">
        <v>362</v>
      </c>
      <c r="M124" s="185">
        <v>44.399999999999991</v>
      </c>
      <c r="N124" s="186">
        <v>206</v>
      </c>
      <c r="O124" s="106">
        <v>10103</v>
      </c>
      <c r="P124" s="103" t="s">
        <v>362</v>
      </c>
      <c r="Q124" s="219">
        <v>234</v>
      </c>
      <c r="R124" s="220">
        <v>189</v>
      </c>
    </row>
    <row r="125" spans="1:18" ht="13.5" customHeight="1" x14ac:dyDescent="0.15">
      <c r="A125" s="110" t="str">
        <f t="shared" si="1"/>
        <v>102</v>
      </c>
      <c r="B125" s="174">
        <v>10210</v>
      </c>
      <c r="C125" s="175" t="s">
        <v>401</v>
      </c>
      <c r="D125" s="176" t="s">
        <v>680</v>
      </c>
      <c r="E125" s="177">
        <v>28</v>
      </c>
      <c r="F125" s="178">
        <v>122</v>
      </c>
      <c r="G125" s="187">
        <v>10210</v>
      </c>
      <c r="H125" s="188" t="s">
        <v>401</v>
      </c>
      <c r="I125" s="181">
        <v>224</v>
      </c>
      <c r="J125" s="182">
        <v>223</v>
      </c>
      <c r="K125" s="183">
        <v>10210</v>
      </c>
      <c r="L125" s="184" t="s">
        <v>401</v>
      </c>
      <c r="M125" s="185">
        <v>45.628571428571426</v>
      </c>
      <c r="N125" s="186">
        <v>194</v>
      </c>
      <c r="O125" s="106">
        <v>10210</v>
      </c>
      <c r="P125" s="103" t="s">
        <v>401</v>
      </c>
      <c r="Q125" s="219">
        <v>265</v>
      </c>
      <c r="R125" s="220">
        <v>143</v>
      </c>
    </row>
    <row r="126" spans="1:18" ht="13.5" customHeight="1" x14ac:dyDescent="0.15">
      <c r="A126" s="110" t="str">
        <f t="shared" si="1"/>
        <v>103</v>
      </c>
      <c r="B126" s="174">
        <v>10317</v>
      </c>
      <c r="C126" s="175" t="s">
        <v>437</v>
      </c>
      <c r="D126" s="176" t="s">
        <v>683</v>
      </c>
      <c r="E126" s="177">
        <v>28.112400000000001</v>
      </c>
      <c r="F126" s="178">
        <v>123</v>
      </c>
      <c r="G126" s="187">
        <v>10317</v>
      </c>
      <c r="H126" s="188" t="s">
        <v>437</v>
      </c>
      <c r="I126" s="181">
        <v>281</v>
      </c>
      <c r="J126" s="182">
        <v>114</v>
      </c>
      <c r="K126" s="183">
        <v>10317</v>
      </c>
      <c r="L126" s="184" t="s">
        <v>437</v>
      </c>
      <c r="M126" s="185">
        <v>78.228571428571428</v>
      </c>
      <c r="N126" s="186">
        <v>43</v>
      </c>
      <c r="O126" s="105">
        <v>10317</v>
      </c>
      <c r="P126" s="102" t="s">
        <v>437</v>
      </c>
      <c r="Q126" s="219">
        <v>307</v>
      </c>
      <c r="R126" s="220">
        <v>90</v>
      </c>
    </row>
    <row r="127" spans="1:18" ht="13.5" customHeight="1" x14ac:dyDescent="0.15">
      <c r="A127" s="110" t="str">
        <f t="shared" si="1"/>
        <v>104</v>
      </c>
      <c r="B127" s="174">
        <v>10413</v>
      </c>
      <c r="C127" s="175" t="s">
        <v>463</v>
      </c>
      <c r="D127" s="176" t="s">
        <v>680</v>
      </c>
      <c r="E127" s="177">
        <v>28.5</v>
      </c>
      <c r="F127" s="178">
        <v>124</v>
      </c>
      <c r="G127" s="179">
        <v>10413</v>
      </c>
      <c r="H127" s="180" t="s">
        <v>463</v>
      </c>
      <c r="I127" s="181">
        <v>216</v>
      </c>
      <c r="J127" s="182">
        <v>237</v>
      </c>
      <c r="K127" s="183">
        <v>10413</v>
      </c>
      <c r="L127" s="184" t="s">
        <v>463</v>
      </c>
      <c r="M127" s="185">
        <v>51.428571428571431</v>
      </c>
      <c r="N127" s="186">
        <v>167</v>
      </c>
      <c r="O127" s="106">
        <v>10413</v>
      </c>
      <c r="P127" s="103" t="s">
        <v>463</v>
      </c>
      <c r="Q127" s="219">
        <v>239</v>
      </c>
      <c r="R127" s="220">
        <v>176</v>
      </c>
    </row>
    <row r="128" spans="1:18" ht="13.5" customHeight="1" x14ac:dyDescent="0.15">
      <c r="A128" s="110" t="str">
        <f t="shared" si="1"/>
        <v>105</v>
      </c>
      <c r="B128" s="174">
        <v>10525</v>
      </c>
      <c r="C128" s="175" t="s">
        <v>503</v>
      </c>
      <c r="D128" s="176" t="s">
        <v>684</v>
      </c>
      <c r="E128" s="177">
        <v>28.571400000000001</v>
      </c>
      <c r="F128" s="178">
        <v>125</v>
      </c>
      <c r="G128" s="187">
        <v>10525</v>
      </c>
      <c r="H128" s="188" t="s">
        <v>503</v>
      </c>
      <c r="I128" s="181">
        <v>283</v>
      </c>
      <c r="J128" s="182">
        <v>108</v>
      </c>
      <c r="K128" s="183">
        <v>10525</v>
      </c>
      <c r="L128" s="184" t="s">
        <v>503</v>
      </c>
      <c r="M128" s="185">
        <v>54.942857142857143</v>
      </c>
      <c r="N128" s="186">
        <v>149</v>
      </c>
      <c r="O128" s="106">
        <v>10525</v>
      </c>
      <c r="P128" s="103" t="s">
        <v>503</v>
      </c>
      <c r="Q128" s="219">
        <v>311</v>
      </c>
      <c r="R128" s="220">
        <v>83</v>
      </c>
    </row>
    <row r="129" spans="1:18" ht="13.5" customHeight="1" x14ac:dyDescent="0.15">
      <c r="A129" s="110" t="str">
        <f t="shared" si="1"/>
        <v>106</v>
      </c>
      <c r="B129" s="174">
        <v>10627</v>
      </c>
      <c r="C129" s="175" t="s">
        <v>534</v>
      </c>
      <c r="D129" s="176" t="s">
        <v>681</v>
      </c>
      <c r="E129" s="177">
        <v>28.571400000000001</v>
      </c>
      <c r="F129" s="178">
        <v>126</v>
      </c>
      <c r="G129" s="187">
        <v>10627</v>
      </c>
      <c r="H129" s="188" t="s">
        <v>534</v>
      </c>
      <c r="I129" s="181">
        <v>318</v>
      </c>
      <c r="J129" s="182">
        <v>58</v>
      </c>
      <c r="K129" s="183">
        <v>10627</v>
      </c>
      <c r="L129" s="184" t="s">
        <v>534</v>
      </c>
      <c r="M129" s="185">
        <v>71.8</v>
      </c>
      <c r="N129" s="186">
        <v>64</v>
      </c>
      <c r="O129" s="104">
        <v>10627</v>
      </c>
      <c r="P129" s="100" t="s">
        <v>534</v>
      </c>
      <c r="Q129" s="219">
        <v>310</v>
      </c>
      <c r="R129" s="220">
        <v>86</v>
      </c>
    </row>
    <row r="130" spans="1:18" ht="13.5" customHeight="1" x14ac:dyDescent="0.15">
      <c r="A130" s="110" t="str">
        <f t="shared" si="1"/>
        <v>107</v>
      </c>
      <c r="B130" s="174">
        <v>10728</v>
      </c>
      <c r="C130" s="175" t="s">
        <v>567</v>
      </c>
      <c r="D130" s="176" t="s">
        <v>691</v>
      </c>
      <c r="E130" s="177">
        <v>28.627500000000001</v>
      </c>
      <c r="F130" s="178">
        <v>127</v>
      </c>
      <c r="G130" s="187">
        <v>10728</v>
      </c>
      <c r="H130" s="188" t="s">
        <v>567</v>
      </c>
      <c r="I130" s="181">
        <v>270</v>
      </c>
      <c r="J130" s="182">
        <v>130</v>
      </c>
      <c r="K130" s="183">
        <v>10728</v>
      </c>
      <c r="L130" s="184" t="s">
        <v>567</v>
      </c>
      <c r="M130" s="185">
        <v>66.414285714285711</v>
      </c>
      <c r="N130" s="186">
        <v>94</v>
      </c>
      <c r="O130" s="104">
        <v>10728</v>
      </c>
      <c r="P130" s="101" t="s">
        <v>567</v>
      </c>
      <c r="Q130" s="219">
        <v>279</v>
      </c>
      <c r="R130" s="220">
        <v>128</v>
      </c>
    </row>
    <row r="131" spans="1:18" ht="13.5" customHeight="1" x14ac:dyDescent="0.15">
      <c r="A131" s="110" t="str">
        <f t="shared" si="1"/>
        <v>108</v>
      </c>
      <c r="B131" s="174">
        <v>10802</v>
      </c>
      <c r="C131" s="175" t="s">
        <v>575</v>
      </c>
      <c r="D131" s="176" t="s">
        <v>686</v>
      </c>
      <c r="E131" s="177">
        <v>28.682200000000002</v>
      </c>
      <c r="F131" s="178">
        <v>128</v>
      </c>
      <c r="G131" s="187">
        <v>10802</v>
      </c>
      <c r="H131" s="188" t="s">
        <v>575</v>
      </c>
      <c r="I131" s="181">
        <v>243</v>
      </c>
      <c r="J131" s="182">
        <v>179</v>
      </c>
      <c r="K131" s="183">
        <v>10802</v>
      </c>
      <c r="L131" s="184" t="s">
        <v>575</v>
      </c>
      <c r="M131" s="185">
        <v>56.357142857142854</v>
      </c>
      <c r="N131" s="186">
        <v>143</v>
      </c>
      <c r="O131" s="106">
        <v>10802</v>
      </c>
      <c r="P131" s="103" t="s">
        <v>575</v>
      </c>
      <c r="Q131" s="219">
        <v>237</v>
      </c>
      <c r="R131" s="220">
        <v>184</v>
      </c>
    </row>
    <row r="132" spans="1:18" ht="13.5" customHeight="1" x14ac:dyDescent="0.15">
      <c r="A132" s="110" t="str">
        <f t="shared" ref="A132:A195" si="2">LEFT(B132,3)</f>
        <v>109</v>
      </c>
      <c r="B132" s="174">
        <v>10920</v>
      </c>
      <c r="C132" s="175" t="s">
        <v>621</v>
      </c>
      <c r="D132" s="176" t="s">
        <v>680</v>
      </c>
      <c r="E132" s="177">
        <v>29</v>
      </c>
      <c r="F132" s="178">
        <v>129</v>
      </c>
      <c r="G132" s="187">
        <v>10920</v>
      </c>
      <c r="H132" s="188" t="s">
        <v>621</v>
      </c>
      <c r="I132" s="181">
        <v>279</v>
      </c>
      <c r="J132" s="182">
        <v>118</v>
      </c>
      <c r="K132" s="183">
        <v>10920</v>
      </c>
      <c r="L132" s="184" t="s">
        <v>621</v>
      </c>
      <c r="M132" s="185">
        <v>71.414285714285711</v>
      </c>
      <c r="N132" s="186">
        <v>67</v>
      </c>
      <c r="O132" s="104">
        <v>10920</v>
      </c>
      <c r="P132" s="100" t="s">
        <v>621</v>
      </c>
      <c r="Q132" s="219">
        <v>324</v>
      </c>
      <c r="R132" s="220">
        <v>61</v>
      </c>
    </row>
    <row r="133" spans="1:18" ht="13.5" customHeight="1" x14ac:dyDescent="0.15">
      <c r="A133" s="110" t="str">
        <f t="shared" si="2"/>
        <v>110</v>
      </c>
      <c r="B133" s="174">
        <v>11024</v>
      </c>
      <c r="C133" s="175" t="s">
        <v>658</v>
      </c>
      <c r="D133" s="176" t="s">
        <v>688</v>
      </c>
      <c r="E133" s="177">
        <v>29.054099999999998</v>
      </c>
      <c r="F133" s="178">
        <v>130</v>
      </c>
      <c r="G133" s="187">
        <v>11024</v>
      </c>
      <c r="H133" s="188" t="s">
        <v>658</v>
      </c>
      <c r="I133" s="181">
        <v>283</v>
      </c>
      <c r="J133" s="182">
        <v>108</v>
      </c>
      <c r="K133" s="183">
        <v>11024</v>
      </c>
      <c r="L133" s="184" t="s">
        <v>658</v>
      </c>
      <c r="M133" s="185">
        <v>45.24285714285714</v>
      </c>
      <c r="N133" s="186">
        <v>198</v>
      </c>
      <c r="O133" s="104">
        <v>11024</v>
      </c>
      <c r="P133" s="100" t="s">
        <v>658</v>
      </c>
      <c r="Q133" s="219">
        <v>279</v>
      </c>
      <c r="R133" s="220">
        <v>128</v>
      </c>
    </row>
    <row r="134" spans="1:18" ht="13.5" customHeight="1" x14ac:dyDescent="0.15">
      <c r="A134" s="110" t="str">
        <f t="shared" si="2"/>
        <v>110</v>
      </c>
      <c r="B134" s="174">
        <v>11012</v>
      </c>
      <c r="C134" s="175" t="s">
        <v>647</v>
      </c>
      <c r="D134" s="176" t="s">
        <v>687</v>
      </c>
      <c r="E134" s="177">
        <v>29.1892</v>
      </c>
      <c r="F134" s="178">
        <v>131</v>
      </c>
      <c r="G134" s="187">
        <v>11012</v>
      </c>
      <c r="H134" s="188" t="s">
        <v>647</v>
      </c>
      <c r="I134" s="181">
        <v>288</v>
      </c>
      <c r="J134" s="182">
        <v>97</v>
      </c>
      <c r="K134" s="183">
        <v>11012</v>
      </c>
      <c r="L134" s="184" t="s">
        <v>647</v>
      </c>
      <c r="M134" s="185">
        <v>60.657142857142858</v>
      </c>
      <c r="N134" s="186">
        <v>120</v>
      </c>
      <c r="O134" s="105">
        <v>11012</v>
      </c>
      <c r="P134" s="102" t="s">
        <v>647</v>
      </c>
      <c r="Q134" s="219">
        <v>257</v>
      </c>
      <c r="R134" s="220">
        <v>151</v>
      </c>
    </row>
    <row r="135" spans="1:18" ht="13.5" customHeight="1" x14ac:dyDescent="0.15">
      <c r="A135" s="110" t="str">
        <f t="shared" si="2"/>
        <v>109</v>
      </c>
      <c r="B135" s="174">
        <v>10911</v>
      </c>
      <c r="C135" s="175" t="s">
        <v>613</v>
      </c>
      <c r="D135" s="176" t="s">
        <v>685</v>
      </c>
      <c r="E135" s="177">
        <v>29.411799999999999</v>
      </c>
      <c r="F135" s="178">
        <v>132</v>
      </c>
      <c r="G135" s="187">
        <v>10911</v>
      </c>
      <c r="H135" s="188" t="s">
        <v>613</v>
      </c>
      <c r="I135" s="181">
        <v>315</v>
      </c>
      <c r="J135" s="182">
        <v>62</v>
      </c>
      <c r="K135" s="183">
        <v>10911</v>
      </c>
      <c r="L135" s="184" t="s">
        <v>613</v>
      </c>
      <c r="M135" s="185">
        <v>65.685714285714283</v>
      </c>
      <c r="N135" s="186">
        <v>96</v>
      </c>
      <c r="O135" s="106">
        <v>10911</v>
      </c>
      <c r="P135" s="103" t="s">
        <v>613</v>
      </c>
      <c r="Q135" s="219">
        <v>287</v>
      </c>
      <c r="R135" s="220">
        <v>118</v>
      </c>
    </row>
    <row r="136" spans="1:18" ht="13.5" customHeight="1" x14ac:dyDescent="0.15">
      <c r="A136" s="110" t="str">
        <f t="shared" si="2"/>
        <v>108</v>
      </c>
      <c r="B136" s="174">
        <v>10803</v>
      </c>
      <c r="C136" s="175" t="s">
        <v>576</v>
      </c>
      <c r="D136" s="176" t="s">
        <v>680</v>
      </c>
      <c r="E136" s="177">
        <v>29.5</v>
      </c>
      <c r="F136" s="178">
        <v>133</v>
      </c>
      <c r="G136" s="187">
        <v>10803</v>
      </c>
      <c r="H136" s="188" t="s">
        <v>576</v>
      </c>
      <c r="I136" s="181">
        <v>252</v>
      </c>
      <c r="J136" s="182">
        <v>158</v>
      </c>
      <c r="K136" s="183">
        <v>10803</v>
      </c>
      <c r="L136" s="184" t="s">
        <v>576</v>
      </c>
      <c r="M136" s="185">
        <v>58.042857142857137</v>
      </c>
      <c r="N136" s="186">
        <v>133</v>
      </c>
      <c r="O136" s="106">
        <v>10803</v>
      </c>
      <c r="P136" s="103" t="s">
        <v>576</v>
      </c>
      <c r="Q136" s="219">
        <v>268</v>
      </c>
      <c r="R136" s="220">
        <v>141</v>
      </c>
    </row>
    <row r="137" spans="1:18" ht="13.5" customHeight="1" x14ac:dyDescent="0.15">
      <c r="A137" s="110" t="str">
        <f t="shared" si="2"/>
        <v>107</v>
      </c>
      <c r="B137" s="174">
        <v>10724</v>
      </c>
      <c r="C137" s="175" t="s">
        <v>563</v>
      </c>
      <c r="D137" s="176" t="s">
        <v>689</v>
      </c>
      <c r="E137" s="177">
        <v>29.565200000000001</v>
      </c>
      <c r="F137" s="178">
        <v>134</v>
      </c>
      <c r="G137" s="187">
        <v>10724</v>
      </c>
      <c r="H137" s="188" t="s">
        <v>563</v>
      </c>
      <c r="I137" s="181">
        <v>286</v>
      </c>
      <c r="J137" s="182">
        <v>102</v>
      </c>
      <c r="K137" s="183">
        <v>10724</v>
      </c>
      <c r="L137" s="184" t="s">
        <v>563</v>
      </c>
      <c r="M137" s="185">
        <v>54.342857142857149</v>
      </c>
      <c r="N137" s="186">
        <v>157</v>
      </c>
      <c r="O137" s="106">
        <v>10724</v>
      </c>
      <c r="P137" s="103" t="s">
        <v>563</v>
      </c>
      <c r="Q137" s="219">
        <v>289</v>
      </c>
      <c r="R137" s="220">
        <v>111</v>
      </c>
    </row>
    <row r="138" spans="1:18" ht="13.5" customHeight="1" x14ac:dyDescent="0.15">
      <c r="A138" s="110" t="str">
        <f t="shared" si="2"/>
        <v>106</v>
      </c>
      <c r="B138" s="174">
        <v>10612</v>
      </c>
      <c r="C138" s="175" t="s">
        <v>520</v>
      </c>
      <c r="D138" s="176" t="s">
        <v>681</v>
      </c>
      <c r="E138" s="177">
        <v>29.6296</v>
      </c>
      <c r="F138" s="178">
        <v>135</v>
      </c>
      <c r="G138" s="179">
        <v>10612</v>
      </c>
      <c r="H138" s="180" t="s">
        <v>520</v>
      </c>
      <c r="I138" s="181">
        <v>201</v>
      </c>
      <c r="J138" s="182">
        <v>267</v>
      </c>
      <c r="K138" s="183">
        <v>10612</v>
      </c>
      <c r="L138" s="184" t="s">
        <v>520</v>
      </c>
      <c r="M138" s="185">
        <v>36.885714285714286</v>
      </c>
      <c r="N138" s="186">
        <v>262</v>
      </c>
      <c r="O138" s="104">
        <v>10612</v>
      </c>
      <c r="P138" s="100" t="s">
        <v>520</v>
      </c>
      <c r="Q138" s="219">
        <v>227</v>
      </c>
      <c r="R138" s="220">
        <v>205</v>
      </c>
    </row>
    <row r="139" spans="1:18" ht="13.5" customHeight="1" x14ac:dyDescent="0.15">
      <c r="A139" s="110" t="str">
        <f t="shared" si="2"/>
        <v>105</v>
      </c>
      <c r="B139" s="174">
        <v>10529</v>
      </c>
      <c r="C139" s="175" t="s">
        <v>507</v>
      </c>
      <c r="D139" s="176" t="s">
        <v>688</v>
      </c>
      <c r="E139" s="177">
        <v>29.729700000000001</v>
      </c>
      <c r="F139" s="178">
        <v>136</v>
      </c>
      <c r="G139" s="187">
        <v>10529</v>
      </c>
      <c r="H139" s="188" t="s">
        <v>507</v>
      </c>
      <c r="I139" s="181">
        <v>283</v>
      </c>
      <c r="J139" s="182">
        <v>108</v>
      </c>
      <c r="K139" s="183">
        <v>10529</v>
      </c>
      <c r="L139" s="184" t="s">
        <v>507</v>
      </c>
      <c r="M139" s="185">
        <v>56.514285714285727</v>
      </c>
      <c r="N139" s="186">
        <v>141</v>
      </c>
      <c r="O139" s="106">
        <v>10529</v>
      </c>
      <c r="P139" s="103" t="s">
        <v>507</v>
      </c>
      <c r="Q139" s="219">
        <v>277</v>
      </c>
      <c r="R139" s="220">
        <v>131</v>
      </c>
    </row>
    <row r="140" spans="1:18" ht="13.5" customHeight="1" x14ac:dyDescent="0.15">
      <c r="A140" s="110" t="str">
        <f t="shared" si="2"/>
        <v>104</v>
      </c>
      <c r="B140" s="174">
        <v>10433</v>
      </c>
      <c r="C140" s="175" t="s">
        <v>479</v>
      </c>
      <c r="D140" s="176" t="s">
        <v>687</v>
      </c>
      <c r="E140" s="177">
        <v>30.270299999999999</v>
      </c>
      <c r="F140" s="178">
        <v>137</v>
      </c>
      <c r="G140" s="187">
        <v>10433</v>
      </c>
      <c r="H140" s="188" t="s">
        <v>479</v>
      </c>
      <c r="I140" s="181">
        <v>289</v>
      </c>
      <c r="J140" s="182">
        <v>94</v>
      </c>
      <c r="K140" s="183">
        <v>10433</v>
      </c>
      <c r="L140" s="184" t="s">
        <v>479</v>
      </c>
      <c r="M140" s="185">
        <v>67.971428571428561</v>
      </c>
      <c r="N140" s="186">
        <v>81</v>
      </c>
      <c r="O140" s="105">
        <v>10433</v>
      </c>
      <c r="P140" s="102" t="s">
        <v>479</v>
      </c>
      <c r="Q140" s="219">
        <v>343</v>
      </c>
      <c r="R140" s="220">
        <v>44</v>
      </c>
    </row>
    <row r="141" spans="1:18" ht="13.5" customHeight="1" x14ac:dyDescent="0.15">
      <c r="A141" s="110" t="str">
        <f t="shared" si="2"/>
        <v>103</v>
      </c>
      <c r="B141" s="174">
        <v>10303</v>
      </c>
      <c r="C141" s="175" t="s">
        <v>425</v>
      </c>
      <c r="D141" s="176" t="s">
        <v>688</v>
      </c>
      <c r="E141" s="177">
        <v>30.4054</v>
      </c>
      <c r="F141" s="178">
        <v>138</v>
      </c>
      <c r="G141" s="179">
        <v>10303</v>
      </c>
      <c r="H141" s="180" t="s">
        <v>425</v>
      </c>
      <c r="I141" s="181">
        <v>241</v>
      </c>
      <c r="J141" s="182">
        <v>182</v>
      </c>
      <c r="K141" s="183">
        <v>10303</v>
      </c>
      <c r="L141" s="184" t="s">
        <v>425</v>
      </c>
      <c r="M141" s="185">
        <v>50.928571428571431</v>
      </c>
      <c r="N141" s="186">
        <v>169</v>
      </c>
      <c r="O141" s="106">
        <v>10303</v>
      </c>
      <c r="P141" s="103" t="s">
        <v>425</v>
      </c>
      <c r="Q141" s="219">
        <v>203</v>
      </c>
      <c r="R141" s="220">
        <v>240</v>
      </c>
    </row>
    <row r="142" spans="1:18" ht="13.5" customHeight="1" x14ac:dyDescent="0.15">
      <c r="A142" s="110" t="str">
        <f t="shared" si="2"/>
        <v>102</v>
      </c>
      <c r="B142" s="174">
        <v>10201</v>
      </c>
      <c r="C142" s="175" t="s">
        <v>392</v>
      </c>
      <c r="D142" s="176" t="s">
        <v>685</v>
      </c>
      <c r="E142" s="177">
        <v>30.481300000000001</v>
      </c>
      <c r="F142" s="178">
        <v>139</v>
      </c>
      <c r="G142" s="179">
        <v>10201</v>
      </c>
      <c r="H142" s="180" t="s">
        <v>392</v>
      </c>
      <c r="I142" s="181">
        <v>302</v>
      </c>
      <c r="J142" s="182">
        <v>78</v>
      </c>
      <c r="K142" s="183">
        <v>10201</v>
      </c>
      <c r="L142" s="184" t="s">
        <v>392</v>
      </c>
      <c r="M142" s="185">
        <v>60.942857142857136</v>
      </c>
      <c r="N142" s="186">
        <v>117</v>
      </c>
      <c r="O142" s="106">
        <v>10201</v>
      </c>
      <c r="P142" s="103" t="s">
        <v>392</v>
      </c>
      <c r="Q142" s="219">
        <v>321</v>
      </c>
      <c r="R142" s="220">
        <v>64</v>
      </c>
    </row>
    <row r="143" spans="1:18" ht="13.5" customHeight="1" x14ac:dyDescent="0.15">
      <c r="A143" s="110" t="str">
        <f t="shared" si="2"/>
        <v>101</v>
      </c>
      <c r="B143" s="174">
        <v>10102</v>
      </c>
      <c r="C143" s="175" t="s">
        <v>361</v>
      </c>
      <c r="D143" s="176" t="s">
        <v>680</v>
      </c>
      <c r="E143" s="177">
        <v>30.5</v>
      </c>
      <c r="F143" s="178">
        <v>140</v>
      </c>
      <c r="G143" s="187">
        <v>10102</v>
      </c>
      <c r="H143" s="188" t="s">
        <v>361</v>
      </c>
      <c r="I143" s="181">
        <v>275</v>
      </c>
      <c r="J143" s="182">
        <v>124</v>
      </c>
      <c r="K143" s="183">
        <v>10102</v>
      </c>
      <c r="L143" s="184" t="s">
        <v>361</v>
      </c>
      <c r="M143" s="185">
        <v>61.957142857142863</v>
      </c>
      <c r="N143" s="186">
        <v>113</v>
      </c>
      <c r="O143" s="106">
        <v>10102</v>
      </c>
      <c r="P143" s="103" t="s">
        <v>361</v>
      </c>
      <c r="Q143" s="219">
        <v>307</v>
      </c>
      <c r="R143" s="220">
        <v>90</v>
      </c>
    </row>
    <row r="144" spans="1:18" ht="13.5" customHeight="1" x14ac:dyDescent="0.15">
      <c r="A144" s="110" t="str">
        <f t="shared" si="2"/>
        <v>101</v>
      </c>
      <c r="B144" s="174">
        <v>10104</v>
      </c>
      <c r="C144" s="175" t="s">
        <v>363</v>
      </c>
      <c r="D144" s="176" t="s">
        <v>681</v>
      </c>
      <c r="E144" s="177">
        <v>31.216899999999999</v>
      </c>
      <c r="F144" s="178">
        <v>141</v>
      </c>
      <c r="G144" s="187">
        <v>10104</v>
      </c>
      <c r="H144" s="188" t="s">
        <v>363</v>
      </c>
      <c r="I144" s="181">
        <v>211</v>
      </c>
      <c r="J144" s="182">
        <v>249</v>
      </c>
      <c r="K144" s="183">
        <v>10104</v>
      </c>
      <c r="L144" s="184" t="s">
        <v>363</v>
      </c>
      <c r="M144" s="185">
        <v>41.057142857142864</v>
      </c>
      <c r="N144" s="186">
        <v>238</v>
      </c>
      <c r="O144" s="106">
        <v>10104</v>
      </c>
      <c r="P144" s="103" t="s">
        <v>363</v>
      </c>
      <c r="Q144" s="219">
        <v>211</v>
      </c>
      <c r="R144" s="220">
        <v>229</v>
      </c>
    </row>
    <row r="145" spans="1:18" ht="13.5" customHeight="1" x14ac:dyDescent="0.15">
      <c r="A145" s="110" t="str">
        <f t="shared" si="2"/>
        <v>102</v>
      </c>
      <c r="B145" s="174">
        <v>10214</v>
      </c>
      <c r="C145" s="175" t="s">
        <v>405</v>
      </c>
      <c r="D145" s="176" t="s">
        <v>683</v>
      </c>
      <c r="E145" s="177">
        <v>31.325299999999999</v>
      </c>
      <c r="F145" s="178">
        <v>142</v>
      </c>
      <c r="G145" s="187">
        <v>10214</v>
      </c>
      <c r="H145" s="188" t="s">
        <v>405</v>
      </c>
      <c r="I145" s="181">
        <v>303</v>
      </c>
      <c r="J145" s="182">
        <v>76</v>
      </c>
      <c r="K145" s="183">
        <v>10214</v>
      </c>
      <c r="L145" s="184" t="s">
        <v>405</v>
      </c>
      <c r="M145" s="185">
        <v>72.357142857142861</v>
      </c>
      <c r="N145" s="186">
        <v>63</v>
      </c>
      <c r="O145" s="106">
        <v>10214</v>
      </c>
      <c r="P145" s="103" t="s">
        <v>405</v>
      </c>
      <c r="Q145" s="219">
        <v>312</v>
      </c>
      <c r="R145" s="220">
        <v>78</v>
      </c>
    </row>
    <row r="146" spans="1:18" ht="13.5" customHeight="1" x14ac:dyDescent="0.15">
      <c r="A146" s="110" t="str">
        <f t="shared" si="2"/>
        <v>103</v>
      </c>
      <c r="B146" s="174">
        <v>10322</v>
      </c>
      <c r="C146" s="175" t="s">
        <v>320</v>
      </c>
      <c r="D146" s="176" t="s">
        <v>680</v>
      </c>
      <c r="E146" s="177">
        <v>31.5</v>
      </c>
      <c r="F146" s="178">
        <v>143</v>
      </c>
      <c r="G146" s="179">
        <v>10322</v>
      </c>
      <c r="H146" s="180" t="s">
        <v>320</v>
      </c>
      <c r="I146" s="181">
        <v>267</v>
      </c>
      <c r="J146" s="182">
        <v>138</v>
      </c>
      <c r="K146" s="183">
        <v>10322</v>
      </c>
      <c r="L146" s="184" t="s">
        <v>320</v>
      </c>
      <c r="M146" s="185">
        <v>46.48571428571428</v>
      </c>
      <c r="N146" s="186">
        <v>191</v>
      </c>
      <c r="O146" s="106">
        <v>10322</v>
      </c>
      <c r="P146" s="103" t="s">
        <v>320</v>
      </c>
      <c r="Q146" s="219">
        <v>289</v>
      </c>
      <c r="R146" s="220">
        <v>111</v>
      </c>
    </row>
    <row r="147" spans="1:18" ht="13.5" customHeight="1" x14ac:dyDescent="0.15">
      <c r="A147" s="110" t="str">
        <f t="shared" si="2"/>
        <v>104</v>
      </c>
      <c r="B147" s="174">
        <v>10415</v>
      </c>
      <c r="C147" s="175" t="s">
        <v>726</v>
      </c>
      <c r="D147" s="176" t="s">
        <v>682</v>
      </c>
      <c r="E147" s="177">
        <v>31.756799999999998</v>
      </c>
      <c r="F147" s="178">
        <v>144</v>
      </c>
      <c r="G147" s="183"/>
      <c r="H147" s="180"/>
      <c r="I147" s="181"/>
      <c r="J147" s="182"/>
      <c r="K147" s="183">
        <v>10415</v>
      </c>
      <c r="L147" s="184" t="s">
        <v>726</v>
      </c>
      <c r="M147" s="185">
        <v>43.600000000000009</v>
      </c>
      <c r="N147" s="186">
        <v>209</v>
      </c>
      <c r="O147" s="106">
        <v>10415</v>
      </c>
      <c r="P147" s="103"/>
      <c r="Q147" s="219"/>
      <c r="R147" s="220"/>
    </row>
    <row r="148" spans="1:18" ht="13.5" customHeight="1" x14ac:dyDescent="0.15">
      <c r="A148" s="110" t="str">
        <f t="shared" si="2"/>
        <v>105</v>
      </c>
      <c r="B148" s="174">
        <v>10509</v>
      </c>
      <c r="C148" s="175" t="s">
        <v>489</v>
      </c>
      <c r="D148" s="176" t="s">
        <v>684</v>
      </c>
      <c r="E148" s="177">
        <v>31.972799999999999</v>
      </c>
      <c r="F148" s="178">
        <v>145</v>
      </c>
      <c r="G148" s="187">
        <v>10509</v>
      </c>
      <c r="H148" s="188" t="s">
        <v>489</v>
      </c>
      <c r="I148" s="181">
        <v>254</v>
      </c>
      <c r="J148" s="182">
        <v>157</v>
      </c>
      <c r="K148" s="183">
        <v>10509</v>
      </c>
      <c r="L148" s="184" t="s">
        <v>489</v>
      </c>
      <c r="M148" s="185">
        <v>43.4</v>
      </c>
      <c r="N148" s="186">
        <v>213</v>
      </c>
      <c r="O148" s="104">
        <v>10509</v>
      </c>
      <c r="P148" s="100" t="s">
        <v>489</v>
      </c>
      <c r="Q148" s="219">
        <v>230</v>
      </c>
      <c r="R148" s="220">
        <v>197</v>
      </c>
    </row>
    <row r="149" spans="1:18" ht="13.5" customHeight="1" x14ac:dyDescent="0.15">
      <c r="A149" s="110" t="str">
        <f t="shared" si="2"/>
        <v>106</v>
      </c>
      <c r="B149" s="174">
        <v>10628</v>
      </c>
      <c r="C149" s="175" t="s">
        <v>535</v>
      </c>
      <c r="D149" s="176" t="s">
        <v>680</v>
      </c>
      <c r="E149" s="177">
        <v>32</v>
      </c>
      <c r="F149" s="178">
        <v>146</v>
      </c>
      <c r="G149" s="187">
        <v>10628</v>
      </c>
      <c r="H149" s="188" t="s">
        <v>535</v>
      </c>
      <c r="I149" s="181">
        <v>272</v>
      </c>
      <c r="J149" s="182">
        <v>129</v>
      </c>
      <c r="K149" s="183">
        <v>10628</v>
      </c>
      <c r="L149" s="184" t="s">
        <v>535</v>
      </c>
      <c r="M149" s="185">
        <v>69.357142857142861</v>
      </c>
      <c r="N149" s="186">
        <v>74</v>
      </c>
      <c r="O149" s="106">
        <v>10628</v>
      </c>
      <c r="P149" s="103" t="s">
        <v>535</v>
      </c>
      <c r="Q149" s="219">
        <v>280</v>
      </c>
      <c r="R149" s="220">
        <v>126</v>
      </c>
    </row>
    <row r="150" spans="1:18" ht="13.5" customHeight="1" x14ac:dyDescent="0.15">
      <c r="A150" s="110" t="str">
        <f t="shared" si="2"/>
        <v>107</v>
      </c>
      <c r="B150" s="174">
        <v>10713</v>
      </c>
      <c r="C150" s="175" t="s">
        <v>552</v>
      </c>
      <c r="D150" s="176" t="s">
        <v>688</v>
      </c>
      <c r="E150" s="177">
        <v>32.432400000000001</v>
      </c>
      <c r="F150" s="178">
        <v>147</v>
      </c>
      <c r="G150" s="179">
        <v>10713</v>
      </c>
      <c r="H150" s="180" t="s">
        <v>552</v>
      </c>
      <c r="I150" s="181">
        <v>242</v>
      </c>
      <c r="J150" s="182">
        <v>180</v>
      </c>
      <c r="K150" s="183">
        <v>10713</v>
      </c>
      <c r="L150" s="184" t="s">
        <v>552</v>
      </c>
      <c r="M150" s="185">
        <v>39.771428571428565</v>
      </c>
      <c r="N150" s="186">
        <v>248</v>
      </c>
      <c r="O150" s="106">
        <v>10713</v>
      </c>
      <c r="P150" s="103" t="s">
        <v>552</v>
      </c>
      <c r="Q150" s="219">
        <v>204</v>
      </c>
      <c r="R150" s="220">
        <v>237</v>
      </c>
    </row>
    <row r="151" spans="1:18" ht="13.5" customHeight="1" x14ac:dyDescent="0.15">
      <c r="A151" s="110" t="str">
        <f t="shared" si="2"/>
        <v>108</v>
      </c>
      <c r="B151" s="174">
        <v>10816</v>
      </c>
      <c r="C151" s="175" t="s">
        <v>586</v>
      </c>
      <c r="D151" s="176" t="s">
        <v>688</v>
      </c>
      <c r="E151" s="177">
        <v>33.1081</v>
      </c>
      <c r="F151" s="178">
        <v>148</v>
      </c>
      <c r="G151" s="179">
        <v>10816</v>
      </c>
      <c r="H151" s="180" t="s">
        <v>586</v>
      </c>
      <c r="I151" s="181">
        <v>233</v>
      </c>
      <c r="J151" s="182">
        <v>201</v>
      </c>
      <c r="K151" s="183">
        <v>10816</v>
      </c>
      <c r="L151" s="184" t="s">
        <v>586</v>
      </c>
      <c r="M151" s="185">
        <v>44.171428571428571</v>
      </c>
      <c r="N151" s="186">
        <v>208</v>
      </c>
      <c r="O151" s="105">
        <v>10816</v>
      </c>
      <c r="P151" s="102" t="s">
        <v>586</v>
      </c>
      <c r="Q151" s="219">
        <v>204</v>
      </c>
      <c r="R151" s="220">
        <v>237</v>
      </c>
    </row>
    <row r="152" spans="1:18" ht="13.5" customHeight="1" x14ac:dyDescent="0.15">
      <c r="A152" s="110" t="str">
        <f t="shared" si="2"/>
        <v>109</v>
      </c>
      <c r="B152" s="174">
        <v>10921</v>
      </c>
      <c r="C152" s="175" t="s">
        <v>622</v>
      </c>
      <c r="D152" s="176" t="s">
        <v>684</v>
      </c>
      <c r="E152" s="177">
        <v>33.333300000000001</v>
      </c>
      <c r="F152" s="178">
        <v>149</v>
      </c>
      <c r="G152" s="187">
        <v>10921</v>
      </c>
      <c r="H152" s="188" t="s">
        <v>622</v>
      </c>
      <c r="I152" s="181">
        <v>241</v>
      </c>
      <c r="J152" s="182">
        <v>182</v>
      </c>
      <c r="K152" s="183">
        <v>10921</v>
      </c>
      <c r="L152" s="184" t="s">
        <v>622</v>
      </c>
      <c r="M152" s="185">
        <v>56.385714285714286</v>
      </c>
      <c r="N152" s="186">
        <v>142</v>
      </c>
      <c r="O152" s="106">
        <v>10921</v>
      </c>
      <c r="P152" s="103" t="s">
        <v>622</v>
      </c>
      <c r="Q152" s="219">
        <v>284</v>
      </c>
      <c r="R152" s="220">
        <v>121</v>
      </c>
    </row>
    <row r="153" spans="1:18" ht="13.5" customHeight="1" x14ac:dyDescent="0.15">
      <c r="A153" s="110" t="str">
        <f t="shared" si="2"/>
        <v>110</v>
      </c>
      <c r="B153" s="174">
        <v>11006</v>
      </c>
      <c r="C153" s="175" t="s">
        <v>641</v>
      </c>
      <c r="D153" s="176" t="s">
        <v>691</v>
      </c>
      <c r="E153" s="177">
        <v>33.333300000000001</v>
      </c>
      <c r="F153" s="178">
        <v>150</v>
      </c>
      <c r="G153" s="187">
        <v>11006</v>
      </c>
      <c r="H153" s="188" t="s">
        <v>641</v>
      </c>
      <c r="I153" s="181">
        <v>213</v>
      </c>
      <c r="J153" s="182">
        <v>243</v>
      </c>
      <c r="K153" s="183">
        <v>11006</v>
      </c>
      <c r="L153" s="184" t="s">
        <v>641</v>
      </c>
      <c r="M153" s="185">
        <v>49.25714285714286</v>
      </c>
      <c r="N153" s="186">
        <v>177</v>
      </c>
      <c r="O153" s="106">
        <v>11006</v>
      </c>
      <c r="P153" s="103" t="s">
        <v>641</v>
      </c>
      <c r="Q153" s="219">
        <v>207</v>
      </c>
      <c r="R153" s="220">
        <v>232</v>
      </c>
    </row>
    <row r="154" spans="1:18" ht="13.5" customHeight="1" x14ac:dyDescent="0.15">
      <c r="A154" s="110" t="str">
        <f t="shared" si="2"/>
        <v>110</v>
      </c>
      <c r="B154" s="174">
        <v>11023</v>
      </c>
      <c r="C154" s="175" t="s">
        <v>657</v>
      </c>
      <c r="D154" s="176" t="s">
        <v>685</v>
      </c>
      <c r="E154" s="177">
        <v>33.689799999999998</v>
      </c>
      <c r="F154" s="178">
        <v>151</v>
      </c>
      <c r="G154" s="179">
        <v>11023</v>
      </c>
      <c r="H154" s="180" t="s">
        <v>657</v>
      </c>
      <c r="I154" s="181">
        <v>317</v>
      </c>
      <c r="J154" s="182">
        <v>59</v>
      </c>
      <c r="K154" s="183">
        <v>11023</v>
      </c>
      <c r="L154" s="184" t="s">
        <v>657</v>
      </c>
      <c r="M154" s="185">
        <v>53.3</v>
      </c>
      <c r="N154" s="186">
        <v>159</v>
      </c>
      <c r="O154" s="105">
        <v>11023</v>
      </c>
      <c r="P154" s="102" t="s">
        <v>657</v>
      </c>
      <c r="Q154" s="219">
        <v>289</v>
      </c>
      <c r="R154" s="220">
        <v>111</v>
      </c>
    </row>
    <row r="155" spans="1:18" ht="13.5" customHeight="1" x14ac:dyDescent="0.15">
      <c r="A155" s="110" t="str">
        <f t="shared" si="2"/>
        <v>109</v>
      </c>
      <c r="B155" s="174">
        <v>10931</v>
      </c>
      <c r="C155" s="175" t="s">
        <v>632</v>
      </c>
      <c r="D155" s="176" t="s">
        <v>688</v>
      </c>
      <c r="E155" s="177">
        <v>33.783799999999999</v>
      </c>
      <c r="F155" s="178">
        <v>152</v>
      </c>
      <c r="G155" s="179">
        <v>10931</v>
      </c>
      <c r="H155" s="180" t="s">
        <v>632</v>
      </c>
      <c r="I155" s="181">
        <v>244</v>
      </c>
      <c r="J155" s="182">
        <v>173</v>
      </c>
      <c r="K155" s="183">
        <v>10931</v>
      </c>
      <c r="L155" s="184" t="s">
        <v>632</v>
      </c>
      <c r="M155" s="185">
        <v>47.31428571428571</v>
      </c>
      <c r="N155" s="186">
        <v>185</v>
      </c>
      <c r="O155" s="106">
        <v>10931</v>
      </c>
      <c r="P155" s="103" t="s">
        <v>632</v>
      </c>
      <c r="Q155" s="219">
        <v>250</v>
      </c>
      <c r="R155" s="220">
        <v>160</v>
      </c>
    </row>
    <row r="156" spans="1:18" ht="13.5" customHeight="1" x14ac:dyDescent="0.15">
      <c r="A156" s="110" t="str">
        <f t="shared" si="2"/>
        <v>108</v>
      </c>
      <c r="B156" s="174">
        <v>10825</v>
      </c>
      <c r="C156" s="175" t="s">
        <v>595</v>
      </c>
      <c r="D156" s="176" t="s">
        <v>686</v>
      </c>
      <c r="E156" s="177">
        <v>34.108499999999999</v>
      </c>
      <c r="F156" s="178">
        <v>153</v>
      </c>
      <c r="G156" s="187">
        <v>10825</v>
      </c>
      <c r="H156" s="188" t="s">
        <v>595</v>
      </c>
      <c r="I156" s="181">
        <v>267</v>
      </c>
      <c r="J156" s="182">
        <v>138</v>
      </c>
      <c r="K156" s="183">
        <v>10825</v>
      </c>
      <c r="L156" s="184" t="s">
        <v>595</v>
      </c>
      <c r="M156" s="185">
        <v>43.542857142857137</v>
      </c>
      <c r="N156" s="186">
        <v>211</v>
      </c>
      <c r="O156" s="106">
        <v>10825</v>
      </c>
      <c r="P156" s="103" t="s">
        <v>595</v>
      </c>
      <c r="Q156" s="219">
        <v>282</v>
      </c>
      <c r="R156" s="220">
        <v>123</v>
      </c>
    </row>
    <row r="157" spans="1:18" ht="13.5" customHeight="1" x14ac:dyDescent="0.15">
      <c r="A157" s="110" t="str">
        <f t="shared" si="2"/>
        <v>107</v>
      </c>
      <c r="B157" s="174">
        <v>10708</v>
      </c>
      <c r="C157" s="175" t="s">
        <v>548</v>
      </c>
      <c r="D157" s="176" t="s">
        <v>689</v>
      </c>
      <c r="E157" s="177">
        <v>34.347799999999999</v>
      </c>
      <c r="F157" s="178">
        <v>154</v>
      </c>
      <c r="G157" s="187">
        <v>10708</v>
      </c>
      <c r="H157" s="188" t="s">
        <v>548</v>
      </c>
      <c r="I157" s="181">
        <v>284</v>
      </c>
      <c r="J157" s="182">
        <v>104</v>
      </c>
      <c r="K157" s="183">
        <v>10708</v>
      </c>
      <c r="L157" s="184" t="s">
        <v>548</v>
      </c>
      <c r="M157" s="185">
        <v>71.44285714285715</v>
      </c>
      <c r="N157" s="186">
        <v>66</v>
      </c>
      <c r="O157" s="106">
        <v>10708</v>
      </c>
      <c r="P157" s="103" t="s">
        <v>548</v>
      </c>
      <c r="Q157" s="219">
        <v>269</v>
      </c>
      <c r="R157" s="220">
        <v>140</v>
      </c>
    </row>
    <row r="158" spans="1:18" ht="13.5" customHeight="1" x14ac:dyDescent="0.15">
      <c r="A158" s="110" t="str">
        <f t="shared" si="2"/>
        <v>106</v>
      </c>
      <c r="B158" s="174">
        <v>10629</v>
      </c>
      <c r="C158" s="175" t="s">
        <v>536</v>
      </c>
      <c r="D158" s="176" t="s">
        <v>682</v>
      </c>
      <c r="E158" s="177">
        <v>34.459499999999998</v>
      </c>
      <c r="F158" s="178">
        <v>155</v>
      </c>
      <c r="G158" s="187">
        <v>10629</v>
      </c>
      <c r="H158" s="188" t="s">
        <v>536</v>
      </c>
      <c r="I158" s="181">
        <v>175</v>
      </c>
      <c r="J158" s="182">
        <v>295</v>
      </c>
      <c r="K158" s="183">
        <v>10629</v>
      </c>
      <c r="L158" s="184" t="s">
        <v>536</v>
      </c>
      <c r="M158" s="185">
        <v>27.428571428571423</v>
      </c>
      <c r="N158" s="186">
        <v>302</v>
      </c>
      <c r="O158" s="105">
        <v>10629</v>
      </c>
      <c r="P158" s="102" t="s">
        <v>536</v>
      </c>
      <c r="Q158" s="219">
        <v>182</v>
      </c>
      <c r="R158" s="220">
        <v>271</v>
      </c>
    </row>
    <row r="159" spans="1:18" ht="13.5" customHeight="1" x14ac:dyDescent="0.15">
      <c r="A159" s="110" t="str">
        <f t="shared" si="2"/>
        <v>105</v>
      </c>
      <c r="B159" s="174">
        <v>10514</v>
      </c>
      <c r="C159" s="175" t="s">
        <v>493</v>
      </c>
      <c r="D159" s="176" t="s">
        <v>684</v>
      </c>
      <c r="E159" s="177">
        <v>34.693899999999999</v>
      </c>
      <c r="F159" s="178">
        <v>156</v>
      </c>
      <c r="G159" s="187">
        <v>10514</v>
      </c>
      <c r="H159" s="188" t="s">
        <v>493</v>
      </c>
      <c r="I159" s="181">
        <v>273</v>
      </c>
      <c r="J159" s="182">
        <v>125</v>
      </c>
      <c r="K159" s="183">
        <v>10514</v>
      </c>
      <c r="L159" s="184" t="s">
        <v>493</v>
      </c>
      <c r="M159" s="185">
        <v>49.114285714285714</v>
      </c>
      <c r="N159" s="186">
        <v>180</v>
      </c>
      <c r="O159" s="106">
        <v>10514</v>
      </c>
      <c r="P159" s="103" t="s">
        <v>493</v>
      </c>
      <c r="Q159" s="219">
        <v>312</v>
      </c>
      <c r="R159" s="220">
        <v>78</v>
      </c>
    </row>
    <row r="160" spans="1:18" ht="13.5" customHeight="1" x14ac:dyDescent="0.15">
      <c r="A160" s="110" t="str">
        <f t="shared" si="2"/>
        <v>104</v>
      </c>
      <c r="B160" s="174">
        <v>10407</v>
      </c>
      <c r="C160" s="175" t="s">
        <v>299</v>
      </c>
      <c r="D160" s="176" t="s">
        <v>683</v>
      </c>
      <c r="E160" s="177">
        <v>34.939799999999998</v>
      </c>
      <c r="F160" s="178">
        <v>157</v>
      </c>
      <c r="G160" s="187">
        <v>10407</v>
      </c>
      <c r="H160" s="188" t="s">
        <v>299</v>
      </c>
      <c r="I160" s="181">
        <v>292</v>
      </c>
      <c r="J160" s="182">
        <v>91</v>
      </c>
      <c r="K160" s="183">
        <v>10407</v>
      </c>
      <c r="L160" s="184" t="s">
        <v>299</v>
      </c>
      <c r="M160" s="185">
        <v>55.985714285714288</v>
      </c>
      <c r="N160" s="186">
        <v>144</v>
      </c>
      <c r="O160" s="105">
        <v>10407</v>
      </c>
      <c r="P160" s="102" t="s">
        <v>299</v>
      </c>
      <c r="Q160" s="219">
        <v>275</v>
      </c>
      <c r="R160" s="220">
        <v>133</v>
      </c>
    </row>
    <row r="161" spans="1:18" ht="13.5" customHeight="1" x14ac:dyDescent="0.15">
      <c r="A161" s="110" t="str">
        <f t="shared" si="2"/>
        <v>103</v>
      </c>
      <c r="B161" s="174">
        <v>10324</v>
      </c>
      <c r="C161" s="175" t="s">
        <v>443</v>
      </c>
      <c r="D161" s="176" t="s">
        <v>688</v>
      </c>
      <c r="E161" s="177">
        <v>35.135100000000001</v>
      </c>
      <c r="F161" s="178">
        <v>158</v>
      </c>
      <c r="G161" s="187">
        <v>10324</v>
      </c>
      <c r="H161" s="188" t="s">
        <v>443</v>
      </c>
      <c r="I161" s="181">
        <v>270</v>
      </c>
      <c r="J161" s="182">
        <v>130</v>
      </c>
      <c r="K161" s="183">
        <v>10324</v>
      </c>
      <c r="L161" s="184" t="s">
        <v>443</v>
      </c>
      <c r="M161" s="185">
        <v>67.5</v>
      </c>
      <c r="N161" s="186">
        <v>87</v>
      </c>
      <c r="O161" s="105">
        <v>10324</v>
      </c>
      <c r="P161" s="102" t="s">
        <v>443</v>
      </c>
      <c r="Q161" s="219">
        <v>289</v>
      </c>
      <c r="R161" s="220">
        <v>111</v>
      </c>
    </row>
    <row r="162" spans="1:18" ht="13.5" customHeight="1" x14ac:dyDescent="0.15">
      <c r="A162" s="110" t="str">
        <f t="shared" si="2"/>
        <v>102</v>
      </c>
      <c r="B162" s="174">
        <v>10227</v>
      </c>
      <c r="C162" s="175" t="s">
        <v>417</v>
      </c>
      <c r="D162" s="176" t="s">
        <v>687</v>
      </c>
      <c r="E162" s="177">
        <v>35.135100000000001</v>
      </c>
      <c r="F162" s="178">
        <v>159</v>
      </c>
      <c r="G162" s="179">
        <v>10227</v>
      </c>
      <c r="H162" s="180" t="s">
        <v>417</v>
      </c>
      <c r="I162" s="181">
        <v>279</v>
      </c>
      <c r="J162" s="182">
        <v>118</v>
      </c>
      <c r="K162" s="183">
        <v>10227</v>
      </c>
      <c r="L162" s="184" t="s">
        <v>417</v>
      </c>
      <c r="M162" s="185">
        <v>51.914285714285718</v>
      </c>
      <c r="N162" s="186">
        <v>164</v>
      </c>
      <c r="O162" s="104">
        <v>10227</v>
      </c>
      <c r="P162" s="100" t="s">
        <v>417</v>
      </c>
      <c r="Q162" s="219">
        <v>229</v>
      </c>
      <c r="R162" s="220">
        <v>200</v>
      </c>
    </row>
    <row r="163" spans="1:18" ht="13.5" customHeight="1" x14ac:dyDescent="0.15">
      <c r="A163" s="110" t="str">
        <f t="shared" si="2"/>
        <v>101</v>
      </c>
      <c r="B163" s="174">
        <v>10112</v>
      </c>
      <c r="C163" s="175" t="s">
        <v>370</v>
      </c>
      <c r="D163" s="176" t="s">
        <v>681</v>
      </c>
      <c r="E163" s="177">
        <v>35.4497</v>
      </c>
      <c r="F163" s="178">
        <v>160</v>
      </c>
      <c r="G163" s="187">
        <v>10112</v>
      </c>
      <c r="H163" s="188" t="s">
        <v>370</v>
      </c>
      <c r="I163" s="181">
        <v>278</v>
      </c>
      <c r="J163" s="182">
        <v>121</v>
      </c>
      <c r="K163" s="183">
        <v>10112</v>
      </c>
      <c r="L163" s="184" t="s">
        <v>370</v>
      </c>
      <c r="M163" s="185">
        <v>54.885714285714286</v>
      </c>
      <c r="N163" s="186">
        <v>150</v>
      </c>
      <c r="O163" s="106">
        <v>10112</v>
      </c>
      <c r="P163" s="103" t="s">
        <v>370</v>
      </c>
      <c r="Q163" s="219">
        <v>230</v>
      </c>
      <c r="R163" s="220">
        <v>197</v>
      </c>
    </row>
    <row r="164" spans="1:18" ht="13.5" customHeight="1" x14ac:dyDescent="0.15">
      <c r="A164" s="110" t="str">
        <f t="shared" si="2"/>
        <v>101</v>
      </c>
      <c r="B164" s="174">
        <v>10118</v>
      </c>
      <c r="C164" s="175" t="s">
        <v>376</v>
      </c>
      <c r="D164" s="176" t="s">
        <v>680</v>
      </c>
      <c r="E164" s="177">
        <v>35.5</v>
      </c>
      <c r="F164" s="178">
        <v>161</v>
      </c>
      <c r="G164" s="187">
        <v>10118</v>
      </c>
      <c r="H164" s="188" t="s">
        <v>376</v>
      </c>
      <c r="I164" s="181">
        <v>218</v>
      </c>
      <c r="J164" s="182">
        <v>232</v>
      </c>
      <c r="K164" s="183">
        <v>10118</v>
      </c>
      <c r="L164" s="184" t="s">
        <v>376</v>
      </c>
      <c r="M164" s="185">
        <v>43.18571428571429</v>
      </c>
      <c r="N164" s="186">
        <v>217</v>
      </c>
      <c r="O164" s="106">
        <v>10118</v>
      </c>
      <c r="P164" s="103" t="s">
        <v>376</v>
      </c>
      <c r="Q164" s="219">
        <v>234</v>
      </c>
      <c r="R164" s="220">
        <v>189</v>
      </c>
    </row>
    <row r="165" spans="1:18" ht="13.5" customHeight="1" x14ac:dyDescent="0.15">
      <c r="A165" s="110" t="str">
        <f t="shared" si="2"/>
        <v>102</v>
      </c>
      <c r="B165" s="174">
        <v>10204</v>
      </c>
      <c r="C165" s="175" t="s">
        <v>395</v>
      </c>
      <c r="D165" s="176" t="s">
        <v>687</v>
      </c>
      <c r="E165" s="177">
        <v>35.675699999999999</v>
      </c>
      <c r="F165" s="178">
        <v>162</v>
      </c>
      <c r="G165" s="187">
        <v>10204</v>
      </c>
      <c r="H165" s="188" t="s">
        <v>395</v>
      </c>
      <c r="I165" s="181">
        <v>241</v>
      </c>
      <c r="J165" s="182">
        <v>182</v>
      </c>
      <c r="K165" s="183">
        <v>10204</v>
      </c>
      <c r="L165" s="184" t="s">
        <v>395</v>
      </c>
      <c r="M165" s="185">
        <v>52.471428571428582</v>
      </c>
      <c r="N165" s="186">
        <v>160</v>
      </c>
      <c r="O165" s="104">
        <v>10204</v>
      </c>
      <c r="P165" s="101" t="s">
        <v>395</v>
      </c>
      <c r="Q165" s="219">
        <v>249</v>
      </c>
      <c r="R165" s="220">
        <v>162</v>
      </c>
    </row>
    <row r="166" spans="1:18" ht="13.5" customHeight="1" x14ac:dyDescent="0.15">
      <c r="A166" s="110" t="str">
        <f t="shared" si="2"/>
        <v>103</v>
      </c>
      <c r="B166" s="174">
        <v>10323</v>
      </c>
      <c r="C166" s="175" t="s">
        <v>442</v>
      </c>
      <c r="D166" s="176" t="s">
        <v>680</v>
      </c>
      <c r="E166" s="177">
        <v>36</v>
      </c>
      <c r="F166" s="178">
        <v>163</v>
      </c>
      <c r="G166" s="187">
        <v>10323</v>
      </c>
      <c r="H166" s="188" t="s">
        <v>442</v>
      </c>
      <c r="I166" s="181">
        <v>356</v>
      </c>
      <c r="J166" s="182">
        <v>17</v>
      </c>
      <c r="K166" s="183">
        <v>10323</v>
      </c>
      <c r="L166" s="184" t="s">
        <v>442</v>
      </c>
      <c r="M166" s="185">
        <v>60.771428571428579</v>
      </c>
      <c r="N166" s="186">
        <v>119</v>
      </c>
      <c r="O166" s="106">
        <v>10323</v>
      </c>
      <c r="P166" s="103"/>
      <c r="Q166" s="219"/>
      <c r="R166" s="220"/>
    </row>
    <row r="167" spans="1:18" ht="13.5" customHeight="1" x14ac:dyDescent="0.15">
      <c r="A167" s="110" t="str">
        <f t="shared" si="2"/>
        <v>104</v>
      </c>
      <c r="B167" s="174">
        <v>10428</v>
      </c>
      <c r="C167" s="175" t="s">
        <v>475</v>
      </c>
      <c r="D167" s="176" t="s">
        <v>683</v>
      </c>
      <c r="E167" s="177">
        <v>36.144599999999997</v>
      </c>
      <c r="F167" s="178">
        <v>164</v>
      </c>
      <c r="G167" s="187">
        <v>10428</v>
      </c>
      <c r="H167" s="188" t="s">
        <v>475</v>
      </c>
      <c r="I167" s="181">
        <v>336</v>
      </c>
      <c r="J167" s="182">
        <v>33</v>
      </c>
      <c r="K167" s="183">
        <v>10428</v>
      </c>
      <c r="L167" s="184" t="s">
        <v>475</v>
      </c>
      <c r="M167" s="185">
        <v>57.157142857142858</v>
      </c>
      <c r="N167" s="186">
        <v>138</v>
      </c>
      <c r="O167" s="106">
        <v>10428</v>
      </c>
      <c r="P167" s="103" t="s">
        <v>475</v>
      </c>
      <c r="Q167" s="219">
        <v>315</v>
      </c>
      <c r="R167" s="220">
        <v>73</v>
      </c>
    </row>
    <row r="168" spans="1:18" ht="13.5" customHeight="1" x14ac:dyDescent="0.15">
      <c r="A168" s="110" t="str">
        <f t="shared" si="2"/>
        <v>105</v>
      </c>
      <c r="B168" s="174">
        <v>10531</v>
      </c>
      <c r="C168" s="175" t="s">
        <v>509</v>
      </c>
      <c r="D168" s="176" t="s">
        <v>680</v>
      </c>
      <c r="E168" s="177">
        <v>36.5</v>
      </c>
      <c r="F168" s="178">
        <v>165</v>
      </c>
      <c r="G168" s="187">
        <v>10531</v>
      </c>
      <c r="H168" s="188" t="s">
        <v>509</v>
      </c>
      <c r="I168" s="181">
        <v>288</v>
      </c>
      <c r="J168" s="182">
        <v>97</v>
      </c>
      <c r="K168" s="183">
        <v>10531</v>
      </c>
      <c r="L168" s="184" t="s">
        <v>509</v>
      </c>
      <c r="M168" s="185">
        <v>57.371428571428567</v>
      </c>
      <c r="N168" s="186">
        <v>136</v>
      </c>
      <c r="O168" s="104">
        <v>10531</v>
      </c>
      <c r="P168" s="100" t="s">
        <v>509</v>
      </c>
      <c r="Q168" s="219">
        <v>243</v>
      </c>
      <c r="R168" s="220">
        <v>169</v>
      </c>
    </row>
    <row r="169" spans="1:18" ht="13.5" customHeight="1" x14ac:dyDescent="0.15">
      <c r="A169" s="110" t="str">
        <f t="shared" si="2"/>
        <v>106</v>
      </c>
      <c r="B169" s="174">
        <v>10605</v>
      </c>
      <c r="C169" s="175" t="s">
        <v>514</v>
      </c>
      <c r="D169" s="176" t="s">
        <v>681</v>
      </c>
      <c r="E169" s="177">
        <v>36.507899999999999</v>
      </c>
      <c r="F169" s="178">
        <v>166</v>
      </c>
      <c r="G169" s="179">
        <v>10605</v>
      </c>
      <c r="H169" s="180" t="s">
        <v>514</v>
      </c>
      <c r="I169" s="181">
        <v>245</v>
      </c>
      <c r="J169" s="182">
        <v>170</v>
      </c>
      <c r="K169" s="183">
        <v>10605</v>
      </c>
      <c r="L169" s="184" t="s">
        <v>514</v>
      </c>
      <c r="M169" s="185">
        <v>60.457142857142856</v>
      </c>
      <c r="N169" s="186">
        <v>122</v>
      </c>
      <c r="O169" s="106">
        <v>10605</v>
      </c>
      <c r="P169" s="103" t="s">
        <v>514</v>
      </c>
      <c r="Q169" s="219">
        <v>259</v>
      </c>
      <c r="R169" s="220">
        <v>148</v>
      </c>
    </row>
    <row r="170" spans="1:18" ht="13.5" customHeight="1" x14ac:dyDescent="0.15">
      <c r="A170" s="110" t="str">
        <f t="shared" si="2"/>
        <v>107</v>
      </c>
      <c r="B170" s="174">
        <v>10701</v>
      </c>
      <c r="C170" s="175" t="s">
        <v>541</v>
      </c>
      <c r="D170" s="176" t="s">
        <v>688</v>
      </c>
      <c r="E170" s="177">
        <v>37.162199999999999</v>
      </c>
      <c r="F170" s="178">
        <v>167</v>
      </c>
      <c r="G170" s="187">
        <v>10701</v>
      </c>
      <c r="H170" s="188" t="s">
        <v>541</v>
      </c>
      <c r="I170" s="181">
        <v>231</v>
      </c>
      <c r="J170" s="182">
        <v>204</v>
      </c>
      <c r="K170" s="183">
        <v>10701</v>
      </c>
      <c r="L170" s="184" t="s">
        <v>541</v>
      </c>
      <c r="M170" s="185">
        <v>59.314285714285703</v>
      </c>
      <c r="N170" s="186">
        <v>125</v>
      </c>
      <c r="O170" s="106">
        <v>10701</v>
      </c>
      <c r="P170" s="103" t="s">
        <v>541</v>
      </c>
      <c r="Q170" s="219">
        <v>255</v>
      </c>
      <c r="R170" s="220">
        <v>154</v>
      </c>
    </row>
    <row r="171" spans="1:18" ht="13.5" customHeight="1" x14ac:dyDescent="0.15">
      <c r="A171" s="110" t="str">
        <f t="shared" si="2"/>
        <v>108</v>
      </c>
      <c r="B171" s="174">
        <v>10814</v>
      </c>
      <c r="C171" s="175" t="s">
        <v>365</v>
      </c>
      <c r="D171" s="176" t="s">
        <v>687</v>
      </c>
      <c r="E171" s="177">
        <v>37.2973</v>
      </c>
      <c r="F171" s="178">
        <v>168</v>
      </c>
      <c r="G171" s="179">
        <v>10814</v>
      </c>
      <c r="H171" s="180" t="s">
        <v>365</v>
      </c>
      <c r="I171" s="181">
        <v>323</v>
      </c>
      <c r="J171" s="182">
        <v>51</v>
      </c>
      <c r="K171" s="183">
        <v>10814</v>
      </c>
      <c r="L171" s="184" t="s">
        <v>365</v>
      </c>
      <c r="M171" s="185">
        <v>70.714285714285708</v>
      </c>
      <c r="N171" s="186">
        <v>71</v>
      </c>
      <c r="O171" s="106">
        <v>10814</v>
      </c>
      <c r="P171" s="103" t="s">
        <v>365</v>
      </c>
      <c r="Q171" s="219">
        <v>319</v>
      </c>
      <c r="R171" s="220">
        <v>69</v>
      </c>
    </row>
    <row r="172" spans="1:18" ht="13.5" customHeight="1" x14ac:dyDescent="0.15">
      <c r="A172" s="110" t="str">
        <f t="shared" si="2"/>
        <v>109</v>
      </c>
      <c r="B172" s="174">
        <v>10914</v>
      </c>
      <c r="C172" s="175" t="s">
        <v>616</v>
      </c>
      <c r="D172" s="176" t="s">
        <v>689</v>
      </c>
      <c r="E172" s="177">
        <v>37.391300000000001</v>
      </c>
      <c r="F172" s="178">
        <v>169</v>
      </c>
      <c r="G172" s="187">
        <v>10914</v>
      </c>
      <c r="H172" s="188" t="s">
        <v>616</v>
      </c>
      <c r="I172" s="181">
        <v>277</v>
      </c>
      <c r="J172" s="182">
        <v>122</v>
      </c>
      <c r="K172" s="183">
        <v>10914</v>
      </c>
      <c r="L172" s="184" t="s">
        <v>616</v>
      </c>
      <c r="M172" s="185">
        <v>45.057142857142857</v>
      </c>
      <c r="N172" s="186">
        <v>200</v>
      </c>
      <c r="O172" s="105">
        <v>10914</v>
      </c>
      <c r="P172" s="102" t="s">
        <v>616</v>
      </c>
      <c r="Q172" s="219">
        <v>234</v>
      </c>
      <c r="R172" s="220">
        <v>189</v>
      </c>
    </row>
    <row r="173" spans="1:18" ht="13.5" customHeight="1" x14ac:dyDescent="0.15">
      <c r="A173" s="110" t="str">
        <f t="shared" si="2"/>
        <v>110</v>
      </c>
      <c r="B173" s="174">
        <v>11016</v>
      </c>
      <c r="C173" s="175" t="s">
        <v>650</v>
      </c>
      <c r="D173" s="176" t="s">
        <v>680</v>
      </c>
      <c r="E173" s="177">
        <v>37.5</v>
      </c>
      <c r="F173" s="178">
        <v>170</v>
      </c>
      <c r="G173" s="179">
        <v>11016</v>
      </c>
      <c r="H173" s="180" t="s">
        <v>650</v>
      </c>
      <c r="I173" s="181">
        <v>269</v>
      </c>
      <c r="J173" s="182">
        <v>134</v>
      </c>
      <c r="K173" s="183">
        <v>11016</v>
      </c>
      <c r="L173" s="184" t="s">
        <v>650</v>
      </c>
      <c r="M173" s="185">
        <v>55.328571428571429</v>
      </c>
      <c r="N173" s="186">
        <v>147</v>
      </c>
      <c r="O173" s="106">
        <v>11016</v>
      </c>
      <c r="P173" s="103" t="s">
        <v>650</v>
      </c>
      <c r="Q173" s="219">
        <v>227</v>
      </c>
      <c r="R173" s="220">
        <v>205</v>
      </c>
    </row>
    <row r="174" spans="1:18" ht="13.5" customHeight="1" x14ac:dyDescent="0.15">
      <c r="A174" s="110" t="str">
        <f t="shared" si="2"/>
        <v>110</v>
      </c>
      <c r="B174" s="174">
        <v>11017</v>
      </c>
      <c r="C174" s="175" t="s">
        <v>651</v>
      </c>
      <c r="D174" s="176" t="s">
        <v>681</v>
      </c>
      <c r="E174" s="177">
        <v>37.566099999999999</v>
      </c>
      <c r="F174" s="178">
        <v>171</v>
      </c>
      <c r="G174" s="179">
        <v>11017</v>
      </c>
      <c r="H174" s="180" t="s">
        <v>651</v>
      </c>
      <c r="I174" s="181">
        <v>226</v>
      </c>
      <c r="J174" s="182">
        <v>215</v>
      </c>
      <c r="K174" s="183">
        <v>11017</v>
      </c>
      <c r="L174" s="184" t="s">
        <v>651</v>
      </c>
      <c r="M174" s="185">
        <v>41.74285714285714</v>
      </c>
      <c r="N174" s="186">
        <v>231</v>
      </c>
      <c r="O174" s="106">
        <v>11017</v>
      </c>
      <c r="P174" s="103" t="s">
        <v>651</v>
      </c>
      <c r="Q174" s="219">
        <v>258</v>
      </c>
      <c r="R174" s="220">
        <v>150</v>
      </c>
    </row>
    <row r="175" spans="1:18" ht="13.5" customHeight="1" x14ac:dyDescent="0.15">
      <c r="A175" s="110" t="str">
        <f t="shared" si="2"/>
        <v>109</v>
      </c>
      <c r="B175" s="174">
        <v>10933</v>
      </c>
      <c r="C175" s="175" t="s">
        <v>634</v>
      </c>
      <c r="D175" s="176" t="s">
        <v>686</v>
      </c>
      <c r="E175" s="177">
        <v>37.984499999999997</v>
      </c>
      <c r="F175" s="178">
        <v>172</v>
      </c>
      <c r="G175" s="179">
        <v>10933</v>
      </c>
      <c r="H175" s="180" t="s">
        <v>634</v>
      </c>
      <c r="I175" s="181">
        <v>269</v>
      </c>
      <c r="J175" s="182">
        <v>134</v>
      </c>
      <c r="K175" s="183">
        <v>10933</v>
      </c>
      <c r="L175" s="184" t="s">
        <v>634</v>
      </c>
      <c r="M175" s="185">
        <v>60.442857142857157</v>
      </c>
      <c r="N175" s="186">
        <v>123</v>
      </c>
      <c r="O175" s="104">
        <v>10933</v>
      </c>
      <c r="P175" s="101" t="s">
        <v>634</v>
      </c>
      <c r="Q175" s="219">
        <v>272</v>
      </c>
      <c r="R175" s="220">
        <v>134</v>
      </c>
    </row>
    <row r="176" spans="1:18" ht="13.5" customHeight="1" x14ac:dyDescent="0.15">
      <c r="A176" s="110" t="str">
        <f t="shared" si="2"/>
        <v>108</v>
      </c>
      <c r="B176" s="174">
        <v>10809</v>
      </c>
      <c r="C176" s="175" t="s">
        <v>155</v>
      </c>
      <c r="D176" s="176" t="s">
        <v>691</v>
      </c>
      <c r="E176" s="177">
        <v>38.039200000000001</v>
      </c>
      <c r="F176" s="178">
        <v>173</v>
      </c>
      <c r="G176" s="187">
        <v>10809</v>
      </c>
      <c r="H176" s="188" t="s">
        <v>155</v>
      </c>
      <c r="I176" s="181">
        <v>241</v>
      </c>
      <c r="J176" s="182">
        <v>182</v>
      </c>
      <c r="K176" s="183">
        <v>10809</v>
      </c>
      <c r="L176" s="184" t="s">
        <v>155</v>
      </c>
      <c r="M176" s="185">
        <v>19.5</v>
      </c>
      <c r="N176" s="186">
        <v>318</v>
      </c>
      <c r="O176" s="106">
        <v>10809</v>
      </c>
      <c r="P176" s="103" t="s">
        <v>155</v>
      </c>
      <c r="Q176" s="219">
        <v>129</v>
      </c>
      <c r="R176" s="220">
        <v>302</v>
      </c>
    </row>
    <row r="177" spans="1:18" ht="13.5" customHeight="1" x14ac:dyDescent="0.15">
      <c r="A177" s="110" t="str">
        <f t="shared" si="2"/>
        <v>107</v>
      </c>
      <c r="B177" s="174">
        <v>10709</v>
      </c>
      <c r="C177" s="175" t="s">
        <v>549</v>
      </c>
      <c r="D177" s="176" t="s">
        <v>684</v>
      </c>
      <c r="E177" s="177">
        <v>38.095199999999998</v>
      </c>
      <c r="F177" s="178">
        <v>174</v>
      </c>
      <c r="G177" s="187">
        <v>10709</v>
      </c>
      <c r="H177" s="188" t="s">
        <v>549</v>
      </c>
      <c r="I177" s="181">
        <v>226</v>
      </c>
      <c r="J177" s="182">
        <v>215</v>
      </c>
      <c r="K177" s="183">
        <v>10709</v>
      </c>
      <c r="L177" s="184" t="s">
        <v>549</v>
      </c>
      <c r="M177" s="185">
        <v>54.614285714285721</v>
      </c>
      <c r="N177" s="186">
        <v>155</v>
      </c>
      <c r="O177" s="106">
        <v>10709</v>
      </c>
      <c r="P177" s="103" t="s">
        <v>549</v>
      </c>
      <c r="Q177" s="219">
        <v>242</v>
      </c>
      <c r="R177" s="220">
        <v>171</v>
      </c>
    </row>
    <row r="178" spans="1:18" ht="13.5" customHeight="1" x14ac:dyDescent="0.15">
      <c r="A178" s="110" t="str">
        <f t="shared" si="2"/>
        <v>106</v>
      </c>
      <c r="B178" s="174">
        <v>10611</v>
      </c>
      <c r="C178" s="175" t="s">
        <v>519</v>
      </c>
      <c r="D178" s="176" t="s">
        <v>683</v>
      </c>
      <c r="E178" s="177">
        <v>38.554200000000002</v>
      </c>
      <c r="F178" s="178">
        <v>175</v>
      </c>
      <c r="G178" s="187">
        <v>10611</v>
      </c>
      <c r="H178" s="188" t="s">
        <v>519</v>
      </c>
      <c r="I178" s="181">
        <v>261</v>
      </c>
      <c r="J178" s="182">
        <v>145</v>
      </c>
      <c r="K178" s="183">
        <v>10611</v>
      </c>
      <c r="L178" s="184" t="s">
        <v>519</v>
      </c>
      <c r="M178" s="185">
        <v>63.514285714285712</v>
      </c>
      <c r="N178" s="186">
        <v>104</v>
      </c>
      <c r="O178" s="106">
        <v>10611</v>
      </c>
      <c r="P178" s="103" t="s">
        <v>519</v>
      </c>
      <c r="Q178" s="219">
        <v>242</v>
      </c>
      <c r="R178" s="220">
        <v>171</v>
      </c>
    </row>
    <row r="179" spans="1:18" ht="13.5" customHeight="1" x14ac:dyDescent="0.15">
      <c r="A179" s="110" t="str">
        <f t="shared" si="2"/>
        <v>105</v>
      </c>
      <c r="B179" s="174">
        <v>10522</v>
      </c>
      <c r="C179" s="175" t="s">
        <v>500</v>
      </c>
      <c r="D179" s="176" t="s">
        <v>688</v>
      </c>
      <c r="E179" s="177">
        <v>39.1892</v>
      </c>
      <c r="F179" s="178">
        <v>176</v>
      </c>
      <c r="G179" s="187">
        <v>10522</v>
      </c>
      <c r="H179" s="188" t="s">
        <v>500</v>
      </c>
      <c r="I179" s="181">
        <v>241</v>
      </c>
      <c r="J179" s="182">
        <v>182</v>
      </c>
      <c r="K179" s="183">
        <v>10522</v>
      </c>
      <c r="L179" s="184" t="s">
        <v>500</v>
      </c>
      <c r="M179" s="185">
        <v>42.600000000000009</v>
      </c>
      <c r="N179" s="186">
        <v>221</v>
      </c>
      <c r="O179" s="104">
        <v>10522</v>
      </c>
      <c r="P179" s="100" t="s">
        <v>500</v>
      </c>
      <c r="Q179" s="219">
        <v>255</v>
      </c>
      <c r="R179" s="220">
        <v>154</v>
      </c>
    </row>
    <row r="180" spans="1:18" ht="13.5" customHeight="1" x14ac:dyDescent="0.15">
      <c r="A180" s="110" t="str">
        <f t="shared" si="2"/>
        <v>104</v>
      </c>
      <c r="B180" s="174">
        <v>10401</v>
      </c>
      <c r="C180" s="175" t="s">
        <v>454</v>
      </c>
      <c r="D180" s="176" t="s">
        <v>682</v>
      </c>
      <c r="E180" s="177">
        <v>39.1892</v>
      </c>
      <c r="F180" s="178">
        <v>177</v>
      </c>
      <c r="G180" s="187">
        <v>10401</v>
      </c>
      <c r="H180" s="188" t="s">
        <v>454</v>
      </c>
      <c r="I180" s="181">
        <v>211</v>
      </c>
      <c r="J180" s="182">
        <v>249</v>
      </c>
      <c r="K180" s="183">
        <v>10401</v>
      </c>
      <c r="L180" s="184" t="s">
        <v>454</v>
      </c>
      <c r="M180" s="185">
        <v>37.342857142857142</v>
      </c>
      <c r="N180" s="186">
        <v>259</v>
      </c>
      <c r="O180" s="106">
        <v>10401</v>
      </c>
      <c r="P180" s="103" t="s">
        <v>454</v>
      </c>
      <c r="Q180" s="219">
        <v>224</v>
      </c>
      <c r="R180" s="220">
        <v>208</v>
      </c>
    </row>
    <row r="181" spans="1:18" ht="13.5" customHeight="1" x14ac:dyDescent="0.15">
      <c r="A181" s="110" t="str">
        <f t="shared" si="2"/>
        <v>103</v>
      </c>
      <c r="B181" s="174">
        <v>10325</v>
      </c>
      <c r="C181" s="175" t="s">
        <v>444</v>
      </c>
      <c r="D181" s="176" t="s">
        <v>692</v>
      </c>
      <c r="E181" s="177">
        <v>40</v>
      </c>
      <c r="F181" s="178">
        <v>178</v>
      </c>
      <c r="G181" s="187">
        <v>10325</v>
      </c>
      <c r="H181" s="188" t="s">
        <v>444</v>
      </c>
      <c r="I181" s="181">
        <v>291</v>
      </c>
      <c r="J181" s="182">
        <v>92</v>
      </c>
      <c r="K181" s="183">
        <v>10325</v>
      </c>
      <c r="L181" s="184" t="s">
        <v>444</v>
      </c>
      <c r="M181" s="185">
        <v>75.2</v>
      </c>
      <c r="N181" s="186">
        <v>54</v>
      </c>
      <c r="O181" s="105">
        <v>10325</v>
      </c>
      <c r="P181" s="102" t="s">
        <v>444</v>
      </c>
      <c r="Q181" s="219">
        <v>311</v>
      </c>
      <c r="R181" s="220">
        <v>83</v>
      </c>
    </row>
    <row r="182" spans="1:18" ht="13.5" customHeight="1" x14ac:dyDescent="0.15">
      <c r="A182" s="110" t="str">
        <f t="shared" si="2"/>
        <v>102</v>
      </c>
      <c r="B182" s="174">
        <v>10228</v>
      </c>
      <c r="C182" s="175" t="s">
        <v>418</v>
      </c>
      <c r="D182" s="176" t="s">
        <v>680</v>
      </c>
      <c r="E182" s="177">
        <v>40</v>
      </c>
      <c r="F182" s="178">
        <v>179</v>
      </c>
      <c r="G182" s="179">
        <v>10228</v>
      </c>
      <c r="H182" s="180" t="s">
        <v>418</v>
      </c>
      <c r="I182" s="181">
        <v>263</v>
      </c>
      <c r="J182" s="182">
        <v>144</v>
      </c>
      <c r="K182" s="183">
        <v>10228</v>
      </c>
      <c r="L182" s="184" t="s">
        <v>418</v>
      </c>
      <c r="M182" s="185">
        <v>47.25714285714286</v>
      </c>
      <c r="N182" s="186">
        <v>186</v>
      </c>
      <c r="O182" s="106">
        <v>10228</v>
      </c>
      <c r="P182" s="103" t="s">
        <v>418</v>
      </c>
      <c r="Q182" s="219">
        <v>248</v>
      </c>
      <c r="R182" s="220">
        <v>164</v>
      </c>
    </row>
    <row r="183" spans="1:18" ht="13.5" customHeight="1" x14ac:dyDescent="0.15">
      <c r="A183" s="110" t="str">
        <f t="shared" si="2"/>
        <v>101</v>
      </c>
      <c r="B183" s="174">
        <v>10119</v>
      </c>
      <c r="C183" s="175" t="s">
        <v>377</v>
      </c>
      <c r="D183" s="176" t="s">
        <v>680</v>
      </c>
      <c r="E183" s="177">
        <v>40.5</v>
      </c>
      <c r="F183" s="178">
        <v>180</v>
      </c>
      <c r="G183" s="187">
        <v>10119</v>
      </c>
      <c r="H183" s="188" t="s">
        <v>377</v>
      </c>
      <c r="I183" s="181">
        <v>229</v>
      </c>
      <c r="J183" s="182">
        <v>209</v>
      </c>
      <c r="K183" s="183">
        <v>10119</v>
      </c>
      <c r="L183" s="184" t="s">
        <v>377</v>
      </c>
      <c r="M183" s="185">
        <v>41.871428571428574</v>
      </c>
      <c r="N183" s="186">
        <v>227</v>
      </c>
      <c r="O183" s="106">
        <v>10119</v>
      </c>
      <c r="P183" s="103" t="s">
        <v>377</v>
      </c>
      <c r="Q183" s="219">
        <v>232</v>
      </c>
      <c r="R183" s="220">
        <v>194</v>
      </c>
    </row>
    <row r="184" spans="1:18" ht="13.5" customHeight="1" x14ac:dyDescent="0.15">
      <c r="A184" s="110" t="str">
        <f t="shared" si="2"/>
        <v>101</v>
      </c>
      <c r="B184" s="174">
        <v>10114</v>
      </c>
      <c r="C184" s="175" t="s">
        <v>372</v>
      </c>
      <c r="D184" s="176" t="s">
        <v>687</v>
      </c>
      <c r="E184" s="177">
        <v>40.540500000000002</v>
      </c>
      <c r="F184" s="178">
        <v>181</v>
      </c>
      <c r="G184" s="187">
        <v>10114</v>
      </c>
      <c r="H184" s="188" t="s">
        <v>372</v>
      </c>
      <c r="I184" s="181">
        <v>199</v>
      </c>
      <c r="J184" s="182">
        <v>270</v>
      </c>
      <c r="K184" s="183">
        <v>10114</v>
      </c>
      <c r="L184" s="184" t="s">
        <v>372</v>
      </c>
      <c r="M184" s="185">
        <v>47.314285714285724</v>
      </c>
      <c r="N184" s="186">
        <v>184</v>
      </c>
      <c r="O184" s="106">
        <v>10114</v>
      </c>
      <c r="P184" s="103" t="s">
        <v>372</v>
      </c>
      <c r="Q184" s="219">
        <v>249</v>
      </c>
      <c r="R184" s="220">
        <v>162</v>
      </c>
    </row>
    <row r="185" spans="1:18" ht="13.5" customHeight="1" x14ac:dyDescent="0.15">
      <c r="A185" s="110" t="str">
        <f t="shared" si="2"/>
        <v>102</v>
      </c>
      <c r="B185" s="174">
        <v>10221</v>
      </c>
      <c r="C185" s="175" t="s">
        <v>411</v>
      </c>
      <c r="D185" s="176" t="s">
        <v>682</v>
      </c>
      <c r="E185" s="177">
        <v>40.540500000000002</v>
      </c>
      <c r="F185" s="178">
        <v>182</v>
      </c>
      <c r="G185" s="187">
        <v>10221</v>
      </c>
      <c r="H185" s="188" t="s">
        <v>411</v>
      </c>
      <c r="I185" s="181">
        <v>199</v>
      </c>
      <c r="J185" s="182">
        <v>270</v>
      </c>
      <c r="K185" s="183">
        <v>10221</v>
      </c>
      <c r="L185" s="184" t="s">
        <v>411</v>
      </c>
      <c r="M185" s="185">
        <v>33.985714285714288</v>
      </c>
      <c r="N185" s="186">
        <v>272</v>
      </c>
      <c r="O185" s="106">
        <v>10221</v>
      </c>
      <c r="P185" s="103" t="s">
        <v>411</v>
      </c>
      <c r="Q185" s="219">
        <v>176</v>
      </c>
      <c r="R185" s="220">
        <v>277</v>
      </c>
    </row>
    <row r="186" spans="1:18" ht="13.5" customHeight="1" x14ac:dyDescent="0.15">
      <c r="A186" s="110" t="str">
        <f t="shared" si="2"/>
        <v>103</v>
      </c>
      <c r="B186" s="174">
        <v>10332</v>
      </c>
      <c r="C186" s="175" t="s">
        <v>451</v>
      </c>
      <c r="D186" s="176" t="s">
        <v>681</v>
      </c>
      <c r="E186" s="177">
        <v>40.740699999999997</v>
      </c>
      <c r="F186" s="178">
        <v>183</v>
      </c>
      <c r="G186" s="187">
        <v>10332</v>
      </c>
      <c r="H186" s="188" t="s">
        <v>451</v>
      </c>
      <c r="I186" s="181">
        <v>247</v>
      </c>
      <c r="J186" s="182">
        <v>168</v>
      </c>
      <c r="K186" s="183">
        <v>10332</v>
      </c>
      <c r="L186" s="184" t="s">
        <v>451</v>
      </c>
      <c r="M186" s="185">
        <v>43.300000000000004</v>
      </c>
      <c r="N186" s="186">
        <v>215</v>
      </c>
      <c r="O186" s="106">
        <v>10332</v>
      </c>
      <c r="P186" s="103" t="s">
        <v>451</v>
      </c>
      <c r="Q186" s="219">
        <v>201</v>
      </c>
      <c r="R186" s="220">
        <v>244</v>
      </c>
    </row>
    <row r="187" spans="1:18" ht="13.5" customHeight="1" x14ac:dyDescent="0.15">
      <c r="A187" s="110" t="str">
        <f t="shared" si="2"/>
        <v>104</v>
      </c>
      <c r="B187" s="174">
        <v>10430</v>
      </c>
      <c r="C187" s="175" t="s">
        <v>477</v>
      </c>
      <c r="D187" s="176" t="s">
        <v>680</v>
      </c>
      <c r="E187" s="177">
        <v>41</v>
      </c>
      <c r="F187" s="178">
        <v>184</v>
      </c>
      <c r="G187" s="187">
        <v>10430</v>
      </c>
      <c r="H187" s="188" t="s">
        <v>477</v>
      </c>
      <c r="I187" s="181">
        <v>231</v>
      </c>
      <c r="J187" s="182">
        <v>204</v>
      </c>
      <c r="K187" s="183">
        <v>10430</v>
      </c>
      <c r="L187" s="184" t="s">
        <v>477</v>
      </c>
      <c r="M187" s="185">
        <v>41.01428571428572</v>
      </c>
      <c r="N187" s="186">
        <v>240</v>
      </c>
      <c r="O187" s="104">
        <v>10430</v>
      </c>
      <c r="P187" s="100" t="s">
        <v>477</v>
      </c>
      <c r="Q187" s="219">
        <v>308</v>
      </c>
      <c r="R187" s="220">
        <v>89</v>
      </c>
    </row>
    <row r="188" spans="1:18" ht="13.5" customHeight="1" x14ac:dyDescent="0.15">
      <c r="A188" s="110" t="str">
        <f t="shared" si="2"/>
        <v>105</v>
      </c>
      <c r="B188" s="174">
        <v>10516</v>
      </c>
      <c r="C188" s="175" t="s">
        <v>495</v>
      </c>
      <c r="D188" s="176" t="s">
        <v>682</v>
      </c>
      <c r="E188" s="177">
        <v>41.216200000000001</v>
      </c>
      <c r="F188" s="178">
        <v>185</v>
      </c>
      <c r="G188" s="187">
        <v>10516</v>
      </c>
      <c r="H188" s="188" t="s">
        <v>495</v>
      </c>
      <c r="I188" s="181">
        <v>227</v>
      </c>
      <c r="J188" s="182">
        <v>211</v>
      </c>
      <c r="K188" s="183">
        <v>10516</v>
      </c>
      <c r="L188" s="184" t="s">
        <v>495</v>
      </c>
      <c r="M188" s="185">
        <v>43.471428571428582</v>
      </c>
      <c r="N188" s="186">
        <v>212</v>
      </c>
      <c r="O188" s="106">
        <v>10516</v>
      </c>
      <c r="P188" s="103" t="s">
        <v>495</v>
      </c>
      <c r="Q188" s="219">
        <v>220</v>
      </c>
      <c r="R188" s="220">
        <v>213</v>
      </c>
    </row>
    <row r="189" spans="1:18" ht="13.5" customHeight="1" x14ac:dyDescent="0.15">
      <c r="A189" s="110" t="str">
        <f t="shared" si="2"/>
        <v>106</v>
      </c>
      <c r="B189" s="174">
        <v>10621</v>
      </c>
      <c r="C189" s="175" t="s">
        <v>528</v>
      </c>
      <c r="D189" s="176" t="s">
        <v>683</v>
      </c>
      <c r="E189" s="177">
        <v>41.365499999999997</v>
      </c>
      <c r="F189" s="178">
        <v>186</v>
      </c>
      <c r="G189" s="187">
        <v>10621</v>
      </c>
      <c r="H189" s="188" t="s">
        <v>528</v>
      </c>
      <c r="I189" s="181">
        <v>242</v>
      </c>
      <c r="J189" s="182">
        <v>180</v>
      </c>
      <c r="K189" s="183">
        <v>10621</v>
      </c>
      <c r="L189" s="184" t="s">
        <v>528</v>
      </c>
      <c r="M189" s="185">
        <v>63.071428571428577</v>
      </c>
      <c r="N189" s="186">
        <v>106</v>
      </c>
      <c r="O189" s="105">
        <v>10621</v>
      </c>
      <c r="P189" s="102" t="s">
        <v>528</v>
      </c>
      <c r="Q189" s="219">
        <v>256</v>
      </c>
      <c r="R189" s="220">
        <v>153</v>
      </c>
    </row>
    <row r="190" spans="1:18" ht="13.5" customHeight="1" x14ac:dyDescent="0.15">
      <c r="A190" s="110" t="str">
        <f t="shared" si="2"/>
        <v>107</v>
      </c>
      <c r="B190" s="174">
        <v>10705</v>
      </c>
      <c r="C190" s="175" t="s">
        <v>545</v>
      </c>
      <c r="D190" s="176" t="s">
        <v>686</v>
      </c>
      <c r="E190" s="177">
        <v>41.472900000000003</v>
      </c>
      <c r="F190" s="178">
        <v>187</v>
      </c>
      <c r="G190" s="187">
        <v>10705</v>
      </c>
      <c r="H190" s="188" t="s">
        <v>545</v>
      </c>
      <c r="I190" s="181">
        <v>252</v>
      </c>
      <c r="J190" s="182">
        <v>158</v>
      </c>
      <c r="K190" s="183">
        <v>10705</v>
      </c>
      <c r="L190" s="184" t="s">
        <v>545</v>
      </c>
      <c r="M190" s="185">
        <v>50.9</v>
      </c>
      <c r="N190" s="186">
        <v>170</v>
      </c>
      <c r="O190" s="105">
        <v>10705</v>
      </c>
      <c r="P190" s="102" t="s">
        <v>545</v>
      </c>
      <c r="Q190" s="219">
        <v>278</v>
      </c>
      <c r="R190" s="220">
        <v>130</v>
      </c>
    </row>
    <row r="191" spans="1:18" ht="13.5" customHeight="1" x14ac:dyDescent="0.15">
      <c r="A191" s="110" t="str">
        <f t="shared" si="2"/>
        <v>108</v>
      </c>
      <c r="B191" s="174">
        <v>10830</v>
      </c>
      <c r="C191" s="175" t="s">
        <v>600</v>
      </c>
      <c r="D191" s="176" t="s">
        <v>680</v>
      </c>
      <c r="E191" s="177">
        <v>41.5</v>
      </c>
      <c r="F191" s="178">
        <v>188</v>
      </c>
      <c r="G191" s="179">
        <v>10830</v>
      </c>
      <c r="H191" s="180" t="s">
        <v>600</v>
      </c>
      <c r="I191" s="181">
        <v>296</v>
      </c>
      <c r="J191" s="182">
        <v>84</v>
      </c>
      <c r="K191" s="183">
        <v>10830</v>
      </c>
      <c r="L191" s="184" t="s">
        <v>600</v>
      </c>
      <c r="M191" s="185">
        <v>73.5</v>
      </c>
      <c r="N191" s="186">
        <v>61</v>
      </c>
      <c r="O191" s="105">
        <v>10830</v>
      </c>
      <c r="P191" s="102" t="s">
        <v>600</v>
      </c>
      <c r="Q191" s="219">
        <v>280</v>
      </c>
      <c r="R191" s="220">
        <v>126</v>
      </c>
    </row>
    <row r="192" spans="1:18" ht="13.5" customHeight="1" x14ac:dyDescent="0.15">
      <c r="A192" s="110" t="str">
        <f t="shared" si="2"/>
        <v>109</v>
      </c>
      <c r="B192" s="174">
        <v>10926</v>
      </c>
      <c r="C192" s="175" t="s">
        <v>627</v>
      </c>
      <c r="D192" s="176" t="s">
        <v>689</v>
      </c>
      <c r="E192" s="177">
        <v>41.739100000000001</v>
      </c>
      <c r="F192" s="178">
        <v>189</v>
      </c>
      <c r="G192" s="187">
        <v>10926</v>
      </c>
      <c r="H192" s="188" t="s">
        <v>627</v>
      </c>
      <c r="I192" s="181">
        <v>296</v>
      </c>
      <c r="J192" s="182">
        <v>84</v>
      </c>
      <c r="K192" s="183">
        <v>10926</v>
      </c>
      <c r="L192" s="184" t="s">
        <v>627</v>
      </c>
      <c r="M192" s="185">
        <v>79.94285714285715</v>
      </c>
      <c r="N192" s="186">
        <v>35</v>
      </c>
      <c r="O192" s="106">
        <v>10926</v>
      </c>
      <c r="P192" s="103" t="s">
        <v>627</v>
      </c>
      <c r="Q192" s="219">
        <v>321</v>
      </c>
      <c r="R192" s="220">
        <v>64</v>
      </c>
    </row>
    <row r="193" spans="1:18" ht="13.5" customHeight="1" x14ac:dyDescent="0.15">
      <c r="A193" s="110" t="str">
        <f t="shared" si="2"/>
        <v>110</v>
      </c>
      <c r="B193" s="174">
        <v>11005</v>
      </c>
      <c r="C193" s="175" t="s">
        <v>640</v>
      </c>
      <c r="D193" s="176" t="s">
        <v>681</v>
      </c>
      <c r="E193" s="177">
        <v>41.798900000000003</v>
      </c>
      <c r="F193" s="178">
        <v>190</v>
      </c>
      <c r="G193" s="187">
        <v>11005</v>
      </c>
      <c r="H193" s="188" t="s">
        <v>640</v>
      </c>
      <c r="I193" s="181">
        <v>225</v>
      </c>
      <c r="J193" s="182">
        <v>221</v>
      </c>
      <c r="K193" s="183">
        <v>11005</v>
      </c>
      <c r="L193" s="184" t="s">
        <v>640</v>
      </c>
      <c r="M193" s="185">
        <v>40.51428571428572</v>
      </c>
      <c r="N193" s="186">
        <v>243</v>
      </c>
      <c r="O193" s="104">
        <v>11005</v>
      </c>
      <c r="P193" s="101" t="s">
        <v>640</v>
      </c>
      <c r="Q193" s="219">
        <v>229</v>
      </c>
      <c r="R193" s="220">
        <v>200</v>
      </c>
    </row>
    <row r="194" spans="1:18" ht="13.5" customHeight="1" x14ac:dyDescent="0.15">
      <c r="A194" s="110" t="str">
        <f t="shared" si="2"/>
        <v>110</v>
      </c>
      <c r="B194" s="174">
        <v>11002</v>
      </c>
      <c r="C194" s="175" t="s">
        <v>637</v>
      </c>
      <c r="D194" s="176" t="s">
        <v>680</v>
      </c>
      <c r="E194" s="177">
        <v>42</v>
      </c>
      <c r="F194" s="178">
        <v>191</v>
      </c>
      <c r="G194" s="187">
        <v>11002</v>
      </c>
      <c r="H194" s="188" t="s">
        <v>637</v>
      </c>
      <c r="I194" s="181">
        <v>248</v>
      </c>
      <c r="J194" s="182">
        <v>165</v>
      </c>
      <c r="K194" s="183">
        <v>11002</v>
      </c>
      <c r="L194" s="184" t="s">
        <v>637</v>
      </c>
      <c r="M194" s="185">
        <v>44.628571428571426</v>
      </c>
      <c r="N194" s="186">
        <v>203</v>
      </c>
      <c r="O194" s="104">
        <v>11002</v>
      </c>
      <c r="P194" s="100" t="s">
        <v>637</v>
      </c>
      <c r="Q194" s="219">
        <v>214</v>
      </c>
      <c r="R194" s="220">
        <v>224</v>
      </c>
    </row>
    <row r="195" spans="1:18" ht="13.5" customHeight="1" x14ac:dyDescent="0.15">
      <c r="A195" s="110" t="str">
        <f t="shared" si="2"/>
        <v>109</v>
      </c>
      <c r="B195" s="174">
        <v>10916</v>
      </c>
      <c r="C195" s="175" t="s">
        <v>618</v>
      </c>
      <c r="D195" s="176" t="s">
        <v>687</v>
      </c>
      <c r="E195" s="177">
        <v>42.162199999999999</v>
      </c>
      <c r="F195" s="178">
        <v>192</v>
      </c>
      <c r="G195" s="187">
        <v>10916</v>
      </c>
      <c r="H195" s="188" t="s">
        <v>618</v>
      </c>
      <c r="I195" s="181">
        <v>265</v>
      </c>
      <c r="J195" s="182">
        <v>143</v>
      </c>
      <c r="K195" s="183">
        <v>10916</v>
      </c>
      <c r="L195" s="184" t="s">
        <v>618</v>
      </c>
      <c r="M195" s="185">
        <v>56.9</v>
      </c>
      <c r="N195" s="186">
        <v>139</v>
      </c>
      <c r="O195" s="104">
        <v>10916</v>
      </c>
      <c r="P195" s="101" t="s">
        <v>618</v>
      </c>
      <c r="Q195" s="219">
        <v>294</v>
      </c>
      <c r="R195" s="220">
        <v>108</v>
      </c>
    </row>
    <row r="196" spans="1:18" ht="13.5" customHeight="1" x14ac:dyDescent="0.15">
      <c r="A196" s="110" t="str">
        <f t="shared" ref="A196:A259" si="3">LEFT(B196,3)</f>
        <v>108</v>
      </c>
      <c r="B196" s="174">
        <v>10828</v>
      </c>
      <c r="C196" s="175" t="s">
        <v>598</v>
      </c>
      <c r="D196" s="176" t="s">
        <v>683</v>
      </c>
      <c r="E196" s="177">
        <v>42.168700000000001</v>
      </c>
      <c r="F196" s="178">
        <v>193</v>
      </c>
      <c r="G196" s="187">
        <v>10828</v>
      </c>
      <c r="H196" s="188" t="s">
        <v>598</v>
      </c>
      <c r="I196" s="181">
        <v>320</v>
      </c>
      <c r="J196" s="182">
        <v>55</v>
      </c>
      <c r="K196" s="183">
        <v>10828</v>
      </c>
      <c r="L196" s="184" t="s">
        <v>598</v>
      </c>
      <c r="M196" s="185">
        <v>66.51428571428572</v>
      </c>
      <c r="N196" s="186">
        <v>93</v>
      </c>
      <c r="O196" s="106">
        <v>10828</v>
      </c>
      <c r="P196" s="103" t="s">
        <v>598</v>
      </c>
      <c r="Q196" s="219">
        <v>351</v>
      </c>
      <c r="R196" s="220">
        <v>35</v>
      </c>
    </row>
    <row r="197" spans="1:18" ht="13.5" customHeight="1" x14ac:dyDescent="0.15">
      <c r="A197" s="110" t="str">
        <f t="shared" si="3"/>
        <v>107</v>
      </c>
      <c r="B197" s="174">
        <v>10707</v>
      </c>
      <c r="C197" s="175" t="s">
        <v>547</v>
      </c>
      <c r="D197" s="176" t="s">
        <v>680</v>
      </c>
      <c r="E197" s="177">
        <v>42.5</v>
      </c>
      <c r="F197" s="178">
        <v>194</v>
      </c>
      <c r="G197" s="187">
        <v>10707</v>
      </c>
      <c r="H197" s="188" t="s">
        <v>547</v>
      </c>
      <c r="I197" s="181">
        <v>217</v>
      </c>
      <c r="J197" s="182">
        <v>235</v>
      </c>
      <c r="K197" s="183">
        <v>10707</v>
      </c>
      <c r="L197" s="184" t="s">
        <v>547</v>
      </c>
      <c r="M197" s="185">
        <v>50.271428571428579</v>
      </c>
      <c r="N197" s="186">
        <v>173</v>
      </c>
      <c r="O197" s="106">
        <v>10707</v>
      </c>
      <c r="P197" s="103" t="s">
        <v>547</v>
      </c>
      <c r="Q197" s="219">
        <v>253</v>
      </c>
      <c r="R197" s="220">
        <v>158</v>
      </c>
    </row>
    <row r="198" spans="1:18" ht="13.5" customHeight="1" x14ac:dyDescent="0.15">
      <c r="A198" s="110" t="str">
        <f t="shared" si="3"/>
        <v>106</v>
      </c>
      <c r="B198" s="174">
        <v>10633</v>
      </c>
      <c r="C198" s="175" t="s">
        <v>539</v>
      </c>
      <c r="D198" s="176" t="s">
        <v>688</v>
      </c>
      <c r="E198" s="177">
        <v>42.567599999999999</v>
      </c>
      <c r="F198" s="178">
        <v>195</v>
      </c>
      <c r="G198" s="187">
        <v>10633</v>
      </c>
      <c r="H198" s="188" t="s">
        <v>539</v>
      </c>
      <c r="I198" s="181">
        <v>273</v>
      </c>
      <c r="J198" s="182">
        <v>125</v>
      </c>
      <c r="K198" s="183">
        <v>10633</v>
      </c>
      <c r="L198" s="184" t="s">
        <v>539</v>
      </c>
      <c r="M198" s="185">
        <v>49.51428571428572</v>
      </c>
      <c r="N198" s="186">
        <v>175</v>
      </c>
      <c r="O198" s="106">
        <v>10633</v>
      </c>
      <c r="P198" s="103" t="s">
        <v>539</v>
      </c>
      <c r="Q198" s="219">
        <v>259</v>
      </c>
      <c r="R198" s="220">
        <v>148</v>
      </c>
    </row>
    <row r="199" spans="1:18" ht="13.5" customHeight="1" x14ac:dyDescent="0.15">
      <c r="A199" s="110" t="str">
        <f t="shared" si="3"/>
        <v>105</v>
      </c>
      <c r="B199" s="174">
        <v>10519</v>
      </c>
      <c r="C199" s="175" t="s">
        <v>498</v>
      </c>
      <c r="D199" s="176" t="s">
        <v>687</v>
      </c>
      <c r="E199" s="177">
        <v>42.7027</v>
      </c>
      <c r="F199" s="178">
        <v>196</v>
      </c>
      <c r="G199" s="187">
        <v>10519</v>
      </c>
      <c r="H199" s="188" t="s">
        <v>498</v>
      </c>
      <c r="I199" s="181">
        <v>234</v>
      </c>
      <c r="J199" s="182">
        <v>199</v>
      </c>
      <c r="K199" s="183">
        <v>10519</v>
      </c>
      <c r="L199" s="184" t="s">
        <v>498</v>
      </c>
      <c r="M199" s="185">
        <v>53.485714285714288</v>
      </c>
      <c r="N199" s="186">
        <v>158</v>
      </c>
      <c r="O199" s="104">
        <v>10519</v>
      </c>
      <c r="P199" s="100" t="s">
        <v>498</v>
      </c>
      <c r="Q199" s="219">
        <v>238</v>
      </c>
      <c r="R199" s="220">
        <v>180</v>
      </c>
    </row>
    <row r="200" spans="1:18" ht="13.5" customHeight="1" x14ac:dyDescent="0.15">
      <c r="A200" s="110" t="str">
        <f t="shared" si="3"/>
        <v>104</v>
      </c>
      <c r="B200" s="174">
        <v>10423</v>
      </c>
      <c r="C200" s="175" t="s">
        <v>471</v>
      </c>
      <c r="D200" s="176" t="s">
        <v>680</v>
      </c>
      <c r="E200" s="177">
        <v>43</v>
      </c>
      <c r="F200" s="178">
        <v>197</v>
      </c>
      <c r="G200" s="187">
        <v>10423</v>
      </c>
      <c r="H200" s="188" t="s">
        <v>471</v>
      </c>
      <c r="I200" s="181">
        <v>227</v>
      </c>
      <c r="J200" s="182">
        <v>211</v>
      </c>
      <c r="K200" s="183">
        <v>10423</v>
      </c>
      <c r="L200" s="184" t="s">
        <v>471</v>
      </c>
      <c r="M200" s="185">
        <v>36.685714285714276</v>
      </c>
      <c r="N200" s="186">
        <v>263</v>
      </c>
      <c r="O200" s="106">
        <v>10423</v>
      </c>
      <c r="P200" s="103" t="s">
        <v>471</v>
      </c>
      <c r="Q200" s="219">
        <v>250</v>
      </c>
      <c r="R200" s="220">
        <v>160</v>
      </c>
    </row>
    <row r="201" spans="1:18" ht="13.5" customHeight="1" x14ac:dyDescent="0.15">
      <c r="A201" s="110" t="str">
        <f t="shared" si="3"/>
        <v>103</v>
      </c>
      <c r="B201" s="174">
        <v>10328</v>
      </c>
      <c r="C201" s="175" t="s">
        <v>447</v>
      </c>
      <c r="D201" s="176" t="s">
        <v>688</v>
      </c>
      <c r="E201" s="177">
        <v>43.243200000000002</v>
      </c>
      <c r="F201" s="178">
        <v>198</v>
      </c>
      <c r="G201" s="187">
        <v>10328</v>
      </c>
      <c r="H201" s="188" t="s">
        <v>447</v>
      </c>
      <c r="I201" s="181">
        <v>255</v>
      </c>
      <c r="J201" s="182">
        <v>155</v>
      </c>
      <c r="K201" s="183">
        <v>10328</v>
      </c>
      <c r="L201" s="184" t="s">
        <v>447</v>
      </c>
      <c r="M201" s="185">
        <v>43.342857142857149</v>
      </c>
      <c r="N201" s="186">
        <v>214</v>
      </c>
      <c r="O201" s="105">
        <v>10328</v>
      </c>
      <c r="P201" s="102" t="s">
        <v>447</v>
      </c>
      <c r="Q201" s="219">
        <v>257</v>
      </c>
      <c r="R201" s="220">
        <v>151</v>
      </c>
    </row>
    <row r="202" spans="1:18" ht="13.5" customHeight="1" x14ac:dyDescent="0.15">
      <c r="A202" s="110" t="str">
        <f t="shared" si="3"/>
        <v>102</v>
      </c>
      <c r="B202" s="174">
        <v>10225</v>
      </c>
      <c r="C202" s="175" t="s">
        <v>415</v>
      </c>
      <c r="D202" s="176" t="s">
        <v>682</v>
      </c>
      <c r="E202" s="177">
        <v>43.243200000000002</v>
      </c>
      <c r="F202" s="178">
        <v>199</v>
      </c>
      <c r="G202" s="187">
        <v>10225</v>
      </c>
      <c r="H202" s="188" t="s">
        <v>415</v>
      </c>
      <c r="I202" s="181">
        <v>226</v>
      </c>
      <c r="J202" s="182">
        <v>215</v>
      </c>
      <c r="K202" s="183">
        <v>10225</v>
      </c>
      <c r="L202" s="184" t="s">
        <v>415</v>
      </c>
      <c r="M202" s="185">
        <v>41.500000000000007</v>
      </c>
      <c r="N202" s="186">
        <v>233</v>
      </c>
      <c r="O202" s="105">
        <v>10225</v>
      </c>
      <c r="P202" s="102" t="s">
        <v>415</v>
      </c>
      <c r="Q202" s="219">
        <v>218</v>
      </c>
      <c r="R202" s="220">
        <v>215</v>
      </c>
    </row>
    <row r="203" spans="1:18" ht="13.5" customHeight="1" x14ac:dyDescent="0.15">
      <c r="A203" s="110" t="str">
        <f t="shared" si="3"/>
        <v>101</v>
      </c>
      <c r="B203" s="174">
        <v>10106</v>
      </c>
      <c r="C203" s="175" t="s">
        <v>365</v>
      </c>
      <c r="D203" s="176" t="s">
        <v>685</v>
      </c>
      <c r="E203" s="177">
        <v>43.3155</v>
      </c>
      <c r="F203" s="178">
        <v>200</v>
      </c>
      <c r="G203" s="187">
        <v>10106</v>
      </c>
      <c r="H203" s="188" t="s">
        <v>365</v>
      </c>
      <c r="I203" s="181">
        <v>291</v>
      </c>
      <c r="J203" s="182">
        <v>92</v>
      </c>
      <c r="K203" s="183">
        <v>10106</v>
      </c>
      <c r="L203" s="184" t="s">
        <v>365</v>
      </c>
      <c r="M203" s="185">
        <v>61.414285714285718</v>
      </c>
      <c r="N203" s="186">
        <v>114</v>
      </c>
      <c r="O203" s="106">
        <v>10106</v>
      </c>
      <c r="P203" s="103" t="s">
        <v>365</v>
      </c>
      <c r="Q203" s="219">
        <v>272</v>
      </c>
      <c r="R203" s="220">
        <v>134</v>
      </c>
    </row>
    <row r="204" spans="1:18" ht="13.5" customHeight="1" x14ac:dyDescent="0.15">
      <c r="A204" s="110" t="str">
        <f t="shared" si="3"/>
        <v>101</v>
      </c>
      <c r="B204" s="174">
        <v>10127</v>
      </c>
      <c r="C204" s="175" t="s">
        <v>384</v>
      </c>
      <c r="D204" s="176" t="s">
        <v>684</v>
      </c>
      <c r="E204" s="177">
        <v>43.537399999999998</v>
      </c>
      <c r="F204" s="178">
        <v>201</v>
      </c>
      <c r="G204" s="187">
        <v>10127</v>
      </c>
      <c r="H204" s="188" t="s">
        <v>384</v>
      </c>
      <c r="I204" s="181">
        <v>208</v>
      </c>
      <c r="J204" s="182">
        <v>256</v>
      </c>
      <c r="K204" s="183">
        <v>10127</v>
      </c>
      <c r="L204" s="184" t="s">
        <v>384</v>
      </c>
      <c r="M204" s="185">
        <v>45.542857142857137</v>
      </c>
      <c r="N204" s="186">
        <v>195</v>
      </c>
      <c r="O204" s="104">
        <v>10127</v>
      </c>
      <c r="P204" s="100" t="s">
        <v>384</v>
      </c>
      <c r="Q204" s="219">
        <v>194</v>
      </c>
      <c r="R204" s="220">
        <v>256</v>
      </c>
    </row>
    <row r="205" spans="1:18" ht="13.5" customHeight="1" x14ac:dyDescent="0.15">
      <c r="A205" s="110" t="str">
        <f t="shared" si="3"/>
        <v>102</v>
      </c>
      <c r="B205" s="174">
        <v>10219</v>
      </c>
      <c r="C205" s="175" t="s">
        <v>409</v>
      </c>
      <c r="D205" s="176" t="s">
        <v>685</v>
      </c>
      <c r="E205" s="177">
        <v>43.850299999999997</v>
      </c>
      <c r="F205" s="178">
        <v>202</v>
      </c>
      <c r="G205" s="187">
        <v>10219</v>
      </c>
      <c r="H205" s="188" t="s">
        <v>409</v>
      </c>
      <c r="I205" s="181">
        <v>289</v>
      </c>
      <c r="J205" s="182">
        <v>94</v>
      </c>
      <c r="K205" s="183">
        <v>10219</v>
      </c>
      <c r="L205" s="184" t="s">
        <v>409</v>
      </c>
      <c r="M205" s="185">
        <v>57.542857142857144</v>
      </c>
      <c r="N205" s="186">
        <v>134</v>
      </c>
      <c r="O205" s="106">
        <v>10219</v>
      </c>
      <c r="P205" s="103" t="s">
        <v>409</v>
      </c>
      <c r="Q205" s="219">
        <v>326</v>
      </c>
      <c r="R205" s="220">
        <v>58</v>
      </c>
    </row>
    <row r="206" spans="1:18" ht="13.5" customHeight="1" x14ac:dyDescent="0.15">
      <c r="A206" s="110" t="str">
        <f t="shared" si="3"/>
        <v>103</v>
      </c>
      <c r="B206" s="174">
        <v>10306</v>
      </c>
      <c r="C206" s="175" t="s">
        <v>428</v>
      </c>
      <c r="D206" s="176" t="s">
        <v>681</v>
      </c>
      <c r="E206" s="177">
        <v>43.915300000000002</v>
      </c>
      <c r="F206" s="178">
        <v>203</v>
      </c>
      <c r="G206" s="179">
        <v>10306</v>
      </c>
      <c r="H206" s="180" t="s">
        <v>428</v>
      </c>
      <c r="I206" s="181">
        <v>207</v>
      </c>
      <c r="J206" s="182">
        <v>259</v>
      </c>
      <c r="K206" s="183">
        <v>10306</v>
      </c>
      <c r="L206" s="184" t="s">
        <v>428</v>
      </c>
      <c r="M206" s="185">
        <v>32.442857142857143</v>
      </c>
      <c r="N206" s="186">
        <v>283</v>
      </c>
      <c r="O206" s="106">
        <v>10306</v>
      </c>
      <c r="P206" s="103" t="s">
        <v>428</v>
      </c>
      <c r="Q206" s="219">
        <v>181</v>
      </c>
      <c r="R206" s="220">
        <v>272</v>
      </c>
    </row>
    <row r="207" spans="1:18" ht="13.5" customHeight="1" x14ac:dyDescent="0.15">
      <c r="A207" s="110" t="str">
        <f t="shared" si="3"/>
        <v>104</v>
      </c>
      <c r="B207" s="174">
        <v>10410</v>
      </c>
      <c r="C207" s="175" t="s">
        <v>461</v>
      </c>
      <c r="D207" s="176" t="s">
        <v>680</v>
      </c>
      <c r="E207" s="177">
        <v>44</v>
      </c>
      <c r="F207" s="178">
        <v>204</v>
      </c>
      <c r="G207" s="179">
        <v>10410</v>
      </c>
      <c r="H207" s="180" t="s">
        <v>461</v>
      </c>
      <c r="I207" s="181">
        <v>226</v>
      </c>
      <c r="J207" s="182">
        <v>215</v>
      </c>
      <c r="K207" s="183">
        <v>10410</v>
      </c>
      <c r="L207" s="184" t="s">
        <v>461</v>
      </c>
      <c r="M207" s="185">
        <v>36.957142857142856</v>
      </c>
      <c r="N207" s="186">
        <v>261</v>
      </c>
      <c r="O207" s="106">
        <v>10410</v>
      </c>
      <c r="P207" s="103" t="s">
        <v>461</v>
      </c>
      <c r="Q207" s="219">
        <v>199</v>
      </c>
      <c r="R207" s="220">
        <v>246</v>
      </c>
    </row>
    <row r="208" spans="1:18" ht="13.5" customHeight="1" x14ac:dyDescent="0.15">
      <c r="A208" s="110" t="str">
        <f t="shared" si="3"/>
        <v>105</v>
      </c>
      <c r="B208" s="174">
        <v>10504</v>
      </c>
      <c r="C208" s="175" t="s">
        <v>484</v>
      </c>
      <c r="D208" s="176" t="s">
        <v>683</v>
      </c>
      <c r="E208" s="177">
        <v>44.176699999999997</v>
      </c>
      <c r="F208" s="178">
        <v>205</v>
      </c>
      <c r="G208" s="187">
        <v>10504</v>
      </c>
      <c r="H208" s="188" t="s">
        <v>484</v>
      </c>
      <c r="I208" s="181">
        <v>304</v>
      </c>
      <c r="J208" s="182">
        <v>73</v>
      </c>
      <c r="K208" s="183">
        <v>10504</v>
      </c>
      <c r="L208" s="184" t="s">
        <v>484</v>
      </c>
      <c r="M208" s="185">
        <v>78.5</v>
      </c>
      <c r="N208" s="186">
        <v>42</v>
      </c>
      <c r="O208" s="105">
        <v>10504</v>
      </c>
      <c r="P208" s="102" t="s">
        <v>484</v>
      </c>
      <c r="Q208" s="219">
        <v>335</v>
      </c>
      <c r="R208" s="220">
        <v>54</v>
      </c>
    </row>
    <row r="209" spans="1:18" ht="13.5" customHeight="1" x14ac:dyDescent="0.15">
      <c r="A209" s="110" t="str">
        <f t="shared" si="3"/>
        <v>106</v>
      </c>
      <c r="B209" s="174">
        <v>10634</v>
      </c>
      <c r="C209" s="175" t="s">
        <v>540</v>
      </c>
      <c r="D209" s="176" t="s">
        <v>684</v>
      </c>
      <c r="E209" s="177">
        <v>44.217700000000001</v>
      </c>
      <c r="F209" s="178">
        <v>206</v>
      </c>
      <c r="G209" s="187">
        <v>10634</v>
      </c>
      <c r="H209" s="188" t="s">
        <v>540</v>
      </c>
      <c r="I209" s="181">
        <v>222</v>
      </c>
      <c r="J209" s="182">
        <v>224</v>
      </c>
      <c r="K209" s="183">
        <v>10634</v>
      </c>
      <c r="L209" s="184" t="s">
        <v>540</v>
      </c>
      <c r="M209" s="185">
        <v>46.614285714285714</v>
      </c>
      <c r="N209" s="186">
        <v>190</v>
      </c>
      <c r="O209" s="106">
        <v>10634</v>
      </c>
      <c r="P209" s="103" t="s">
        <v>540</v>
      </c>
      <c r="Q209" s="219">
        <v>216</v>
      </c>
      <c r="R209" s="220">
        <v>220</v>
      </c>
    </row>
    <row r="210" spans="1:18" ht="13.5" customHeight="1" x14ac:dyDescent="0.15">
      <c r="A210" s="110" t="str">
        <f t="shared" si="3"/>
        <v>107</v>
      </c>
      <c r="B210" s="174">
        <v>10704</v>
      </c>
      <c r="C210" s="175" t="s">
        <v>544</v>
      </c>
      <c r="D210" s="176" t="s">
        <v>685</v>
      </c>
      <c r="E210" s="177">
        <v>44.384999999999998</v>
      </c>
      <c r="F210" s="178">
        <v>207</v>
      </c>
      <c r="G210" s="187">
        <v>10704</v>
      </c>
      <c r="H210" s="188" t="s">
        <v>544</v>
      </c>
      <c r="I210" s="181">
        <v>256</v>
      </c>
      <c r="J210" s="182">
        <v>151</v>
      </c>
      <c r="K210" s="183">
        <v>10704</v>
      </c>
      <c r="L210" s="184" t="s">
        <v>544</v>
      </c>
      <c r="M210" s="185">
        <v>69.814285714285717</v>
      </c>
      <c r="N210" s="186">
        <v>72</v>
      </c>
      <c r="O210" s="106">
        <v>10704</v>
      </c>
      <c r="P210" s="103" t="s">
        <v>544</v>
      </c>
      <c r="Q210" s="219">
        <v>281</v>
      </c>
      <c r="R210" s="220">
        <v>124</v>
      </c>
    </row>
    <row r="211" spans="1:18" ht="13.5" customHeight="1" x14ac:dyDescent="0.15">
      <c r="A211" s="110" t="str">
        <f t="shared" si="3"/>
        <v>108</v>
      </c>
      <c r="B211" s="174">
        <v>10815</v>
      </c>
      <c r="C211" s="175" t="s">
        <v>585</v>
      </c>
      <c r="D211" s="176" t="s">
        <v>680</v>
      </c>
      <c r="E211" s="177">
        <v>44.5</v>
      </c>
      <c r="F211" s="178">
        <v>208</v>
      </c>
      <c r="G211" s="179">
        <v>10815</v>
      </c>
      <c r="H211" s="180" t="s">
        <v>585</v>
      </c>
      <c r="I211" s="181">
        <v>206</v>
      </c>
      <c r="J211" s="182">
        <v>260</v>
      </c>
      <c r="K211" s="183">
        <v>10815</v>
      </c>
      <c r="L211" s="184" t="s">
        <v>585</v>
      </c>
      <c r="M211" s="185">
        <v>45.271428571428565</v>
      </c>
      <c r="N211" s="186">
        <v>197</v>
      </c>
      <c r="O211" s="106">
        <v>10815</v>
      </c>
      <c r="P211" s="103" t="s">
        <v>585</v>
      </c>
      <c r="Q211" s="219">
        <v>204</v>
      </c>
      <c r="R211" s="220">
        <v>237</v>
      </c>
    </row>
    <row r="212" spans="1:18" ht="13.5" customHeight="1" x14ac:dyDescent="0.15">
      <c r="A212" s="110" t="str">
        <f t="shared" si="3"/>
        <v>109</v>
      </c>
      <c r="B212" s="174">
        <v>10927</v>
      </c>
      <c r="C212" s="175" t="s">
        <v>628</v>
      </c>
      <c r="D212" s="176" t="s">
        <v>688</v>
      </c>
      <c r="E212" s="177">
        <v>44.5946</v>
      </c>
      <c r="F212" s="178">
        <v>209</v>
      </c>
      <c r="G212" s="187">
        <v>10927</v>
      </c>
      <c r="H212" s="188" t="s">
        <v>628</v>
      </c>
      <c r="I212" s="181">
        <v>232</v>
      </c>
      <c r="J212" s="182">
        <v>203</v>
      </c>
      <c r="K212" s="183">
        <v>10927</v>
      </c>
      <c r="L212" s="184" t="s">
        <v>628</v>
      </c>
      <c r="M212" s="185">
        <v>41.528571428571432</v>
      </c>
      <c r="N212" s="186">
        <v>232</v>
      </c>
      <c r="O212" s="104">
        <v>10927</v>
      </c>
      <c r="P212" s="100" t="s">
        <v>628</v>
      </c>
      <c r="Q212" s="219">
        <v>198</v>
      </c>
      <c r="R212" s="220">
        <v>249</v>
      </c>
    </row>
    <row r="213" spans="1:18" ht="13.5" customHeight="1" x14ac:dyDescent="0.15">
      <c r="A213" s="110" t="str">
        <f t="shared" si="3"/>
        <v>110</v>
      </c>
      <c r="B213" s="174">
        <v>11018</v>
      </c>
      <c r="C213" s="175" t="s">
        <v>652</v>
      </c>
      <c r="D213" s="176" t="s">
        <v>680</v>
      </c>
      <c r="E213" s="177">
        <v>45</v>
      </c>
      <c r="F213" s="178">
        <v>210</v>
      </c>
      <c r="G213" s="187">
        <v>11018</v>
      </c>
      <c r="H213" s="188" t="s">
        <v>652</v>
      </c>
      <c r="I213" s="181">
        <v>226</v>
      </c>
      <c r="J213" s="182">
        <v>215</v>
      </c>
      <c r="K213" s="183">
        <v>11018</v>
      </c>
      <c r="L213" s="184" t="s">
        <v>652</v>
      </c>
      <c r="M213" s="185">
        <v>45.028571428571425</v>
      </c>
      <c r="N213" s="186">
        <v>201</v>
      </c>
      <c r="O213" s="105">
        <v>11018</v>
      </c>
      <c r="P213" s="102" t="s">
        <v>652</v>
      </c>
      <c r="Q213" s="219">
        <v>240</v>
      </c>
      <c r="R213" s="220">
        <v>174</v>
      </c>
    </row>
    <row r="214" spans="1:18" ht="13.5" customHeight="1" x14ac:dyDescent="0.15">
      <c r="A214" s="110" t="str">
        <f t="shared" si="3"/>
        <v>110</v>
      </c>
      <c r="B214" s="174">
        <v>11010</v>
      </c>
      <c r="C214" s="175" t="s">
        <v>645</v>
      </c>
      <c r="D214" s="176" t="s">
        <v>683</v>
      </c>
      <c r="E214" s="177">
        <v>45.381500000000003</v>
      </c>
      <c r="F214" s="178">
        <v>211</v>
      </c>
      <c r="G214" s="187">
        <v>11010</v>
      </c>
      <c r="H214" s="188" t="s">
        <v>645</v>
      </c>
      <c r="I214" s="181">
        <v>203</v>
      </c>
      <c r="J214" s="182">
        <v>266</v>
      </c>
      <c r="K214" s="183">
        <v>11010</v>
      </c>
      <c r="L214" s="184" t="s">
        <v>645</v>
      </c>
      <c r="M214" s="185">
        <v>49.442857142857143</v>
      </c>
      <c r="N214" s="186">
        <v>176</v>
      </c>
      <c r="O214" s="106">
        <v>11010</v>
      </c>
      <c r="P214" s="103" t="s">
        <v>645</v>
      </c>
      <c r="Q214" s="219">
        <v>238</v>
      </c>
      <c r="R214" s="220">
        <v>180</v>
      </c>
    </row>
    <row r="215" spans="1:18" ht="13.5" customHeight="1" x14ac:dyDescent="0.15">
      <c r="A215" s="110" t="str">
        <f t="shared" si="3"/>
        <v>109</v>
      </c>
      <c r="B215" s="174">
        <v>10909</v>
      </c>
      <c r="C215" s="175" t="s">
        <v>611</v>
      </c>
      <c r="D215" s="176" t="s">
        <v>688</v>
      </c>
      <c r="E215" s="177">
        <v>45.945900000000002</v>
      </c>
      <c r="F215" s="178">
        <v>212</v>
      </c>
      <c r="G215" s="187">
        <v>10909</v>
      </c>
      <c r="H215" s="188" t="s">
        <v>611</v>
      </c>
      <c r="I215" s="181">
        <v>248</v>
      </c>
      <c r="J215" s="182">
        <v>165</v>
      </c>
      <c r="K215" s="183">
        <v>10909</v>
      </c>
      <c r="L215" s="184" t="s">
        <v>611</v>
      </c>
      <c r="M215" s="185">
        <v>51.25714285714286</v>
      </c>
      <c r="N215" s="186">
        <v>168</v>
      </c>
      <c r="O215" s="106">
        <v>10909</v>
      </c>
      <c r="P215" s="103" t="s">
        <v>611</v>
      </c>
      <c r="Q215" s="219">
        <v>237</v>
      </c>
      <c r="R215" s="220">
        <v>184</v>
      </c>
    </row>
    <row r="216" spans="1:18" ht="13.5" customHeight="1" x14ac:dyDescent="0.15">
      <c r="A216" s="110" t="str">
        <f t="shared" si="3"/>
        <v>108</v>
      </c>
      <c r="B216" s="174">
        <v>10827</v>
      </c>
      <c r="C216" s="175" t="s">
        <v>597</v>
      </c>
      <c r="D216" s="176" t="s">
        <v>681</v>
      </c>
      <c r="E216" s="177">
        <v>46.031700000000001</v>
      </c>
      <c r="F216" s="178">
        <v>213</v>
      </c>
      <c r="G216" s="187">
        <v>10827</v>
      </c>
      <c r="H216" s="188" t="s">
        <v>597</v>
      </c>
      <c r="I216" s="181">
        <v>234</v>
      </c>
      <c r="J216" s="182">
        <v>199</v>
      </c>
      <c r="K216" s="183">
        <v>10827</v>
      </c>
      <c r="L216" s="184" t="s">
        <v>597</v>
      </c>
      <c r="M216" s="185">
        <v>31.414285714285715</v>
      </c>
      <c r="N216" s="186">
        <v>288</v>
      </c>
      <c r="O216" s="105">
        <v>10827</v>
      </c>
      <c r="P216" s="102" t="s">
        <v>597</v>
      </c>
      <c r="Q216" s="219">
        <v>203</v>
      </c>
      <c r="R216" s="220">
        <v>240</v>
      </c>
    </row>
    <row r="217" spans="1:18" ht="13.5" customHeight="1" x14ac:dyDescent="0.15">
      <c r="A217" s="110" t="str">
        <f t="shared" si="3"/>
        <v>107</v>
      </c>
      <c r="B217" s="174">
        <v>10727</v>
      </c>
      <c r="C217" s="175" t="s">
        <v>566</v>
      </c>
      <c r="D217" s="176" t="s">
        <v>683</v>
      </c>
      <c r="E217" s="177">
        <v>46.184699999999999</v>
      </c>
      <c r="F217" s="178">
        <v>214</v>
      </c>
      <c r="G217" s="187">
        <v>10727</v>
      </c>
      <c r="H217" s="188" t="s">
        <v>566</v>
      </c>
      <c r="I217" s="181">
        <v>261</v>
      </c>
      <c r="J217" s="182">
        <v>145</v>
      </c>
      <c r="K217" s="183">
        <v>10727</v>
      </c>
      <c r="L217" s="184" t="s">
        <v>566</v>
      </c>
      <c r="M217" s="185">
        <v>59.128571428571426</v>
      </c>
      <c r="N217" s="186">
        <v>126</v>
      </c>
      <c r="O217" s="106">
        <v>10727</v>
      </c>
      <c r="P217" s="103" t="s">
        <v>566</v>
      </c>
      <c r="Q217" s="219">
        <v>298</v>
      </c>
      <c r="R217" s="220">
        <v>104</v>
      </c>
    </row>
    <row r="218" spans="1:18" ht="13.5" customHeight="1" x14ac:dyDescent="0.15">
      <c r="A218" s="110" t="str">
        <f t="shared" si="3"/>
        <v>106</v>
      </c>
      <c r="B218" s="174">
        <v>10626</v>
      </c>
      <c r="C218" s="175" t="s">
        <v>533</v>
      </c>
      <c r="D218" s="176" t="s">
        <v>684</v>
      </c>
      <c r="E218" s="177">
        <v>46.258499999999998</v>
      </c>
      <c r="F218" s="178">
        <v>215</v>
      </c>
      <c r="G218" s="187">
        <v>10626</v>
      </c>
      <c r="H218" s="188" t="s">
        <v>533</v>
      </c>
      <c r="I218" s="181">
        <v>194</v>
      </c>
      <c r="J218" s="182">
        <v>277</v>
      </c>
      <c r="K218" s="183">
        <v>10626</v>
      </c>
      <c r="L218" s="184" t="s">
        <v>533</v>
      </c>
      <c r="M218" s="185">
        <v>46.714285714285708</v>
      </c>
      <c r="N218" s="186">
        <v>189</v>
      </c>
      <c r="O218" s="106">
        <v>10626</v>
      </c>
      <c r="P218" s="103" t="s">
        <v>533</v>
      </c>
      <c r="Q218" s="219">
        <v>232</v>
      </c>
      <c r="R218" s="220">
        <v>194</v>
      </c>
    </row>
    <row r="219" spans="1:18" ht="13.5" customHeight="1" x14ac:dyDescent="0.15">
      <c r="A219" s="110" t="str">
        <f t="shared" si="3"/>
        <v>105</v>
      </c>
      <c r="B219" s="174">
        <v>10515</v>
      </c>
      <c r="C219" s="175" t="s">
        <v>494</v>
      </c>
      <c r="D219" s="176" t="s">
        <v>685</v>
      </c>
      <c r="E219" s="177">
        <v>46.524099999999997</v>
      </c>
      <c r="F219" s="178">
        <v>216</v>
      </c>
      <c r="G219" s="179">
        <v>10515</v>
      </c>
      <c r="H219" s="180" t="s">
        <v>494</v>
      </c>
      <c r="I219" s="181">
        <v>247</v>
      </c>
      <c r="J219" s="182">
        <v>168</v>
      </c>
      <c r="K219" s="183">
        <v>10515</v>
      </c>
      <c r="L219" s="184" t="s">
        <v>494</v>
      </c>
      <c r="M219" s="185">
        <v>34.742857142857147</v>
      </c>
      <c r="N219" s="186">
        <v>268</v>
      </c>
      <c r="O219" s="106">
        <v>10515</v>
      </c>
      <c r="P219" s="103" t="s">
        <v>494</v>
      </c>
      <c r="Q219" s="219">
        <v>189</v>
      </c>
      <c r="R219" s="220">
        <v>260</v>
      </c>
    </row>
    <row r="220" spans="1:18" ht="13.5" customHeight="1" x14ac:dyDescent="0.15">
      <c r="A220" s="110" t="str">
        <f t="shared" si="3"/>
        <v>104</v>
      </c>
      <c r="B220" s="174">
        <v>10427</v>
      </c>
      <c r="C220" s="175" t="s">
        <v>142</v>
      </c>
      <c r="D220" s="176" t="s">
        <v>683</v>
      </c>
      <c r="E220" s="177">
        <v>46.586300000000001</v>
      </c>
      <c r="F220" s="178">
        <v>217</v>
      </c>
      <c r="G220" s="187">
        <v>10427</v>
      </c>
      <c r="H220" s="188" t="s">
        <v>142</v>
      </c>
      <c r="I220" s="181">
        <v>244</v>
      </c>
      <c r="J220" s="182">
        <v>173</v>
      </c>
      <c r="K220" s="183">
        <v>10427</v>
      </c>
      <c r="L220" s="184" t="s">
        <v>142</v>
      </c>
      <c r="M220" s="185">
        <v>27.742857142857144</v>
      </c>
      <c r="N220" s="186">
        <v>300</v>
      </c>
      <c r="O220" s="105">
        <v>10427</v>
      </c>
      <c r="P220" s="102" t="s">
        <v>142</v>
      </c>
      <c r="Q220" s="219">
        <v>271</v>
      </c>
      <c r="R220" s="220">
        <v>136</v>
      </c>
    </row>
    <row r="221" spans="1:18" ht="13.5" customHeight="1" x14ac:dyDescent="0.15">
      <c r="A221" s="110" t="str">
        <f t="shared" si="3"/>
        <v>103</v>
      </c>
      <c r="B221" s="174">
        <v>10316</v>
      </c>
      <c r="C221" s="175" t="s">
        <v>436</v>
      </c>
      <c r="D221" s="176" t="s">
        <v>682</v>
      </c>
      <c r="E221" s="177">
        <v>46.621600000000001</v>
      </c>
      <c r="F221" s="178">
        <v>218</v>
      </c>
      <c r="G221" s="187">
        <v>10316</v>
      </c>
      <c r="H221" s="188" t="s">
        <v>436</v>
      </c>
      <c r="I221" s="181">
        <v>184</v>
      </c>
      <c r="J221" s="182">
        <v>287</v>
      </c>
      <c r="K221" s="183">
        <v>10316</v>
      </c>
      <c r="L221" s="184" t="s">
        <v>436</v>
      </c>
      <c r="M221" s="185">
        <v>36.6</v>
      </c>
      <c r="N221" s="186">
        <v>264</v>
      </c>
      <c r="O221" s="105">
        <v>10316</v>
      </c>
      <c r="P221" s="102" t="s">
        <v>436</v>
      </c>
      <c r="Q221" s="219">
        <v>158</v>
      </c>
      <c r="R221" s="220">
        <v>289</v>
      </c>
    </row>
    <row r="222" spans="1:18" ht="13.5" customHeight="1" x14ac:dyDescent="0.15">
      <c r="A222" s="110" t="str">
        <f t="shared" si="3"/>
        <v>102</v>
      </c>
      <c r="B222" s="174">
        <v>10232</v>
      </c>
      <c r="C222" s="175" t="s">
        <v>421</v>
      </c>
      <c r="D222" s="176" t="s">
        <v>681</v>
      </c>
      <c r="E222" s="177">
        <v>47.0899</v>
      </c>
      <c r="F222" s="178">
        <v>219</v>
      </c>
      <c r="G222" s="187">
        <v>10232</v>
      </c>
      <c r="H222" s="188" t="s">
        <v>421</v>
      </c>
      <c r="I222" s="181">
        <v>261</v>
      </c>
      <c r="J222" s="182">
        <v>145</v>
      </c>
      <c r="K222" s="183">
        <v>10232</v>
      </c>
      <c r="L222" s="184" t="s">
        <v>421</v>
      </c>
      <c r="M222" s="185">
        <v>44.257142857142853</v>
      </c>
      <c r="N222" s="186">
        <v>207</v>
      </c>
      <c r="O222" s="104">
        <v>10232</v>
      </c>
      <c r="P222" s="100" t="s">
        <v>421</v>
      </c>
      <c r="Q222" s="219">
        <v>238</v>
      </c>
      <c r="R222" s="220">
        <v>180</v>
      </c>
    </row>
    <row r="223" spans="1:18" ht="13.5" customHeight="1" x14ac:dyDescent="0.15">
      <c r="A223" s="110" t="str">
        <f t="shared" si="3"/>
        <v>101</v>
      </c>
      <c r="B223" s="174">
        <v>10131</v>
      </c>
      <c r="C223" s="175" t="s">
        <v>388</v>
      </c>
      <c r="D223" s="176" t="s">
        <v>688</v>
      </c>
      <c r="E223" s="177">
        <v>47.2973</v>
      </c>
      <c r="F223" s="178">
        <v>220</v>
      </c>
      <c r="G223" s="187">
        <v>10131</v>
      </c>
      <c r="H223" s="188" t="s">
        <v>388</v>
      </c>
      <c r="I223" s="181">
        <v>208</v>
      </c>
      <c r="J223" s="182">
        <v>256</v>
      </c>
      <c r="K223" s="183">
        <v>10131</v>
      </c>
      <c r="L223" s="184" t="s">
        <v>388</v>
      </c>
      <c r="M223" s="185">
        <v>50.899999999999991</v>
      </c>
      <c r="N223" s="186">
        <v>171</v>
      </c>
      <c r="O223" s="106">
        <v>10131</v>
      </c>
      <c r="P223" s="103" t="s">
        <v>388</v>
      </c>
      <c r="Q223" s="219">
        <v>185</v>
      </c>
      <c r="R223" s="220">
        <v>266</v>
      </c>
    </row>
    <row r="224" spans="1:18" ht="13.5" customHeight="1" x14ac:dyDescent="0.15">
      <c r="A224" s="110" t="str">
        <f t="shared" si="3"/>
        <v>101</v>
      </c>
      <c r="B224" s="174">
        <v>10115</v>
      </c>
      <c r="C224" s="175" t="s">
        <v>373</v>
      </c>
      <c r="D224" s="176" t="s">
        <v>687</v>
      </c>
      <c r="E224" s="177">
        <v>47.567599999999999</v>
      </c>
      <c r="F224" s="178">
        <v>221</v>
      </c>
      <c r="G224" s="187">
        <v>10115</v>
      </c>
      <c r="H224" s="188" t="s">
        <v>373</v>
      </c>
      <c r="I224" s="181">
        <v>244</v>
      </c>
      <c r="J224" s="182">
        <v>173</v>
      </c>
      <c r="K224" s="183">
        <v>10115</v>
      </c>
      <c r="L224" s="184" t="s">
        <v>373</v>
      </c>
      <c r="M224" s="185">
        <v>39.5</v>
      </c>
      <c r="N224" s="186">
        <v>250</v>
      </c>
      <c r="O224" s="106">
        <v>10115</v>
      </c>
      <c r="P224" s="103" t="s">
        <v>373</v>
      </c>
      <c r="Q224" s="219">
        <v>237</v>
      </c>
      <c r="R224" s="220">
        <v>184</v>
      </c>
    </row>
    <row r="225" spans="1:18" ht="13.5" customHeight="1" x14ac:dyDescent="0.15">
      <c r="A225" s="110" t="str">
        <f t="shared" si="3"/>
        <v>102</v>
      </c>
      <c r="B225" s="174">
        <v>10215</v>
      </c>
      <c r="C225" s="175" t="s">
        <v>406</v>
      </c>
      <c r="D225" s="176" t="s">
        <v>684</v>
      </c>
      <c r="E225" s="177">
        <v>47.619</v>
      </c>
      <c r="F225" s="178">
        <v>222</v>
      </c>
      <c r="G225" s="187">
        <v>10215</v>
      </c>
      <c r="H225" s="188" t="s">
        <v>406</v>
      </c>
      <c r="I225" s="181">
        <v>213</v>
      </c>
      <c r="J225" s="182">
        <v>243</v>
      </c>
      <c r="K225" s="183">
        <v>10215</v>
      </c>
      <c r="L225" s="184" t="s">
        <v>406</v>
      </c>
      <c r="M225" s="185">
        <v>47.128571428571433</v>
      </c>
      <c r="N225" s="186">
        <v>188</v>
      </c>
      <c r="O225" s="104">
        <v>10215</v>
      </c>
      <c r="P225" s="100" t="s">
        <v>406</v>
      </c>
      <c r="Q225" s="219">
        <v>251</v>
      </c>
      <c r="R225" s="220">
        <v>159</v>
      </c>
    </row>
    <row r="226" spans="1:18" ht="13.5" customHeight="1" x14ac:dyDescent="0.15">
      <c r="A226" s="110" t="str">
        <f t="shared" si="3"/>
        <v>103</v>
      </c>
      <c r="B226" s="174">
        <v>10305</v>
      </c>
      <c r="C226" s="175" t="s">
        <v>427</v>
      </c>
      <c r="D226" s="176" t="s">
        <v>694</v>
      </c>
      <c r="E226" s="177">
        <v>47.7273</v>
      </c>
      <c r="F226" s="178">
        <v>223</v>
      </c>
      <c r="G226" s="187">
        <v>10305</v>
      </c>
      <c r="H226" s="188" t="s">
        <v>427</v>
      </c>
      <c r="I226" s="181">
        <v>210</v>
      </c>
      <c r="J226" s="182">
        <v>252</v>
      </c>
      <c r="K226" s="183">
        <v>10305</v>
      </c>
      <c r="L226" s="184" t="s">
        <v>427</v>
      </c>
      <c r="M226" s="185">
        <v>32.9</v>
      </c>
      <c r="N226" s="186">
        <v>279</v>
      </c>
      <c r="O226" s="105">
        <v>10305</v>
      </c>
      <c r="P226" s="102" t="s">
        <v>427</v>
      </c>
      <c r="Q226" s="219">
        <v>186</v>
      </c>
      <c r="R226" s="220">
        <v>264</v>
      </c>
    </row>
    <row r="227" spans="1:18" ht="13.5" customHeight="1" x14ac:dyDescent="0.15">
      <c r="A227" s="110" t="str">
        <f t="shared" si="3"/>
        <v>104</v>
      </c>
      <c r="B227" s="174">
        <v>10431</v>
      </c>
      <c r="C227" s="175" t="s">
        <v>478</v>
      </c>
      <c r="D227" s="176" t="s">
        <v>686</v>
      </c>
      <c r="E227" s="177">
        <v>48.449599999999997</v>
      </c>
      <c r="F227" s="178">
        <v>224</v>
      </c>
      <c r="G227" s="187">
        <v>10431</v>
      </c>
      <c r="H227" s="188" t="s">
        <v>478</v>
      </c>
      <c r="I227" s="181">
        <v>283</v>
      </c>
      <c r="J227" s="182">
        <v>108</v>
      </c>
      <c r="K227" s="183">
        <v>10431</v>
      </c>
      <c r="L227" s="184" t="s">
        <v>478</v>
      </c>
      <c r="M227" s="185">
        <v>50.714285714285715</v>
      </c>
      <c r="N227" s="186">
        <v>172</v>
      </c>
      <c r="O227" s="106">
        <v>10431</v>
      </c>
      <c r="P227" s="103" t="s">
        <v>478</v>
      </c>
      <c r="Q227" s="219">
        <v>289</v>
      </c>
      <c r="R227" s="220">
        <v>111</v>
      </c>
    </row>
    <row r="228" spans="1:18" ht="13.5" customHeight="1" x14ac:dyDescent="0.15">
      <c r="A228" s="110" t="str">
        <f t="shared" si="3"/>
        <v>105</v>
      </c>
      <c r="B228" s="174">
        <v>10505</v>
      </c>
      <c r="C228" s="175" t="s">
        <v>485</v>
      </c>
      <c r="D228" s="176" t="s">
        <v>687</v>
      </c>
      <c r="E228" s="177">
        <v>48.648600000000002</v>
      </c>
      <c r="F228" s="178">
        <v>225</v>
      </c>
      <c r="G228" s="179">
        <v>10505</v>
      </c>
      <c r="H228" s="180" t="s">
        <v>485</v>
      </c>
      <c r="I228" s="181">
        <v>241</v>
      </c>
      <c r="J228" s="182">
        <v>182</v>
      </c>
      <c r="K228" s="183">
        <v>10505</v>
      </c>
      <c r="L228" s="184" t="s">
        <v>485</v>
      </c>
      <c r="M228" s="185">
        <v>55.171428571428578</v>
      </c>
      <c r="N228" s="186">
        <v>148</v>
      </c>
      <c r="O228" s="104">
        <v>10505</v>
      </c>
      <c r="P228" s="100" t="s">
        <v>485</v>
      </c>
      <c r="Q228" s="219">
        <v>237</v>
      </c>
      <c r="R228" s="220">
        <v>184</v>
      </c>
    </row>
    <row r="229" spans="1:18" ht="13.5" customHeight="1" x14ac:dyDescent="0.15">
      <c r="A229" s="110" t="str">
        <f t="shared" si="3"/>
        <v>106</v>
      </c>
      <c r="B229" s="174">
        <v>10609</v>
      </c>
      <c r="C229" s="175" t="s">
        <v>517</v>
      </c>
      <c r="D229" s="176" t="s">
        <v>689</v>
      </c>
      <c r="E229" s="177">
        <v>49.565199999999997</v>
      </c>
      <c r="F229" s="178">
        <v>226</v>
      </c>
      <c r="G229" s="187">
        <v>10609</v>
      </c>
      <c r="H229" s="188" t="s">
        <v>517</v>
      </c>
      <c r="I229" s="181">
        <v>218</v>
      </c>
      <c r="J229" s="182">
        <v>232</v>
      </c>
      <c r="K229" s="183">
        <v>10609</v>
      </c>
      <c r="L229" s="184" t="s">
        <v>517</v>
      </c>
      <c r="M229" s="185">
        <v>59.028571428571425</v>
      </c>
      <c r="N229" s="186">
        <v>129</v>
      </c>
      <c r="O229" s="104">
        <v>10609</v>
      </c>
      <c r="P229" s="101" t="s">
        <v>517</v>
      </c>
      <c r="Q229" s="219">
        <v>248</v>
      </c>
      <c r="R229" s="220">
        <v>164</v>
      </c>
    </row>
    <row r="230" spans="1:18" ht="13.5" customHeight="1" x14ac:dyDescent="0.15">
      <c r="A230" s="110" t="str">
        <f t="shared" si="3"/>
        <v>107</v>
      </c>
      <c r="B230" s="174">
        <v>10706</v>
      </c>
      <c r="C230" s="175" t="s">
        <v>546</v>
      </c>
      <c r="D230" s="176" t="s">
        <v>699</v>
      </c>
      <c r="E230" s="177">
        <v>50</v>
      </c>
      <c r="F230" s="178">
        <v>227</v>
      </c>
      <c r="G230" s="187">
        <v>10706</v>
      </c>
      <c r="H230" s="188" t="s">
        <v>546</v>
      </c>
      <c r="I230" s="181">
        <v>256</v>
      </c>
      <c r="J230" s="182">
        <v>151</v>
      </c>
      <c r="K230" s="183">
        <v>10706</v>
      </c>
      <c r="L230" s="184" t="s">
        <v>546</v>
      </c>
      <c r="M230" s="185">
        <v>41.8</v>
      </c>
      <c r="N230" s="186">
        <v>229</v>
      </c>
      <c r="O230" s="106">
        <v>10706</v>
      </c>
      <c r="P230" s="103" t="s">
        <v>546</v>
      </c>
      <c r="Q230" s="219">
        <v>217</v>
      </c>
      <c r="R230" s="220">
        <v>217</v>
      </c>
    </row>
    <row r="231" spans="1:18" ht="13.5" customHeight="1" x14ac:dyDescent="0.15">
      <c r="A231" s="110" t="str">
        <f t="shared" si="3"/>
        <v>108</v>
      </c>
      <c r="B231" s="174">
        <v>10824</v>
      </c>
      <c r="C231" s="175" t="s">
        <v>594</v>
      </c>
      <c r="D231" s="176" t="s">
        <v>688</v>
      </c>
      <c r="E231" s="177">
        <v>50</v>
      </c>
      <c r="F231" s="178">
        <v>228</v>
      </c>
      <c r="G231" s="187">
        <v>10824</v>
      </c>
      <c r="H231" s="188" t="s">
        <v>594</v>
      </c>
      <c r="I231" s="181">
        <v>146</v>
      </c>
      <c r="J231" s="182">
        <v>306</v>
      </c>
      <c r="K231" s="183">
        <v>10824</v>
      </c>
      <c r="L231" s="184" t="s">
        <v>594</v>
      </c>
      <c r="M231" s="185">
        <v>51.971428571428575</v>
      </c>
      <c r="N231" s="186">
        <v>162</v>
      </c>
      <c r="O231" s="106">
        <v>10824</v>
      </c>
      <c r="P231" s="103" t="s">
        <v>594</v>
      </c>
      <c r="Q231" s="219">
        <v>216</v>
      </c>
      <c r="R231" s="220">
        <v>220</v>
      </c>
    </row>
    <row r="232" spans="1:18" ht="13.5" customHeight="1" x14ac:dyDescent="0.15">
      <c r="A232" s="110" t="str">
        <f t="shared" si="3"/>
        <v>109</v>
      </c>
      <c r="B232" s="174">
        <v>10903</v>
      </c>
      <c r="C232" s="175" t="s">
        <v>607</v>
      </c>
      <c r="D232" s="176" t="s">
        <v>682</v>
      </c>
      <c r="E232" s="177">
        <v>50.675699999999999</v>
      </c>
      <c r="F232" s="178">
        <v>229</v>
      </c>
      <c r="G232" s="187">
        <v>10903</v>
      </c>
      <c r="H232" s="188" t="s">
        <v>607</v>
      </c>
      <c r="I232" s="181">
        <v>206</v>
      </c>
      <c r="J232" s="182">
        <v>260</v>
      </c>
      <c r="K232" s="183">
        <v>10903</v>
      </c>
      <c r="L232" s="184" t="s">
        <v>607</v>
      </c>
      <c r="M232" s="185">
        <v>32.871428571428574</v>
      </c>
      <c r="N232" s="186">
        <v>280</v>
      </c>
      <c r="O232" s="105">
        <v>10903</v>
      </c>
      <c r="P232" s="102" t="s">
        <v>607</v>
      </c>
      <c r="Q232" s="219">
        <v>163</v>
      </c>
      <c r="R232" s="220">
        <v>285</v>
      </c>
    </row>
    <row r="233" spans="1:18" ht="13.5" customHeight="1" x14ac:dyDescent="0.15">
      <c r="A233" s="110" t="str">
        <f t="shared" si="3"/>
        <v>110</v>
      </c>
      <c r="B233" s="174">
        <v>11013</v>
      </c>
      <c r="C233" s="175" t="s">
        <v>648</v>
      </c>
      <c r="D233" s="176" t="s">
        <v>681</v>
      </c>
      <c r="E233" s="177">
        <v>50.793700000000001</v>
      </c>
      <c r="F233" s="178">
        <v>230</v>
      </c>
      <c r="G233" s="187">
        <v>11013</v>
      </c>
      <c r="H233" s="188" t="s">
        <v>648</v>
      </c>
      <c r="I233" s="181">
        <v>195</v>
      </c>
      <c r="J233" s="182">
        <v>275</v>
      </c>
      <c r="K233" s="183">
        <v>11013</v>
      </c>
      <c r="L233" s="184" t="s">
        <v>648</v>
      </c>
      <c r="M233" s="185">
        <v>43.571428571428569</v>
      </c>
      <c r="N233" s="186">
        <v>210</v>
      </c>
      <c r="O233" s="106">
        <v>11013</v>
      </c>
      <c r="P233" s="103" t="s">
        <v>648</v>
      </c>
      <c r="Q233" s="219">
        <v>199</v>
      </c>
      <c r="R233" s="220">
        <v>246</v>
      </c>
    </row>
    <row r="234" spans="1:18" ht="13.5" customHeight="1" x14ac:dyDescent="0.15">
      <c r="A234" s="110" t="str">
        <f t="shared" si="3"/>
        <v>110</v>
      </c>
      <c r="B234" s="174">
        <v>11025</v>
      </c>
      <c r="C234" s="175" t="s">
        <v>380</v>
      </c>
      <c r="D234" s="176" t="s">
        <v>684</v>
      </c>
      <c r="E234" s="177">
        <v>51.020400000000002</v>
      </c>
      <c r="F234" s="178">
        <v>231</v>
      </c>
      <c r="G234" s="187">
        <v>11025</v>
      </c>
      <c r="H234" s="188" t="s">
        <v>380</v>
      </c>
      <c r="I234" s="181">
        <v>226</v>
      </c>
      <c r="J234" s="182">
        <v>215</v>
      </c>
      <c r="K234" s="183">
        <v>11025</v>
      </c>
      <c r="L234" s="184" t="s">
        <v>380</v>
      </c>
      <c r="M234" s="185">
        <v>44.442857142857143</v>
      </c>
      <c r="N234" s="186">
        <v>205</v>
      </c>
      <c r="O234" s="104">
        <v>11025</v>
      </c>
      <c r="P234" s="100" t="s">
        <v>380</v>
      </c>
      <c r="Q234" s="219">
        <v>224</v>
      </c>
      <c r="R234" s="220">
        <v>208</v>
      </c>
    </row>
    <row r="235" spans="1:18" ht="13.5" customHeight="1" x14ac:dyDescent="0.15">
      <c r="A235" s="110" t="str">
        <f t="shared" si="3"/>
        <v>109</v>
      </c>
      <c r="B235" s="174">
        <v>10912</v>
      </c>
      <c r="C235" s="175" t="s">
        <v>614</v>
      </c>
      <c r="D235" s="176" t="s">
        <v>681</v>
      </c>
      <c r="E235" s="177">
        <v>51.322800000000001</v>
      </c>
      <c r="F235" s="178">
        <v>232</v>
      </c>
      <c r="G235" s="179">
        <v>10912</v>
      </c>
      <c r="H235" s="180" t="s">
        <v>614</v>
      </c>
      <c r="I235" s="181">
        <v>190</v>
      </c>
      <c r="J235" s="182">
        <v>281</v>
      </c>
      <c r="K235" s="183">
        <v>10912</v>
      </c>
      <c r="L235" s="184" t="s">
        <v>614</v>
      </c>
      <c r="M235" s="185">
        <v>33.128571428571426</v>
      </c>
      <c r="N235" s="186">
        <v>277</v>
      </c>
      <c r="O235" s="106">
        <v>10912</v>
      </c>
      <c r="P235" s="103" t="s">
        <v>614</v>
      </c>
      <c r="Q235" s="219">
        <v>172</v>
      </c>
      <c r="R235" s="220">
        <v>280</v>
      </c>
    </row>
    <row r="236" spans="1:18" ht="13.5" customHeight="1" x14ac:dyDescent="0.15">
      <c r="A236" s="110" t="str">
        <f t="shared" si="3"/>
        <v>108</v>
      </c>
      <c r="B236" s="174">
        <v>10833</v>
      </c>
      <c r="C236" s="175" t="s">
        <v>603</v>
      </c>
      <c r="D236" s="176" t="s">
        <v>686</v>
      </c>
      <c r="E236" s="177">
        <v>51.550400000000003</v>
      </c>
      <c r="F236" s="178">
        <v>233</v>
      </c>
      <c r="G236" s="187">
        <v>10833</v>
      </c>
      <c r="H236" s="188" t="s">
        <v>603</v>
      </c>
      <c r="I236" s="181">
        <v>244</v>
      </c>
      <c r="J236" s="182">
        <v>173</v>
      </c>
      <c r="K236" s="183">
        <v>10833</v>
      </c>
      <c r="L236" s="184" t="s">
        <v>603</v>
      </c>
      <c r="M236" s="185">
        <v>43.3</v>
      </c>
      <c r="N236" s="186">
        <v>216</v>
      </c>
      <c r="O236" s="106">
        <v>10833</v>
      </c>
      <c r="P236" s="103" t="s">
        <v>603</v>
      </c>
      <c r="Q236" s="219">
        <v>212</v>
      </c>
      <c r="R236" s="220">
        <v>228</v>
      </c>
    </row>
    <row r="237" spans="1:18" ht="13.5" customHeight="1" x14ac:dyDescent="0.15">
      <c r="A237" s="110" t="str">
        <f t="shared" si="3"/>
        <v>107</v>
      </c>
      <c r="B237" s="174">
        <v>10702</v>
      </c>
      <c r="C237" s="175" t="s">
        <v>542</v>
      </c>
      <c r="D237" s="176" t="s">
        <v>689</v>
      </c>
      <c r="E237" s="177">
        <v>51.739100000000001</v>
      </c>
      <c r="F237" s="178">
        <v>234</v>
      </c>
      <c r="G237" s="187">
        <v>10702</v>
      </c>
      <c r="H237" s="188" t="s">
        <v>542</v>
      </c>
      <c r="I237" s="181">
        <v>249</v>
      </c>
      <c r="J237" s="182">
        <v>163</v>
      </c>
      <c r="K237" s="183">
        <v>10702</v>
      </c>
      <c r="L237" s="184" t="s">
        <v>542</v>
      </c>
      <c r="M237" s="185">
        <v>42.571428571428569</v>
      </c>
      <c r="N237" s="186">
        <v>222</v>
      </c>
      <c r="O237" s="106">
        <v>10702</v>
      </c>
      <c r="P237" s="103" t="s">
        <v>542</v>
      </c>
      <c r="Q237" s="219">
        <v>240</v>
      </c>
      <c r="R237" s="220">
        <v>174</v>
      </c>
    </row>
    <row r="238" spans="1:18" ht="13.5" customHeight="1" x14ac:dyDescent="0.15">
      <c r="A238" s="110" t="str">
        <f t="shared" si="3"/>
        <v>106</v>
      </c>
      <c r="B238" s="174">
        <v>10623</v>
      </c>
      <c r="C238" s="175" t="s">
        <v>530</v>
      </c>
      <c r="D238" s="176" t="s">
        <v>681</v>
      </c>
      <c r="E238" s="177">
        <v>51.851900000000001</v>
      </c>
      <c r="F238" s="178">
        <v>235</v>
      </c>
      <c r="G238" s="187">
        <v>10623</v>
      </c>
      <c r="H238" s="188" t="s">
        <v>530</v>
      </c>
      <c r="I238" s="181">
        <v>212</v>
      </c>
      <c r="J238" s="182">
        <v>246</v>
      </c>
      <c r="K238" s="183">
        <v>10623</v>
      </c>
      <c r="L238" s="184" t="s">
        <v>530</v>
      </c>
      <c r="M238" s="185">
        <v>26.571428571428573</v>
      </c>
      <c r="N238" s="186">
        <v>307</v>
      </c>
      <c r="O238" s="106">
        <v>10623</v>
      </c>
      <c r="P238" s="103" t="s">
        <v>530</v>
      </c>
      <c r="Q238" s="219">
        <v>147</v>
      </c>
      <c r="R238" s="220">
        <v>298</v>
      </c>
    </row>
    <row r="239" spans="1:18" ht="13.5" customHeight="1" x14ac:dyDescent="0.15">
      <c r="A239" s="110" t="str">
        <f t="shared" si="3"/>
        <v>105</v>
      </c>
      <c r="B239" s="174">
        <v>10521</v>
      </c>
      <c r="C239" s="175" t="s">
        <v>275</v>
      </c>
      <c r="D239" s="176" t="s">
        <v>687</v>
      </c>
      <c r="E239" s="177">
        <v>51.8919</v>
      </c>
      <c r="F239" s="178">
        <v>236</v>
      </c>
      <c r="G239" s="187">
        <v>10521</v>
      </c>
      <c r="H239" s="188" t="s">
        <v>275</v>
      </c>
      <c r="I239" s="181">
        <v>281</v>
      </c>
      <c r="J239" s="182">
        <v>114</v>
      </c>
      <c r="K239" s="183">
        <v>10521</v>
      </c>
      <c r="L239" s="184" t="s">
        <v>275</v>
      </c>
      <c r="M239" s="185">
        <v>41.25714285714286</v>
      </c>
      <c r="N239" s="186">
        <v>236</v>
      </c>
      <c r="O239" s="105">
        <v>10521</v>
      </c>
      <c r="P239" s="102" t="s">
        <v>275</v>
      </c>
      <c r="Q239" s="219">
        <v>248</v>
      </c>
      <c r="R239" s="220">
        <v>164</v>
      </c>
    </row>
    <row r="240" spans="1:18" ht="13.5" customHeight="1" x14ac:dyDescent="0.15">
      <c r="A240" s="110" t="str">
        <f t="shared" si="3"/>
        <v>104</v>
      </c>
      <c r="B240" s="174">
        <v>10425</v>
      </c>
      <c r="C240" s="175" t="s">
        <v>473</v>
      </c>
      <c r="D240" s="176" t="s">
        <v>680</v>
      </c>
      <c r="E240" s="177">
        <v>52</v>
      </c>
      <c r="F240" s="178">
        <v>237</v>
      </c>
      <c r="G240" s="179">
        <v>10425</v>
      </c>
      <c r="H240" s="180" t="s">
        <v>473</v>
      </c>
      <c r="I240" s="181">
        <v>237</v>
      </c>
      <c r="J240" s="182">
        <v>194</v>
      </c>
      <c r="K240" s="183">
        <v>10425</v>
      </c>
      <c r="L240" s="184" t="s">
        <v>473</v>
      </c>
      <c r="M240" s="185">
        <v>37.942857142857143</v>
      </c>
      <c r="N240" s="186">
        <v>255</v>
      </c>
      <c r="O240" s="106">
        <v>10425</v>
      </c>
      <c r="P240" s="103" t="s">
        <v>473</v>
      </c>
      <c r="Q240" s="219">
        <v>197</v>
      </c>
      <c r="R240" s="220">
        <v>253</v>
      </c>
    </row>
    <row r="241" spans="1:18" ht="13.5" customHeight="1" x14ac:dyDescent="0.15">
      <c r="A241" s="110" t="str">
        <f t="shared" si="3"/>
        <v>103</v>
      </c>
      <c r="B241" s="174">
        <v>10310</v>
      </c>
      <c r="C241" s="175" t="s">
        <v>431</v>
      </c>
      <c r="D241" s="176" t="s">
        <v>682</v>
      </c>
      <c r="E241" s="177">
        <v>52.027000000000001</v>
      </c>
      <c r="F241" s="178">
        <v>238</v>
      </c>
      <c r="G241" s="179">
        <v>10310</v>
      </c>
      <c r="H241" s="180" t="s">
        <v>431</v>
      </c>
      <c r="I241" s="181">
        <v>230</v>
      </c>
      <c r="J241" s="182">
        <v>207</v>
      </c>
      <c r="K241" s="183">
        <v>10310</v>
      </c>
      <c r="L241" s="184" t="s">
        <v>431</v>
      </c>
      <c r="M241" s="185">
        <v>41.385714285714286</v>
      </c>
      <c r="N241" s="186">
        <v>235</v>
      </c>
      <c r="O241" s="104">
        <v>10310</v>
      </c>
      <c r="P241" s="100" t="s">
        <v>431</v>
      </c>
      <c r="Q241" s="219">
        <v>181</v>
      </c>
      <c r="R241" s="220">
        <v>272</v>
      </c>
    </row>
    <row r="242" spans="1:18" ht="13.5" customHeight="1" x14ac:dyDescent="0.15">
      <c r="A242" s="110" t="str">
        <f t="shared" si="3"/>
        <v>102</v>
      </c>
      <c r="B242" s="174">
        <v>10203</v>
      </c>
      <c r="C242" s="175" t="s">
        <v>394</v>
      </c>
      <c r="D242" s="176" t="s">
        <v>687</v>
      </c>
      <c r="E242" s="177">
        <v>52.432400000000001</v>
      </c>
      <c r="F242" s="178">
        <v>239</v>
      </c>
      <c r="G242" s="179">
        <v>10203</v>
      </c>
      <c r="H242" s="180" t="s">
        <v>394</v>
      </c>
      <c r="I242" s="181">
        <v>209</v>
      </c>
      <c r="J242" s="182">
        <v>254</v>
      </c>
      <c r="K242" s="183">
        <v>10203</v>
      </c>
      <c r="L242" s="184" t="s">
        <v>394</v>
      </c>
      <c r="M242" s="185">
        <v>54.699999999999996</v>
      </c>
      <c r="N242" s="186">
        <v>153</v>
      </c>
      <c r="O242" s="106">
        <v>10203</v>
      </c>
      <c r="P242" s="103" t="s">
        <v>394</v>
      </c>
      <c r="Q242" s="219">
        <v>174</v>
      </c>
      <c r="R242" s="220">
        <v>279</v>
      </c>
    </row>
    <row r="243" spans="1:18" ht="13.5" customHeight="1" x14ac:dyDescent="0.15">
      <c r="A243" s="110" t="str">
        <f t="shared" si="3"/>
        <v>101</v>
      </c>
      <c r="B243" s="174">
        <v>10126</v>
      </c>
      <c r="C243" s="175" t="s">
        <v>383</v>
      </c>
      <c r="D243" s="176" t="s">
        <v>680</v>
      </c>
      <c r="E243" s="177">
        <v>52.5</v>
      </c>
      <c r="F243" s="178">
        <v>240</v>
      </c>
      <c r="G243" s="187">
        <v>10126</v>
      </c>
      <c r="H243" s="188" t="s">
        <v>383</v>
      </c>
      <c r="I243" s="181">
        <v>213</v>
      </c>
      <c r="J243" s="182">
        <v>243</v>
      </c>
      <c r="K243" s="183">
        <v>10126</v>
      </c>
      <c r="L243" s="184" t="s">
        <v>383</v>
      </c>
      <c r="M243" s="185">
        <v>33.799999999999997</v>
      </c>
      <c r="N243" s="186">
        <v>273</v>
      </c>
      <c r="O243" s="106">
        <v>10126</v>
      </c>
      <c r="P243" s="103" t="s">
        <v>383</v>
      </c>
      <c r="Q243" s="219">
        <v>183</v>
      </c>
      <c r="R243" s="220">
        <v>270</v>
      </c>
    </row>
    <row r="244" spans="1:18" ht="13.5" customHeight="1" x14ac:dyDescent="0.15">
      <c r="A244" s="110" t="str">
        <f t="shared" si="3"/>
        <v>101</v>
      </c>
      <c r="B244" s="174">
        <v>10111</v>
      </c>
      <c r="C244" s="175" t="s">
        <v>369</v>
      </c>
      <c r="D244" s="176" t="s">
        <v>688</v>
      </c>
      <c r="E244" s="177">
        <v>52.7027</v>
      </c>
      <c r="F244" s="178">
        <v>241</v>
      </c>
      <c r="G244" s="187">
        <v>10111</v>
      </c>
      <c r="H244" s="188" t="s">
        <v>369</v>
      </c>
      <c r="I244" s="181">
        <v>238</v>
      </c>
      <c r="J244" s="182">
        <v>192</v>
      </c>
      <c r="K244" s="183">
        <v>10111</v>
      </c>
      <c r="L244" s="184" t="s">
        <v>369</v>
      </c>
      <c r="M244" s="185">
        <v>37.51428571428572</v>
      </c>
      <c r="N244" s="186">
        <v>258</v>
      </c>
      <c r="O244" s="105">
        <v>10111</v>
      </c>
      <c r="P244" s="102" t="s">
        <v>369</v>
      </c>
      <c r="Q244" s="219">
        <v>206</v>
      </c>
      <c r="R244" s="220">
        <v>233</v>
      </c>
    </row>
    <row r="245" spans="1:18" ht="13.5" customHeight="1" x14ac:dyDescent="0.15">
      <c r="A245" s="110" t="str">
        <f t="shared" si="3"/>
        <v>102</v>
      </c>
      <c r="B245" s="174">
        <v>10216</v>
      </c>
      <c r="C245" s="175" t="s">
        <v>407</v>
      </c>
      <c r="D245" s="176" t="s">
        <v>681</v>
      </c>
      <c r="E245" s="177">
        <v>52.9101</v>
      </c>
      <c r="F245" s="178">
        <v>242</v>
      </c>
      <c r="G245" s="187">
        <v>10216</v>
      </c>
      <c r="H245" s="188" t="s">
        <v>407</v>
      </c>
      <c r="I245" s="181">
        <v>241</v>
      </c>
      <c r="J245" s="182">
        <v>182</v>
      </c>
      <c r="K245" s="183">
        <v>10216</v>
      </c>
      <c r="L245" s="184" t="s">
        <v>407</v>
      </c>
      <c r="M245" s="185">
        <v>36.157142857142858</v>
      </c>
      <c r="N245" s="186">
        <v>265</v>
      </c>
      <c r="O245" s="106">
        <v>10216</v>
      </c>
      <c r="P245" s="103" t="s">
        <v>407</v>
      </c>
      <c r="Q245" s="219">
        <v>230</v>
      </c>
      <c r="R245" s="220">
        <v>197</v>
      </c>
    </row>
    <row r="246" spans="1:18" ht="13.5" customHeight="1" x14ac:dyDescent="0.15">
      <c r="A246" s="110" t="str">
        <f t="shared" si="3"/>
        <v>103</v>
      </c>
      <c r="B246" s="174">
        <v>10320</v>
      </c>
      <c r="C246" s="175" t="s">
        <v>440</v>
      </c>
      <c r="D246" s="176" t="s">
        <v>689</v>
      </c>
      <c r="E246" s="177">
        <v>53.043500000000002</v>
      </c>
      <c r="F246" s="178">
        <v>243</v>
      </c>
      <c r="G246" s="187">
        <v>10320</v>
      </c>
      <c r="H246" s="188" t="s">
        <v>440</v>
      </c>
      <c r="I246" s="181">
        <v>222</v>
      </c>
      <c r="J246" s="182">
        <v>224</v>
      </c>
      <c r="K246" s="183">
        <v>10320</v>
      </c>
      <c r="L246" s="184" t="s">
        <v>440</v>
      </c>
      <c r="M246" s="185">
        <v>55.51428571428572</v>
      </c>
      <c r="N246" s="186">
        <v>145</v>
      </c>
      <c r="O246" s="106">
        <v>10320</v>
      </c>
      <c r="P246" s="103" t="s">
        <v>440</v>
      </c>
      <c r="Q246" s="219">
        <v>178</v>
      </c>
      <c r="R246" s="220">
        <v>275</v>
      </c>
    </row>
    <row r="247" spans="1:18" ht="13.5" customHeight="1" x14ac:dyDescent="0.15">
      <c r="A247" s="110" t="str">
        <f t="shared" si="3"/>
        <v>104</v>
      </c>
      <c r="B247" s="174">
        <v>10403</v>
      </c>
      <c r="C247" s="175" t="s">
        <v>456</v>
      </c>
      <c r="D247" s="176" t="s">
        <v>691</v>
      </c>
      <c r="E247" s="177">
        <v>53.333300000000001</v>
      </c>
      <c r="F247" s="178">
        <v>244</v>
      </c>
      <c r="G247" s="187">
        <v>10403</v>
      </c>
      <c r="H247" s="188" t="s">
        <v>456</v>
      </c>
      <c r="I247" s="181">
        <v>194</v>
      </c>
      <c r="J247" s="182">
        <v>277</v>
      </c>
      <c r="K247" s="183">
        <v>10403</v>
      </c>
      <c r="L247" s="184" t="s">
        <v>456</v>
      </c>
      <c r="M247" s="185">
        <v>41.042857142857144</v>
      </c>
      <c r="N247" s="186">
        <v>239</v>
      </c>
      <c r="O247" s="106">
        <v>10403</v>
      </c>
      <c r="P247" s="103" t="s">
        <v>456</v>
      </c>
      <c r="Q247" s="219">
        <v>198</v>
      </c>
      <c r="R247" s="220">
        <v>249</v>
      </c>
    </row>
    <row r="248" spans="1:18" ht="13.5" customHeight="1" x14ac:dyDescent="0.15">
      <c r="A248" s="110" t="str">
        <f t="shared" si="3"/>
        <v>105</v>
      </c>
      <c r="B248" s="174">
        <v>10506</v>
      </c>
      <c r="C248" s="175" t="s">
        <v>486</v>
      </c>
      <c r="D248" s="176" t="s">
        <v>691</v>
      </c>
      <c r="E248" s="177">
        <v>53.725499999999997</v>
      </c>
      <c r="F248" s="178">
        <v>245</v>
      </c>
      <c r="G248" s="187">
        <v>10506</v>
      </c>
      <c r="H248" s="188" t="s">
        <v>486</v>
      </c>
      <c r="I248" s="181">
        <v>230</v>
      </c>
      <c r="J248" s="182">
        <v>207</v>
      </c>
      <c r="K248" s="183">
        <v>10506</v>
      </c>
      <c r="L248" s="184" t="s">
        <v>486</v>
      </c>
      <c r="M248" s="185">
        <v>44.571428571428569</v>
      </c>
      <c r="N248" s="186">
        <v>204</v>
      </c>
      <c r="O248" s="104">
        <v>10506</v>
      </c>
      <c r="P248" s="100" t="s">
        <v>486</v>
      </c>
      <c r="Q248" s="219">
        <v>260</v>
      </c>
      <c r="R248" s="220">
        <v>147</v>
      </c>
    </row>
    <row r="249" spans="1:18" ht="13.5" customHeight="1" x14ac:dyDescent="0.15">
      <c r="A249" s="110" t="str">
        <f t="shared" si="3"/>
        <v>106</v>
      </c>
      <c r="B249" s="174">
        <v>10606</v>
      </c>
      <c r="C249" s="175" t="s">
        <v>121</v>
      </c>
      <c r="D249" s="176" t="s">
        <v>683</v>
      </c>
      <c r="E249" s="177">
        <v>53.815300000000001</v>
      </c>
      <c r="F249" s="178">
        <v>246</v>
      </c>
      <c r="G249" s="179">
        <v>10606</v>
      </c>
      <c r="H249" s="180" t="s">
        <v>121</v>
      </c>
      <c r="I249" s="181">
        <v>235</v>
      </c>
      <c r="J249" s="182">
        <v>196</v>
      </c>
      <c r="K249" s="183">
        <v>10606</v>
      </c>
      <c r="L249" s="184" t="s">
        <v>121</v>
      </c>
      <c r="M249" s="185">
        <v>51.928571428571431</v>
      </c>
      <c r="N249" s="186">
        <v>163</v>
      </c>
      <c r="O249" s="106">
        <v>10606</v>
      </c>
      <c r="P249" s="103" t="s">
        <v>121</v>
      </c>
      <c r="Q249" s="219">
        <v>270</v>
      </c>
      <c r="R249" s="220">
        <v>139</v>
      </c>
    </row>
    <row r="250" spans="1:18" ht="13.5" customHeight="1" x14ac:dyDescent="0.15">
      <c r="A250" s="110" t="str">
        <f t="shared" si="3"/>
        <v>107</v>
      </c>
      <c r="B250" s="174">
        <v>10730</v>
      </c>
      <c r="C250" s="175" t="s">
        <v>569</v>
      </c>
      <c r="D250" s="176" t="s">
        <v>680</v>
      </c>
      <c r="E250" s="177">
        <v>54.5</v>
      </c>
      <c r="F250" s="178">
        <v>247</v>
      </c>
      <c r="G250" s="187">
        <v>10730</v>
      </c>
      <c r="H250" s="188" t="s">
        <v>569</v>
      </c>
      <c r="I250" s="181">
        <v>201</v>
      </c>
      <c r="J250" s="182">
        <v>267</v>
      </c>
      <c r="K250" s="183">
        <v>10730</v>
      </c>
      <c r="L250" s="184" t="s">
        <v>569</v>
      </c>
      <c r="M250" s="185">
        <v>40.74285714285714</v>
      </c>
      <c r="N250" s="186">
        <v>242</v>
      </c>
      <c r="O250" s="106">
        <v>10730</v>
      </c>
      <c r="P250" s="103" t="s">
        <v>569</v>
      </c>
      <c r="Q250" s="219">
        <v>159</v>
      </c>
      <c r="R250" s="220">
        <v>288</v>
      </c>
    </row>
    <row r="251" spans="1:18" ht="13.5" customHeight="1" x14ac:dyDescent="0.15">
      <c r="A251" s="110" t="str">
        <f t="shared" si="3"/>
        <v>108</v>
      </c>
      <c r="B251" s="174">
        <v>10819</v>
      </c>
      <c r="C251" s="175" t="s">
        <v>589</v>
      </c>
      <c r="D251" s="176" t="s">
        <v>687</v>
      </c>
      <c r="E251" s="177">
        <v>54.5946</v>
      </c>
      <c r="F251" s="178">
        <v>248</v>
      </c>
      <c r="G251" s="187">
        <v>10819</v>
      </c>
      <c r="H251" s="188" t="s">
        <v>589</v>
      </c>
      <c r="I251" s="181">
        <v>114</v>
      </c>
      <c r="J251" s="182">
        <v>312</v>
      </c>
      <c r="K251" s="183">
        <v>10819</v>
      </c>
      <c r="L251" s="184" t="s">
        <v>589</v>
      </c>
      <c r="M251" s="185">
        <v>23.785714285714285</v>
      </c>
      <c r="N251" s="186">
        <v>311</v>
      </c>
      <c r="O251" s="106">
        <v>10819</v>
      </c>
      <c r="P251" s="103" t="s">
        <v>589</v>
      </c>
      <c r="Q251" s="219">
        <v>106</v>
      </c>
      <c r="R251" s="220">
        <v>308</v>
      </c>
    </row>
    <row r="252" spans="1:18" ht="13.5" customHeight="1" x14ac:dyDescent="0.15">
      <c r="A252" s="110" t="str">
        <f t="shared" si="3"/>
        <v>109</v>
      </c>
      <c r="B252" s="189">
        <v>10934</v>
      </c>
      <c r="C252" s="175" t="s">
        <v>635</v>
      </c>
      <c r="D252" s="176" t="s">
        <v>686</v>
      </c>
      <c r="E252" s="177">
        <v>54.651200000000003</v>
      </c>
      <c r="F252" s="178">
        <v>249</v>
      </c>
      <c r="G252" s="187">
        <v>10934</v>
      </c>
      <c r="H252" s="188" t="s">
        <v>635</v>
      </c>
      <c r="I252" s="181">
        <v>214</v>
      </c>
      <c r="J252" s="182">
        <v>240</v>
      </c>
      <c r="K252" s="183">
        <v>10934</v>
      </c>
      <c r="L252" s="184" t="s">
        <v>635</v>
      </c>
      <c r="M252" s="185">
        <v>45.385714285714286</v>
      </c>
      <c r="N252" s="186">
        <v>196</v>
      </c>
      <c r="O252" s="106">
        <v>10934</v>
      </c>
      <c r="P252" s="103" t="s">
        <v>635</v>
      </c>
      <c r="Q252" s="219">
        <v>170</v>
      </c>
      <c r="R252" s="220">
        <v>282</v>
      </c>
    </row>
    <row r="253" spans="1:18" ht="13.5" customHeight="1" x14ac:dyDescent="0.15">
      <c r="A253" s="110" t="str">
        <f t="shared" si="3"/>
        <v>110</v>
      </c>
      <c r="B253" s="174">
        <v>11029</v>
      </c>
      <c r="C253" s="175" t="s">
        <v>661</v>
      </c>
      <c r="D253" s="176" t="s">
        <v>688</v>
      </c>
      <c r="E253" s="177">
        <v>54.729700000000001</v>
      </c>
      <c r="F253" s="178">
        <v>250</v>
      </c>
      <c r="G253" s="179">
        <v>11029</v>
      </c>
      <c r="H253" s="180" t="s">
        <v>661</v>
      </c>
      <c r="I253" s="181">
        <v>251</v>
      </c>
      <c r="J253" s="182">
        <v>160</v>
      </c>
      <c r="K253" s="183">
        <v>11029</v>
      </c>
      <c r="L253" s="184" t="s">
        <v>661</v>
      </c>
      <c r="M253" s="185">
        <v>45.871428571428574</v>
      </c>
      <c r="N253" s="186">
        <v>192</v>
      </c>
      <c r="O253" s="106">
        <v>11029</v>
      </c>
      <c r="P253" s="103" t="s">
        <v>661</v>
      </c>
      <c r="Q253" s="219">
        <v>195</v>
      </c>
      <c r="R253" s="220">
        <v>255</v>
      </c>
    </row>
    <row r="254" spans="1:18" ht="13.5" customHeight="1" x14ac:dyDescent="0.15">
      <c r="A254" s="110" t="str">
        <f t="shared" si="3"/>
        <v>110</v>
      </c>
      <c r="B254" s="174">
        <v>11015</v>
      </c>
      <c r="C254" s="175" t="s">
        <v>496</v>
      </c>
      <c r="D254" s="176" t="s">
        <v>682</v>
      </c>
      <c r="E254" s="177">
        <v>55.4054</v>
      </c>
      <c r="F254" s="178">
        <v>251</v>
      </c>
      <c r="G254" s="187">
        <v>11015</v>
      </c>
      <c r="H254" s="188" t="s">
        <v>496</v>
      </c>
      <c r="I254" s="181">
        <v>159</v>
      </c>
      <c r="J254" s="182">
        <v>301</v>
      </c>
      <c r="K254" s="183">
        <v>11015</v>
      </c>
      <c r="L254" s="184" t="s">
        <v>496</v>
      </c>
      <c r="M254" s="185">
        <v>29.099999999999998</v>
      </c>
      <c r="N254" s="186">
        <v>292</v>
      </c>
      <c r="O254" s="104">
        <v>11015</v>
      </c>
      <c r="P254" s="100" t="s">
        <v>496</v>
      </c>
      <c r="Q254" s="219">
        <v>152</v>
      </c>
      <c r="R254" s="220">
        <v>294</v>
      </c>
    </row>
    <row r="255" spans="1:18" ht="13.5" customHeight="1" x14ac:dyDescent="0.15">
      <c r="A255" s="110" t="str">
        <f t="shared" si="3"/>
        <v>109</v>
      </c>
      <c r="B255" s="174">
        <v>10913</v>
      </c>
      <c r="C255" s="175" t="s">
        <v>615</v>
      </c>
      <c r="D255" s="176" t="s">
        <v>680</v>
      </c>
      <c r="E255" s="177">
        <v>55.5</v>
      </c>
      <c r="F255" s="178">
        <v>252</v>
      </c>
      <c r="G255" s="187">
        <v>10913</v>
      </c>
      <c r="H255" s="188" t="s">
        <v>615</v>
      </c>
      <c r="I255" s="181">
        <v>248</v>
      </c>
      <c r="J255" s="182">
        <v>165</v>
      </c>
      <c r="K255" s="183">
        <v>10913</v>
      </c>
      <c r="L255" s="184" t="s">
        <v>615</v>
      </c>
      <c r="M255" s="185">
        <v>43.157142857142851</v>
      </c>
      <c r="N255" s="186">
        <v>218</v>
      </c>
      <c r="O255" s="105">
        <v>10913</v>
      </c>
      <c r="P255" s="102" t="s">
        <v>615</v>
      </c>
      <c r="Q255" s="219">
        <v>217</v>
      </c>
      <c r="R255" s="220">
        <v>217</v>
      </c>
    </row>
    <row r="256" spans="1:18" ht="13.5" customHeight="1" x14ac:dyDescent="0.15">
      <c r="A256" s="110" t="str">
        <f t="shared" si="3"/>
        <v>108</v>
      </c>
      <c r="B256" s="174">
        <v>10818</v>
      </c>
      <c r="C256" s="175" t="s">
        <v>588</v>
      </c>
      <c r="D256" s="176" t="s">
        <v>683</v>
      </c>
      <c r="E256" s="177">
        <v>55.823300000000003</v>
      </c>
      <c r="F256" s="178">
        <v>253</v>
      </c>
      <c r="G256" s="187">
        <v>10818</v>
      </c>
      <c r="H256" s="188" t="s">
        <v>588</v>
      </c>
      <c r="I256" s="181">
        <v>280</v>
      </c>
      <c r="J256" s="182">
        <v>117</v>
      </c>
      <c r="K256" s="183">
        <v>10818</v>
      </c>
      <c r="L256" s="184" t="s">
        <v>588</v>
      </c>
      <c r="M256" s="185">
        <v>54.699999999999996</v>
      </c>
      <c r="N256" s="186">
        <v>153</v>
      </c>
      <c r="O256" s="104">
        <v>10818</v>
      </c>
      <c r="P256" s="100" t="s">
        <v>588</v>
      </c>
      <c r="Q256" s="219">
        <v>315</v>
      </c>
      <c r="R256" s="220">
        <v>73</v>
      </c>
    </row>
    <row r="257" spans="1:18" ht="13.5" customHeight="1" x14ac:dyDescent="0.15">
      <c r="A257" s="110" t="str">
        <f t="shared" si="3"/>
        <v>107</v>
      </c>
      <c r="B257" s="174">
        <v>10715</v>
      </c>
      <c r="C257" s="175" t="s">
        <v>554</v>
      </c>
      <c r="D257" s="176" t="s">
        <v>680</v>
      </c>
      <c r="E257" s="177">
        <v>56.5</v>
      </c>
      <c r="F257" s="178">
        <v>254</v>
      </c>
      <c r="G257" s="187">
        <v>10715</v>
      </c>
      <c r="H257" s="188" t="s">
        <v>554</v>
      </c>
      <c r="I257" s="181">
        <v>195</v>
      </c>
      <c r="J257" s="182">
        <v>275</v>
      </c>
      <c r="K257" s="183">
        <v>10715</v>
      </c>
      <c r="L257" s="184" t="s">
        <v>554</v>
      </c>
      <c r="M257" s="185">
        <v>28.37142857142857</v>
      </c>
      <c r="N257" s="186">
        <v>295</v>
      </c>
      <c r="O257" s="106">
        <v>10715</v>
      </c>
      <c r="P257" s="103" t="s">
        <v>554</v>
      </c>
      <c r="Q257" s="219">
        <v>194</v>
      </c>
      <c r="R257" s="220">
        <v>256</v>
      </c>
    </row>
    <row r="258" spans="1:18" ht="13.5" customHeight="1" x14ac:dyDescent="0.15">
      <c r="A258" s="110" t="str">
        <f t="shared" si="3"/>
        <v>106</v>
      </c>
      <c r="B258" s="174">
        <v>10619</v>
      </c>
      <c r="C258" s="175" t="s">
        <v>526</v>
      </c>
      <c r="D258" s="176" t="s">
        <v>691</v>
      </c>
      <c r="E258" s="177">
        <v>56.862699999999997</v>
      </c>
      <c r="F258" s="178">
        <v>255</v>
      </c>
      <c r="G258" s="187">
        <v>10619</v>
      </c>
      <c r="H258" s="188" t="s">
        <v>526</v>
      </c>
      <c r="I258" s="181">
        <v>222</v>
      </c>
      <c r="J258" s="182">
        <v>224</v>
      </c>
      <c r="K258" s="183">
        <v>10619</v>
      </c>
      <c r="L258" s="184" t="s">
        <v>526</v>
      </c>
      <c r="M258" s="185">
        <v>43.128571428571433</v>
      </c>
      <c r="N258" s="186">
        <v>219</v>
      </c>
      <c r="O258" s="105">
        <v>10619</v>
      </c>
      <c r="P258" s="102" t="s">
        <v>526</v>
      </c>
      <c r="Q258" s="219">
        <v>232</v>
      </c>
      <c r="R258" s="220">
        <v>194</v>
      </c>
    </row>
    <row r="259" spans="1:18" ht="13.5" customHeight="1" x14ac:dyDescent="0.15">
      <c r="A259" s="110" t="str">
        <f t="shared" si="3"/>
        <v>105</v>
      </c>
      <c r="B259" s="174">
        <v>10524</v>
      </c>
      <c r="C259" s="175" t="s">
        <v>502</v>
      </c>
      <c r="D259" s="176" t="s">
        <v>687</v>
      </c>
      <c r="E259" s="177">
        <v>57.2973</v>
      </c>
      <c r="F259" s="178">
        <v>256</v>
      </c>
      <c r="G259" s="187">
        <v>10524</v>
      </c>
      <c r="H259" s="188" t="s">
        <v>502</v>
      </c>
      <c r="I259" s="181">
        <v>249</v>
      </c>
      <c r="J259" s="182">
        <v>163</v>
      </c>
      <c r="K259" s="183">
        <v>10524</v>
      </c>
      <c r="L259" s="184" t="s">
        <v>502</v>
      </c>
      <c r="M259" s="185">
        <v>40.271428571428565</v>
      </c>
      <c r="N259" s="186">
        <v>244</v>
      </c>
      <c r="O259" s="106">
        <v>10524</v>
      </c>
      <c r="P259" s="103" t="s">
        <v>502</v>
      </c>
      <c r="Q259" s="219">
        <v>242</v>
      </c>
      <c r="R259" s="220">
        <v>171</v>
      </c>
    </row>
    <row r="260" spans="1:18" ht="13.5" customHeight="1" x14ac:dyDescent="0.15">
      <c r="A260" s="110" t="str">
        <f t="shared" ref="A260:A323" si="4">LEFT(B260,3)</f>
        <v>104</v>
      </c>
      <c r="B260" s="174">
        <v>10412</v>
      </c>
      <c r="C260" s="175" t="s">
        <v>462</v>
      </c>
      <c r="D260" s="176" t="s">
        <v>688</v>
      </c>
      <c r="E260" s="177">
        <v>57.432400000000001</v>
      </c>
      <c r="F260" s="178">
        <v>257</v>
      </c>
      <c r="G260" s="187">
        <v>10412</v>
      </c>
      <c r="H260" s="188" t="s">
        <v>462</v>
      </c>
      <c r="I260" s="181">
        <v>217</v>
      </c>
      <c r="J260" s="182">
        <v>235</v>
      </c>
      <c r="K260" s="183">
        <v>10412</v>
      </c>
      <c r="L260" s="184" t="s">
        <v>462</v>
      </c>
      <c r="M260" s="185">
        <v>35.728571428571428</v>
      </c>
      <c r="N260" s="186">
        <v>267</v>
      </c>
      <c r="O260" s="104">
        <v>10412</v>
      </c>
      <c r="P260" s="101" t="s">
        <v>462</v>
      </c>
      <c r="Q260" s="219">
        <v>206</v>
      </c>
      <c r="R260" s="220">
        <v>233</v>
      </c>
    </row>
    <row r="261" spans="1:18" ht="13.5" customHeight="1" x14ac:dyDescent="0.15">
      <c r="A261" s="110" t="str">
        <f t="shared" si="4"/>
        <v>103</v>
      </c>
      <c r="B261" s="174">
        <v>10318</v>
      </c>
      <c r="C261" s="175" t="s">
        <v>438</v>
      </c>
      <c r="D261" s="176" t="s">
        <v>686</v>
      </c>
      <c r="E261" s="177">
        <v>57.751899999999999</v>
      </c>
      <c r="F261" s="178">
        <v>258</v>
      </c>
      <c r="G261" s="187">
        <v>10318</v>
      </c>
      <c r="H261" s="188" t="s">
        <v>438</v>
      </c>
      <c r="I261" s="181">
        <v>222</v>
      </c>
      <c r="J261" s="182">
        <v>224</v>
      </c>
      <c r="K261" s="183">
        <v>10318</v>
      </c>
      <c r="L261" s="184" t="s">
        <v>438</v>
      </c>
      <c r="M261" s="185">
        <v>34.042857142857137</v>
      </c>
      <c r="N261" s="186">
        <v>271</v>
      </c>
      <c r="O261" s="106">
        <v>10318</v>
      </c>
      <c r="P261" s="103" t="s">
        <v>438</v>
      </c>
      <c r="Q261" s="219">
        <v>198</v>
      </c>
      <c r="R261" s="220">
        <v>249</v>
      </c>
    </row>
    <row r="262" spans="1:18" ht="13.5" customHeight="1" x14ac:dyDescent="0.15">
      <c r="A262" s="110" t="str">
        <f t="shared" si="4"/>
        <v>102</v>
      </c>
      <c r="B262" s="174">
        <v>10213</v>
      </c>
      <c r="C262" s="175" t="s">
        <v>404</v>
      </c>
      <c r="D262" s="176" t="s">
        <v>685</v>
      </c>
      <c r="E262" s="177">
        <v>57.753999999999998</v>
      </c>
      <c r="F262" s="178">
        <v>259</v>
      </c>
      <c r="G262" s="187">
        <v>10213</v>
      </c>
      <c r="H262" s="188" t="s">
        <v>404</v>
      </c>
      <c r="I262" s="181">
        <v>177</v>
      </c>
      <c r="J262" s="182">
        <v>294</v>
      </c>
      <c r="K262" s="183">
        <v>10213</v>
      </c>
      <c r="L262" s="184" t="s">
        <v>404</v>
      </c>
      <c r="M262" s="185">
        <v>34.299999999999997</v>
      </c>
      <c r="N262" s="186">
        <v>270</v>
      </c>
      <c r="O262" s="106">
        <v>10213</v>
      </c>
      <c r="P262" s="103" t="s">
        <v>404</v>
      </c>
      <c r="Q262" s="219">
        <v>189</v>
      </c>
      <c r="R262" s="220">
        <v>260</v>
      </c>
    </row>
    <row r="263" spans="1:18" ht="13.5" customHeight="1" x14ac:dyDescent="0.15">
      <c r="A263" s="110" t="str">
        <f t="shared" si="4"/>
        <v>101</v>
      </c>
      <c r="B263" s="174">
        <v>10125</v>
      </c>
      <c r="C263" s="175" t="s">
        <v>382</v>
      </c>
      <c r="D263" s="176" t="s">
        <v>684</v>
      </c>
      <c r="E263" s="177">
        <v>57.823099999999997</v>
      </c>
      <c r="F263" s="178">
        <v>260</v>
      </c>
      <c r="G263" s="179">
        <v>10125</v>
      </c>
      <c r="H263" s="180" t="s">
        <v>382</v>
      </c>
      <c r="I263" s="181">
        <v>199</v>
      </c>
      <c r="J263" s="182">
        <v>270</v>
      </c>
      <c r="K263" s="183">
        <v>10125</v>
      </c>
      <c r="L263" s="184" t="s">
        <v>382</v>
      </c>
      <c r="M263" s="185">
        <v>37.685714285714276</v>
      </c>
      <c r="N263" s="186">
        <v>257</v>
      </c>
      <c r="O263" s="106">
        <v>10125</v>
      </c>
      <c r="P263" s="103" t="s">
        <v>382</v>
      </c>
      <c r="Q263" s="219">
        <v>177</v>
      </c>
      <c r="R263" s="220">
        <v>276</v>
      </c>
    </row>
    <row r="264" spans="1:18" ht="13.5" customHeight="1" x14ac:dyDescent="0.15">
      <c r="A264" s="110" t="str">
        <f t="shared" si="4"/>
        <v>101</v>
      </c>
      <c r="B264" s="174">
        <v>10105</v>
      </c>
      <c r="C264" s="175" t="s">
        <v>364</v>
      </c>
      <c r="D264" s="176" t="s">
        <v>689</v>
      </c>
      <c r="E264" s="177">
        <v>57.826099999999997</v>
      </c>
      <c r="F264" s="178">
        <v>261</v>
      </c>
      <c r="G264" s="187">
        <v>10105</v>
      </c>
      <c r="H264" s="188" t="s">
        <v>364</v>
      </c>
      <c r="I264" s="181">
        <v>206</v>
      </c>
      <c r="J264" s="182">
        <v>260</v>
      </c>
      <c r="K264" s="183">
        <v>10105</v>
      </c>
      <c r="L264" s="184" t="s">
        <v>364</v>
      </c>
      <c r="M264" s="185">
        <v>39.871428571428567</v>
      </c>
      <c r="N264" s="186">
        <v>246</v>
      </c>
      <c r="O264" s="106">
        <v>10105</v>
      </c>
      <c r="P264" s="103" t="s">
        <v>364</v>
      </c>
      <c r="Q264" s="219">
        <v>203</v>
      </c>
      <c r="R264" s="220">
        <v>240</v>
      </c>
    </row>
    <row r="265" spans="1:18" ht="13.5" customHeight="1" x14ac:dyDescent="0.15">
      <c r="A265" s="110" t="str">
        <f t="shared" si="4"/>
        <v>102</v>
      </c>
      <c r="B265" s="174">
        <v>10233</v>
      </c>
      <c r="C265" s="175" t="s">
        <v>422</v>
      </c>
      <c r="D265" s="176" t="s">
        <v>688</v>
      </c>
      <c r="E265" s="177">
        <v>58.1081</v>
      </c>
      <c r="F265" s="178">
        <v>262</v>
      </c>
      <c r="G265" s="187">
        <v>10233</v>
      </c>
      <c r="H265" s="188" t="s">
        <v>422</v>
      </c>
      <c r="I265" s="181">
        <v>194</v>
      </c>
      <c r="J265" s="182">
        <v>277</v>
      </c>
      <c r="K265" s="183">
        <v>10233</v>
      </c>
      <c r="L265" s="184" t="s">
        <v>422</v>
      </c>
      <c r="M265" s="185">
        <v>41.871428571428567</v>
      </c>
      <c r="N265" s="186">
        <v>228</v>
      </c>
      <c r="O265" s="106">
        <v>10233</v>
      </c>
      <c r="P265" s="103" t="s">
        <v>422</v>
      </c>
      <c r="Q265" s="219">
        <v>172</v>
      </c>
      <c r="R265" s="220">
        <v>280</v>
      </c>
    </row>
    <row r="266" spans="1:18" ht="13.5" customHeight="1" x14ac:dyDescent="0.15">
      <c r="A266" s="110" t="str">
        <f t="shared" si="4"/>
        <v>103</v>
      </c>
      <c r="B266" s="174">
        <v>10333</v>
      </c>
      <c r="C266" s="175" t="s">
        <v>452</v>
      </c>
      <c r="D266" s="176" t="s">
        <v>689</v>
      </c>
      <c r="E266" s="177">
        <v>58.260899999999999</v>
      </c>
      <c r="F266" s="178">
        <v>263</v>
      </c>
      <c r="G266" s="179">
        <v>10333</v>
      </c>
      <c r="H266" s="180" t="s">
        <v>452</v>
      </c>
      <c r="I266" s="181">
        <v>214</v>
      </c>
      <c r="J266" s="182">
        <v>240</v>
      </c>
      <c r="K266" s="183">
        <v>10333</v>
      </c>
      <c r="L266" s="184" t="s">
        <v>452</v>
      </c>
      <c r="M266" s="185">
        <v>32.185714285714283</v>
      </c>
      <c r="N266" s="186">
        <v>287</v>
      </c>
      <c r="O266" s="106">
        <v>10333</v>
      </c>
      <c r="P266" s="103" t="s">
        <v>452</v>
      </c>
      <c r="Q266" s="219">
        <v>181</v>
      </c>
      <c r="R266" s="220">
        <v>272</v>
      </c>
    </row>
    <row r="267" spans="1:18" ht="13.5" customHeight="1" x14ac:dyDescent="0.15">
      <c r="A267" s="110" t="str">
        <f t="shared" si="4"/>
        <v>104</v>
      </c>
      <c r="B267" s="174">
        <v>10409</v>
      </c>
      <c r="C267" s="175" t="s">
        <v>460</v>
      </c>
      <c r="D267" s="176" t="s">
        <v>681</v>
      </c>
      <c r="E267" s="177">
        <v>58.730200000000004</v>
      </c>
      <c r="F267" s="178">
        <v>264</v>
      </c>
      <c r="G267" s="179">
        <v>10409</v>
      </c>
      <c r="H267" s="180" t="s">
        <v>460</v>
      </c>
      <c r="I267" s="181">
        <v>114</v>
      </c>
      <c r="J267" s="182">
        <v>312</v>
      </c>
      <c r="K267" s="183">
        <v>10409</v>
      </c>
      <c r="L267" s="184" t="s">
        <v>460</v>
      </c>
      <c r="M267" s="185">
        <v>22.057142857142857</v>
      </c>
      <c r="N267" s="186">
        <v>315</v>
      </c>
      <c r="O267" s="106">
        <v>10409</v>
      </c>
      <c r="P267" s="103" t="s">
        <v>460</v>
      </c>
      <c r="Q267" s="219">
        <v>117</v>
      </c>
      <c r="R267" s="220">
        <v>305</v>
      </c>
    </row>
    <row r="268" spans="1:18" ht="13.5" customHeight="1" x14ac:dyDescent="0.15">
      <c r="A268" s="110" t="str">
        <f t="shared" si="4"/>
        <v>105</v>
      </c>
      <c r="B268" s="174">
        <v>10502</v>
      </c>
      <c r="C268" s="175" t="s">
        <v>482</v>
      </c>
      <c r="D268" s="176" t="s">
        <v>681</v>
      </c>
      <c r="E268" s="177">
        <v>59.259300000000003</v>
      </c>
      <c r="F268" s="178">
        <v>265</v>
      </c>
      <c r="G268" s="179">
        <v>10502</v>
      </c>
      <c r="H268" s="180" t="s">
        <v>482</v>
      </c>
      <c r="I268" s="181">
        <v>186</v>
      </c>
      <c r="J268" s="182">
        <v>284</v>
      </c>
      <c r="K268" s="183">
        <v>10502</v>
      </c>
      <c r="L268" s="184" t="s">
        <v>482</v>
      </c>
      <c r="M268" s="185">
        <v>27.74285714285714</v>
      </c>
      <c r="N268" s="186">
        <v>301</v>
      </c>
      <c r="O268" s="106">
        <v>10502</v>
      </c>
      <c r="P268" s="103" t="s">
        <v>482</v>
      </c>
      <c r="Q268" s="219">
        <v>157</v>
      </c>
      <c r="R268" s="220">
        <v>291</v>
      </c>
    </row>
    <row r="269" spans="1:18" ht="13.5" customHeight="1" x14ac:dyDescent="0.15">
      <c r="A269" s="110" t="str">
        <f t="shared" si="4"/>
        <v>106</v>
      </c>
      <c r="B269" s="174">
        <v>10604</v>
      </c>
      <c r="C269" s="175" t="s">
        <v>513</v>
      </c>
      <c r="D269" s="176" t="s">
        <v>680</v>
      </c>
      <c r="E269" s="177">
        <v>59.5</v>
      </c>
      <c r="F269" s="178">
        <v>266</v>
      </c>
      <c r="G269" s="187">
        <v>10604</v>
      </c>
      <c r="H269" s="188" t="s">
        <v>513</v>
      </c>
      <c r="I269" s="181">
        <v>210</v>
      </c>
      <c r="J269" s="182">
        <v>252</v>
      </c>
      <c r="K269" s="183">
        <v>10604</v>
      </c>
      <c r="L269" s="184" t="s">
        <v>513</v>
      </c>
      <c r="M269" s="185">
        <v>25.728571428571428</v>
      </c>
      <c r="N269" s="186">
        <v>308</v>
      </c>
      <c r="O269" s="106">
        <v>10604</v>
      </c>
      <c r="P269" s="103" t="s">
        <v>513</v>
      </c>
      <c r="Q269" s="219">
        <v>162</v>
      </c>
      <c r="R269" s="220">
        <v>286</v>
      </c>
    </row>
    <row r="270" spans="1:18" ht="13.5" customHeight="1" x14ac:dyDescent="0.15">
      <c r="A270" s="110" t="str">
        <f t="shared" si="4"/>
        <v>107</v>
      </c>
      <c r="B270" s="174">
        <v>10734</v>
      </c>
      <c r="C270" s="175" t="s">
        <v>573</v>
      </c>
      <c r="D270" s="176" t="s">
        <v>686</v>
      </c>
      <c r="E270" s="177">
        <v>59.689900000000002</v>
      </c>
      <c r="F270" s="178">
        <v>267</v>
      </c>
      <c r="G270" s="179">
        <v>10734</v>
      </c>
      <c r="H270" s="180" t="s">
        <v>573</v>
      </c>
      <c r="I270" s="181">
        <v>201</v>
      </c>
      <c r="J270" s="182">
        <v>267</v>
      </c>
      <c r="K270" s="183">
        <v>10734</v>
      </c>
      <c r="L270" s="184" t="s">
        <v>573</v>
      </c>
      <c r="M270" s="185">
        <v>39</v>
      </c>
      <c r="N270" s="186">
        <v>252</v>
      </c>
      <c r="O270" s="105">
        <v>10734</v>
      </c>
      <c r="P270" s="102" t="s">
        <v>573</v>
      </c>
      <c r="Q270" s="219">
        <v>157</v>
      </c>
      <c r="R270" s="220">
        <v>291</v>
      </c>
    </row>
    <row r="271" spans="1:18" ht="13.5" customHeight="1" x14ac:dyDescent="0.15">
      <c r="A271" s="110" t="str">
        <f t="shared" si="4"/>
        <v>108</v>
      </c>
      <c r="B271" s="174">
        <v>10804</v>
      </c>
      <c r="C271" s="175" t="s">
        <v>577</v>
      </c>
      <c r="D271" s="176" t="s">
        <v>685</v>
      </c>
      <c r="E271" s="177">
        <v>59.893000000000001</v>
      </c>
      <c r="F271" s="178">
        <v>268</v>
      </c>
      <c r="G271" s="187">
        <v>10804</v>
      </c>
      <c r="H271" s="188" t="s">
        <v>577</v>
      </c>
      <c r="I271" s="181">
        <v>245</v>
      </c>
      <c r="J271" s="182">
        <v>170</v>
      </c>
      <c r="K271" s="183">
        <v>10804</v>
      </c>
      <c r="L271" s="184" t="s">
        <v>577</v>
      </c>
      <c r="M271" s="185">
        <v>39.857142857142854</v>
      </c>
      <c r="N271" s="186">
        <v>247</v>
      </c>
      <c r="O271" s="106">
        <v>10804</v>
      </c>
      <c r="P271" s="103" t="s">
        <v>577</v>
      </c>
      <c r="Q271" s="219">
        <v>165</v>
      </c>
      <c r="R271" s="220">
        <v>284</v>
      </c>
    </row>
    <row r="272" spans="1:18" ht="13.5" customHeight="1" x14ac:dyDescent="0.15">
      <c r="A272" s="110" t="str">
        <f t="shared" si="4"/>
        <v>109</v>
      </c>
      <c r="B272" s="174">
        <v>10902</v>
      </c>
      <c r="C272" s="175" t="s">
        <v>606</v>
      </c>
      <c r="D272" s="176" t="s">
        <v>698</v>
      </c>
      <c r="E272" s="177">
        <v>60</v>
      </c>
      <c r="F272" s="178">
        <v>269</v>
      </c>
      <c r="G272" s="187">
        <v>10902</v>
      </c>
      <c r="H272" s="188" t="s">
        <v>606</v>
      </c>
      <c r="I272" s="181">
        <v>231</v>
      </c>
      <c r="J272" s="182">
        <v>204</v>
      </c>
      <c r="K272" s="183">
        <v>10902</v>
      </c>
      <c r="L272" s="184" t="s">
        <v>606</v>
      </c>
      <c r="M272" s="185">
        <v>43.042857142857144</v>
      </c>
      <c r="N272" s="186">
        <v>220</v>
      </c>
      <c r="O272" s="104">
        <v>10902</v>
      </c>
      <c r="P272" s="100" t="s">
        <v>606</v>
      </c>
      <c r="Q272" s="219">
        <v>220</v>
      </c>
      <c r="R272" s="220">
        <v>213</v>
      </c>
    </row>
    <row r="273" spans="1:18" ht="13.5" customHeight="1" x14ac:dyDescent="0.15">
      <c r="A273" s="110" t="str">
        <f t="shared" si="4"/>
        <v>110</v>
      </c>
      <c r="B273" s="174">
        <v>11004</v>
      </c>
      <c r="C273" s="175" t="s">
        <v>639</v>
      </c>
      <c r="D273" s="176" t="s">
        <v>705</v>
      </c>
      <c r="E273" s="177">
        <v>60</v>
      </c>
      <c r="F273" s="178">
        <v>270</v>
      </c>
      <c r="G273" s="187">
        <v>11004</v>
      </c>
      <c r="H273" s="188" t="s">
        <v>639</v>
      </c>
      <c r="I273" s="181">
        <v>187</v>
      </c>
      <c r="J273" s="182">
        <v>283</v>
      </c>
      <c r="K273" s="183">
        <v>11004</v>
      </c>
      <c r="L273" s="184" t="s">
        <v>639</v>
      </c>
      <c r="M273" s="185">
        <v>19.271428571428572</v>
      </c>
      <c r="N273" s="186">
        <v>319</v>
      </c>
      <c r="O273" s="106">
        <v>11004</v>
      </c>
      <c r="P273" s="103" t="s">
        <v>639</v>
      </c>
      <c r="Q273" s="219">
        <v>100</v>
      </c>
      <c r="R273" s="220">
        <v>309</v>
      </c>
    </row>
    <row r="274" spans="1:18" ht="13.5" customHeight="1" x14ac:dyDescent="0.15">
      <c r="A274" s="110" t="str">
        <f t="shared" si="4"/>
        <v>110</v>
      </c>
      <c r="B274" s="174">
        <v>11014</v>
      </c>
      <c r="C274" s="175" t="s">
        <v>649</v>
      </c>
      <c r="D274" s="176" t="s">
        <v>686</v>
      </c>
      <c r="E274" s="177">
        <v>60.077500000000001</v>
      </c>
      <c r="F274" s="178">
        <v>271</v>
      </c>
      <c r="G274" s="187">
        <v>11014</v>
      </c>
      <c r="H274" s="188" t="s">
        <v>649</v>
      </c>
      <c r="I274" s="181">
        <v>186</v>
      </c>
      <c r="J274" s="182">
        <v>284</v>
      </c>
      <c r="K274" s="183">
        <v>11014</v>
      </c>
      <c r="L274" s="184" t="s">
        <v>649</v>
      </c>
      <c r="M274" s="185">
        <v>29.028571428571428</v>
      </c>
      <c r="N274" s="186">
        <v>293</v>
      </c>
      <c r="O274" s="106">
        <v>11014</v>
      </c>
      <c r="P274" s="103" t="s">
        <v>649</v>
      </c>
      <c r="Q274" s="219">
        <v>136</v>
      </c>
      <c r="R274" s="220">
        <v>299</v>
      </c>
    </row>
    <row r="275" spans="1:18" ht="13.5" customHeight="1" x14ac:dyDescent="0.15">
      <c r="A275" s="110" t="str">
        <f t="shared" si="4"/>
        <v>109</v>
      </c>
      <c r="B275" s="174">
        <v>10932</v>
      </c>
      <c r="C275" s="175" t="s">
        <v>633</v>
      </c>
      <c r="D275" s="176" t="s">
        <v>682</v>
      </c>
      <c r="E275" s="177">
        <v>60.135100000000001</v>
      </c>
      <c r="F275" s="178">
        <v>272</v>
      </c>
      <c r="G275" s="187">
        <v>10932</v>
      </c>
      <c r="H275" s="188" t="s">
        <v>633</v>
      </c>
      <c r="I275" s="181">
        <v>168</v>
      </c>
      <c r="J275" s="182">
        <v>299</v>
      </c>
      <c r="K275" s="183">
        <v>10932</v>
      </c>
      <c r="L275" s="184" t="s">
        <v>633</v>
      </c>
      <c r="M275" s="185">
        <v>30.314285714285717</v>
      </c>
      <c r="N275" s="186">
        <v>289</v>
      </c>
      <c r="O275" s="106">
        <v>10932</v>
      </c>
      <c r="P275" s="103" t="s">
        <v>633</v>
      </c>
      <c r="Q275" s="219">
        <v>189</v>
      </c>
      <c r="R275" s="220">
        <v>260</v>
      </c>
    </row>
    <row r="276" spans="1:18" ht="13.5" customHeight="1" x14ac:dyDescent="0.15">
      <c r="A276" s="110" t="str">
        <f t="shared" si="4"/>
        <v>108</v>
      </c>
      <c r="B276" s="174">
        <v>10813</v>
      </c>
      <c r="C276" s="175" t="s">
        <v>584</v>
      </c>
      <c r="D276" s="176" t="s">
        <v>685</v>
      </c>
      <c r="E276" s="177">
        <v>60.427799999999998</v>
      </c>
      <c r="F276" s="178">
        <v>273</v>
      </c>
      <c r="G276" s="187">
        <v>10813</v>
      </c>
      <c r="H276" s="188" t="s">
        <v>584</v>
      </c>
      <c r="I276" s="181">
        <v>244</v>
      </c>
      <c r="J276" s="182">
        <v>173</v>
      </c>
      <c r="K276" s="183">
        <v>10813</v>
      </c>
      <c r="L276" s="184" t="s">
        <v>584</v>
      </c>
      <c r="M276" s="185">
        <v>51.74285714285714</v>
      </c>
      <c r="N276" s="186">
        <v>166</v>
      </c>
      <c r="O276" s="106">
        <v>10813</v>
      </c>
      <c r="P276" s="103" t="s">
        <v>584</v>
      </c>
      <c r="Q276" s="219">
        <v>213</v>
      </c>
      <c r="R276" s="220">
        <v>225</v>
      </c>
    </row>
    <row r="277" spans="1:18" ht="13.5" customHeight="1" x14ac:dyDescent="0.15">
      <c r="A277" s="110" t="str">
        <f t="shared" si="4"/>
        <v>107</v>
      </c>
      <c r="B277" s="174">
        <v>10733</v>
      </c>
      <c r="C277" s="175" t="s">
        <v>572</v>
      </c>
      <c r="D277" s="176" t="s">
        <v>689</v>
      </c>
      <c r="E277" s="177">
        <v>60.434800000000003</v>
      </c>
      <c r="F277" s="178">
        <v>274</v>
      </c>
      <c r="G277" s="187">
        <v>10733</v>
      </c>
      <c r="H277" s="188" t="s">
        <v>572</v>
      </c>
      <c r="I277" s="181">
        <v>204</v>
      </c>
      <c r="J277" s="182">
        <v>263</v>
      </c>
      <c r="K277" s="183">
        <v>10733</v>
      </c>
      <c r="L277" s="184" t="s">
        <v>572</v>
      </c>
      <c r="M277" s="185">
        <v>33.642857142857146</v>
      </c>
      <c r="N277" s="186">
        <v>274</v>
      </c>
      <c r="O277" s="106">
        <v>10733</v>
      </c>
      <c r="P277" s="103" t="s">
        <v>572</v>
      </c>
      <c r="Q277" s="219">
        <v>149</v>
      </c>
      <c r="R277" s="220">
        <v>297</v>
      </c>
    </row>
    <row r="278" spans="1:18" ht="13.5" customHeight="1" x14ac:dyDescent="0.15">
      <c r="A278" s="110" t="str">
        <f t="shared" si="4"/>
        <v>106</v>
      </c>
      <c r="B278" s="174">
        <v>10614</v>
      </c>
      <c r="C278" s="175" t="s">
        <v>522</v>
      </c>
      <c r="D278" s="176" t="s">
        <v>680</v>
      </c>
      <c r="E278" s="177">
        <v>61</v>
      </c>
      <c r="F278" s="178">
        <v>275</v>
      </c>
      <c r="G278" s="187">
        <v>10614</v>
      </c>
      <c r="H278" s="188" t="s">
        <v>522</v>
      </c>
      <c r="I278" s="181">
        <v>180</v>
      </c>
      <c r="J278" s="182">
        <v>291</v>
      </c>
      <c r="K278" s="183">
        <v>10614</v>
      </c>
      <c r="L278" s="184" t="s">
        <v>522</v>
      </c>
      <c r="M278" s="185">
        <v>28.142857142857139</v>
      </c>
      <c r="N278" s="186">
        <v>297</v>
      </c>
      <c r="O278" s="104">
        <v>10614</v>
      </c>
      <c r="P278" s="100" t="s">
        <v>522</v>
      </c>
      <c r="Q278" s="219">
        <v>197</v>
      </c>
      <c r="R278" s="220">
        <v>253</v>
      </c>
    </row>
    <row r="279" spans="1:18" ht="13.5" customHeight="1" x14ac:dyDescent="0.15">
      <c r="A279" s="110" t="str">
        <f t="shared" si="4"/>
        <v>105</v>
      </c>
      <c r="B279" s="174">
        <v>10534</v>
      </c>
      <c r="C279" s="175" t="s">
        <v>511</v>
      </c>
      <c r="D279" s="176" t="s">
        <v>684</v>
      </c>
      <c r="E279" s="177">
        <v>61.224499999999999</v>
      </c>
      <c r="F279" s="178">
        <v>276</v>
      </c>
      <c r="G279" s="187">
        <v>10534</v>
      </c>
      <c r="H279" s="188" t="s">
        <v>511</v>
      </c>
      <c r="I279" s="181">
        <v>237</v>
      </c>
      <c r="J279" s="182">
        <v>194</v>
      </c>
      <c r="K279" s="183">
        <v>10534</v>
      </c>
      <c r="L279" s="184" t="s">
        <v>511</v>
      </c>
      <c r="M279" s="185">
        <v>33.6</v>
      </c>
      <c r="N279" s="186">
        <v>275</v>
      </c>
      <c r="O279" s="106">
        <v>10534</v>
      </c>
      <c r="P279" s="103" t="s">
        <v>511</v>
      </c>
      <c r="Q279" s="219">
        <v>223</v>
      </c>
      <c r="R279" s="220">
        <v>210</v>
      </c>
    </row>
    <row r="280" spans="1:18" ht="13.5" customHeight="1" x14ac:dyDescent="0.15">
      <c r="A280" s="110" t="str">
        <f t="shared" si="4"/>
        <v>104</v>
      </c>
      <c r="B280" s="174">
        <v>10419</v>
      </c>
      <c r="C280" s="175" t="s">
        <v>467</v>
      </c>
      <c r="D280" s="176" t="s">
        <v>680</v>
      </c>
      <c r="E280" s="177">
        <v>61.5</v>
      </c>
      <c r="F280" s="178">
        <v>277</v>
      </c>
      <c r="G280" s="187">
        <v>10419</v>
      </c>
      <c r="H280" s="188" t="s">
        <v>467</v>
      </c>
      <c r="I280" s="181">
        <v>174</v>
      </c>
      <c r="J280" s="182">
        <v>296</v>
      </c>
      <c r="K280" s="183">
        <v>10419</v>
      </c>
      <c r="L280" s="184" t="s">
        <v>467</v>
      </c>
      <c r="M280" s="185">
        <v>42.385714285714286</v>
      </c>
      <c r="N280" s="186">
        <v>225</v>
      </c>
      <c r="O280" s="106">
        <v>10419</v>
      </c>
      <c r="P280" s="103" t="s">
        <v>467</v>
      </c>
      <c r="Q280" s="219">
        <v>191</v>
      </c>
      <c r="R280" s="220">
        <v>258</v>
      </c>
    </row>
    <row r="281" spans="1:18" ht="13.5" customHeight="1" x14ac:dyDescent="0.15">
      <c r="A281" s="110" t="str">
        <f t="shared" si="4"/>
        <v>103</v>
      </c>
      <c r="B281" s="174">
        <v>10334</v>
      </c>
      <c r="C281" s="175" t="s">
        <v>453</v>
      </c>
      <c r="D281" s="176" t="s">
        <v>704</v>
      </c>
      <c r="E281" s="177">
        <v>61.538499999999999</v>
      </c>
      <c r="F281" s="178">
        <v>278</v>
      </c>
      <c r="G281" s="187">
        <v>10334</v>
      </c>
      <c r="H281" s="188" t="s">
        <v>453</v>
      </c>
      <c r="I281" s="181">
        <v>137</v>
      </c>
      <c r="J281" s="182">
        <v>307</v>
      </c>
      <c r="K281" s="183">
        <v>10334</v>
      </c>
      <c r="L281" s="184" t="s">
        <v>453</v>
      </c>
      <c r="M281" s="185">
        <v>18.428571428571427</v>
      </c>
      <c r="N281" s="186">
        <v>322</v>
      </c>
      <c r="O281" s="106">
        <v>10334</v>
      </c>
      <c r="P281" s="103" t="s">
        <v>453</v>
      </c>
      <c r="Q281" s="219">
        <v>115</v>
      </c>
      <c r="R281" s="220">
        <v>306</v>
      </c>
    </row>
    <row r="282" spans="1:18" ht="13.5" customHeight="1" x14ac:dyDescent="0.15">
      <c r="A282" s="110" t="str">
        <f t="shared" si="4"/>
        <v>102</v>
      </c>
      <c r="B282" s="174">
        <v>10212</v>
      </c>
      <c r="C282" s="175" t="s">
        <v>403</v>
      </c>
      <c r="D282" s="176" t="s">
        <v>681</v>
      </c>
      <c r="E282" s="177">
        <v>62.433900000000001</v>
      </c>
      <c r="F282" s="178">
        <v>279</v>
      </c>
      <c r="G282" s="179">
        <v>10212</v>
      </c>
      <c r="H282" s="180" t="s">
        <v>403</v>
      </c>
      <c r="I282" s="181">
        <v>158</v>
      </c>
      <c r="J282" s="182">
        <v>302</v>
      </c>
      <c r="K282" s="183">
        <v>10212</v>
      </c>
      <c r="L282" s="184" t="s">
        <v>403</v>
      </c>
      <c r="M282" s="185">
        <v>33</v>
      </c>
      <c r="N282" s="186">
        <v>278</v>
      </c>
      <c r="O282" s="106">
        <v>10212</v>
      </c>
      <c r="P282" s="103" t="s">
        <v>403</v>
      </c>
      <c r="Q282" s="219">
        <v>152</v>
      </c>
      <c r="R282" s="220">
        <v>294</v>
      </c>
    </row>
    <row r="283" spans="1:18" ht="13.5" customHeight="1" x14ac:dyDescent="0.15">
      <c r="A283" s="110" t="str">
        <f t="shared" si="4"/>
        <v>101</v>
      </c>
      <c r="B283" s="174">
        <v>10113</v>
      </c>
      <c r="C283" s="175" t="s">
        <v>371</v>
      </c>
      <c r="D283" s="176" t="s">
        <v>685</v>
      </c>
      <c r="E283" s="177">
        <v>62.566800000000001</v>
      </c>
      <c r="F283" s="178">
        <v>280</v>
      </c>
      <c r="G283" s="187">
        <v>10113</v>
      </c>
      <c r="H283" s="188" t="s">
        <v>371</v>
      </c>
      <c r="I283" s="181">
        <v>279</v>
      </c>
      <c r="J283" s="182">
        <v>118</v>
      </c>
      <c r="K283" s="183">
        <v>10113</v>
      </c>
      <c r="L283" s="184" t="s">
        <v>371</v>
      </c>
      <c r="M283" s="185">
        <v>69.44285714285715</v>
      </c>
      <c r="N283" s="186">
        <v>73</v>
      </c>
      <c r="O283" s="106">
        <v>10113</v>
      </c>
      <c r="P283" s="103" t="s">
        <v>371</v>
      </c>
      <c r="Q283" s="219">
        <v>333</v>
      </c>
      <c r="R283" s="220">
        <v>55</v>
      </c>
    </row>
    <row r="284" spans="1:18" ht="13.5" customHeight="1" x14ac:dyDescent="0.15">
      <c r="A284" s="110" t="str">
        <f t="shared" si="4"/>
        <v>101</v>
      </c>
      <c r="B284" s="174">
        <v>10116</v>
      </c>
      <c r="C284" s="175" t="s">
        <v>374</v>
      </c>
      <c r="D284" s="176" t="s">
        <v>689</v>
      </c>
      <c r="E284" s="177">
        <v>62.608699999999999</v>
      </c>
      <c r="F284" s="178">
        <v>281</v>
      </c>
      <c r="G284" s="187">
        <v>10116</v>
      </c>
      <c r="H284" s="188" t="s">
        <v>374</v>
      </c>
      <c r="I284" s="181">
        <v>204</v>
      </c>
      <c r="J284" s="182">
        <v>263</v>
      </c>
      <c r="K284" s="183">
        <v>10116</v>
      </c>
      <c r="L284" s="184" t="s">
        <v>374</v>
      </c>
      <c r="M284" s="185">
        <v>62.357142857142854</v>
      </c>
      <c r="N284" s="186">
        <v>111</v>
      </c>
      <c r="O284" s="106">
        <v>10116</v>
      </c>
      <c r="P284" s="103" t="s">
        <v>374</v>
      </c>
      <c r="Q284" s="219">
        <v>215</v>
      </c>
      <c r="R284" s="220">
        <v>223</v>
      </c>
    </row>
    <row r="285" spans="1:18" ht="13.5" customHeight="1" x14ac:dyDescent="0.15">
      <c r="A285" s="110" t="str">
        <f t="shared" si="4"/>
        <v>102</v>
      </c>
      <c r="B285" s="174">
        <v>10208</v>
      </c>
      <c r="C285" s="175" t="s">
        <v>399</v>
      </c>
      <c r="D285" s="176" t="s">
        <v>689</v>
      </c>
      <c r="E285" s="177">
        <v>63.043500000000002</v>
      </c>
      <c r="F285" s="178">
        <v>282</v>
      </c>
      <c r="G285" s="187">
        <v>10208</v>
      </c>
      <c r="H285" s="188" t="s">
        <v>399</v>
      </c>
      <c r="I285" s="181">
        <v>222</v>
      </c>
      <c r="J285" s="182">
        <v>224</v>
      </c>
      <c r="K285" s="183">
        <v>10208</v>
      </c>
      <c r="L285" s="184" t="s">
        <v>399</v>
      </c>
      <c r="M285" s="185">
        <v>42.542857142857137</v>
      </c>
      <c r="N285" s="186">
        <v>223</v>
      </c>
      <c r="O285" s="106">
        <v>10208</v>
      </c>
      <c r="P285" s="103" t="s">
        <v>399</v>
      </c>
      <c r="Q285" s="219">
        <v>205</v>
      </c>
      <c r="R285" s="220">
        <v>236</v>
      </c>
    </row>
    <row r="286" spans="1:18" ht="13.5" customHeight="1" x14ac:dyDescent="0.15">
      <c r="A286" s="110" t="str">
        <f t="shared" si="4"/>
        <v>103</v>
      </c>
      <c r="B286" s="174">
        <v>10315</v>
      </c>
      <c r="C286" s="175" t="s">
        <v>435</v>
      </c>
      <c r="D286" s="176" t="s">
        <v>689</v>
      </c>
      <c r="E286" s="177">
        <v>63.478299999999997</v>
      </c>
      <c r="F286" s="178">
        <v>283</v>
      </c>
      <c r="G286" s="187">
        <v>10315</v>
      </c>
      <c r="H286" s="188" t="s">
        <v>435</v>
      </c>
      <c r="I286" s="181">
        <v>174</v>
      </c>
      <c r="J286" s="182">
        <v>296</v>
      </c>
      <c r="K286" s="183">
        <v>10315</v>
      </c>
      <c r="L286" s="184" t="s">
        <v>435</v>
      </c>
      <c r="M286" s="185">
        <v>42.471428571428575</v>
      </c>
      <c r="N286" s="186">
        <v>224</v>
      </c>
      <c r="O286" s="104">
        <v>10315</v>
      </c>
      <c r="P286" s="100" t="s">
        <v>435</v>
      </c>
      <c r="Q286" s="219">
        <v>188</v>
      </c>
      <c r="R286" s="220">
        <v>263</v>
      </c>
    </row>
    <row r="287" spans="1:18" ht="13.5" customHeight="1" x14ac:dyDescent="0.15">
      <c r="A287" s="110" t="str">
        <f t="shared" si="4"/>
        <v>104</v>
      </c>
      <c r="B287" s="174">
        <v>10418</v>
      </c>
      <c r="C287" s="175" t="s">
        <v>466</v>
      </c>
      <c r="D287" s="176" t="s">
        <v>681</v>
      </c>
      <c r="E287" s="177">
        <v>64.021199999999993</v>
      </c>
      <c r="F287" s="178">
        <v>284</v>
      </c>
      <c r="G287" s="187">
        <v>10418</v>
      </c>
      <c r="H287" s="188" t="s">
        <v>466</v>
      </c>
      <c r="I287" s="181">
        <v>154</v>
      </c>
      <c r="J287" s="182">
        <v>303</v>
      </c>
      <c r="K287" s="183">
        <v>10418</v>
      </c>
      <c r="L287" s="184" t="s">
        <v>466</v>
      </c>
      <c r="M287" s="185">
        <v>32.285714285714285</v>
      </c>
      <c r="N287" s="186">
        <v>285</v>
      </c>
      <c r="O287" s="104">
        <v>10418</v>
      </c>
      <c r="P287" s="100" t="s">
        <v>466</v>
      </c>
      <c r="Q287" s="219">
        <v>109</v>
      </c>
      <c r="R287" s="220">
        <v>307</v>
      </c>
    </row>
    <row r="288" spans="1:18" ht="13.5" customHeight="1" x14ac:dyDescent="0.15">
      <c r="A288" s="110" t="str">
        <f t="shared" si="4"/>
        <v>105</v>
      </c>
      <c r="B288" s="174">
        <v>10511</v>
      </c>
      <c r="C288" s="175" t="s">
        <v>490</v>
      </c>
      <c r="D288" s="176" t="s">
        <v>683</v>
      </c>
      <c r="E288" s="177">
        <v>64.257000000000005</v>
      </c>
      <c r="F288" s="178">
        <v>285</v>
      </c>
      <c r="G288" s="187">
        <v>10511</v>
      </c>
      <c r="H288" s="188" t="s">
        <v>490</v>
      </c>
      <c r="I288" s="181">
        <v>222</v>
      </c>
      <c r="J288" s="182">
        <v>224</v>
      </c>
      <c r="K288" s="183">
        <v>10511</v>
      </c>
      <c r="L288" s="184" t="s">
        <v>490</v>
      </c>
      <c r="M288" s="185">
        <v>45.028571428571425</v>
      </c>
      <c r="N288" s="186">
        <v>201</v>
      </c>
      <c r="O288" s="106">
        <v>10511</v>
      </c>
      <c r="P288" s="103" t="s">
        <v>490</v>
      </c>
      <c r="Q288" s="219">
        <v>237</v>
      </c>
      <c r="R288" s="220">
        <v>184</v>
      </c>
    </row>
    <row r="289" spans="1:18" ht="13.5" customHeight="1" x14ac:dyDescent="0.15">
      <c r="A289" s="110" t="str">
        <f t="shared" si="4"/>
        <v>106</v>
      </c>
      <c r="B289" s="174">
        <v>10631</v>
      </c>
      <c r="C289" s="175" t="s">
        <v>537</v>
      </c>
      <c r="D289" s="176" t="s">
        <v>687</v>
      </c>
      <c r="E289" s="177">
        <v>64.324299999999994</v>
      </c>
      <c r="F289" s="178">
        <v>286</v>
      </c>
      <c r="G289" s="187">
        <v>10631</v>
      </c>
      <c r="H289" s="188" t="s">
        <v>537</v>
      </c>
      <c r="I289" s="181">
        <v>229</v>
      </c>
      <c r="J289" s="182">
        <v>209</v>
      </c>
      <c r="K289" s="183">
        <v>10631</v>
      </c>
      <c r="L289" s="184" t="s">
        <v>537</v>
      </c>
      <c r="M289" s="185">
        <v>37.300000000000004</v>
      </c>
      <c r="N289" s="186">
        <v>260</v>
      </c>
      <c r="O289" s="106">
        <v>10631</v>
      </c>
      <c r="P289" s="103" t="s">
        <v>537</v>
      </c>
      <c r="Q289" s="219">
        <v>229</v>
      </c>
      <c r="R289" s="220">
        <v>200</v>
      </c>
    </row>
    <row r="290" spans="1:18" ht="13.5" customHeight="1" x14ac:dyDescent="0.15">
      <c r="A290" s="110" t="str">
        <f t="shared" si="4"/>
        <v>107</v>
      </c>
      <c r="B290" s="174">
        <v>10716</v>
      </c>
      <c r="C290" s="175" t="s">
        <v>555</v>
      </c>
      <c r="D290" s="176" t="s">
        <v>684</v>
      </c>
      <c r="E290" s="177">
        <v>64.625900000000001</v>
      </c>
      <c r="F290" s="178">
        <v>287</v>
      </c>
      <c r="G290" s="187">
        <v>10716</v>
      </c>
      <c r="H290" s="188" t="s">
        <v>555</v>
      </c>
      <c r="I290" s="181">
        <v>198</v>
      </c>
      <c r="J290" s="182">
        <v>273</v>
      </c>
      <c r="K290" s="183">
        <v>10716</v>
      </c>
      <c r="L290" s="184" t="s">
        <v>555</v>
      </c>
      <c r="M290" s="185">
        <v>45.828571428571429</v>
      </c>
      <c r="N290" s="186">
        <v>193</v>
      </c>
      <c r="O290" s="106">
        <v>10716</v>
      </c>
      <c r="P290" s="103" t="s">
        <v>555</v>
      </c>
      <c r="Q290" s="219">
        <v>216</v>
      </c>
      <c r="R290" s="220">
        <v>220</v>
      </c>
    </row>
    <row r="291" spans="1:18" ht="13.5" customHeight="1" x14ac:dyDescent="0.15">
      <c r="A291" s="110" t="str">
        <f t="shared" si="4"/>
        <v>108</v>
      </c>
      <c r="B291" s="174">
        <v>10826</v>
      </c>
      <c r="C291" s="175" t="s">
        <v>596</v>
      </c>
      <c r="D291" s="176" t="s">
        <v>683</v>
      </c>
      <c r="E291" s="177">
        <v>64.658600000000007</v>
      </c>
      <c r="F291" s="178">
        <v>288</v>
      </c>
      <c r="G291" s="179">
        <v>10826</v>
      </c>
      <c r="H291" s="180" t="s">
        <v>596</v>
      </c>
      <c r="I291" s="181">
        <v>181</v>
      </c>
      <c r="J291" s="182">
        <v>289</v>
      </c>
      <c r="K291" s="183">
        <v>10826</v>
      </c>
      <c r="L291" s="184" t="s">
        <v>596</v>
      </c>
      <c r="M291" s="185">
        <v>41.75714285714286</v>
      </c>
      <c r="N291" s="186">
        <v>230</v>
      </c>
      <c r="O291" s="106">
        <v>10826</v>
      </c>
      <c r="P291" s="103" t="s">
        <v>596</v>
      </c>
      <c r="Q291" s="219">
        <v>211</v>
      </c>
      <c r="R291" s="220">
        <v>229</v>
      </c>
    </row>
    <row r="292" spans="1:18" ht="13.5" customHeight="1" x14ac:dyDescent="0.15">
      <c r="A292" s="110" t="str">
        <f t="shared" si="4"/>
        <v>109</v>
      </c>
      <c r="B292" s="174">
        <v>10929</v>
      </c>
      <c r="C292" s="175" t="s">
        <v>630</v>
      </c>
      <c r="D292" s="176" t="s">
        <v>690</v>
      </c>
      <c r="E292" s="177">
        <v>64.864900000000006</v>
      </c>
      <c r="F292" s="178">
        <v>289</v>
      </c>
      <c r="G292" s="179">
        <v>10929</v>
      </c>
      <c r="H292" s="180" t="s">
        <v>630</v>
      </c>
      <c r="I292" s="181">
        <v>216</v>
      </c>
      <c r="J292" s="182">
        <v>237</v>
      </c>
      <c r="K292" s="183">
        <v>10929</v>
      </c>
      <c r="L292" s="184" t="s">
        <v>630</v>
      </c>
      <c r="M292" s="185">
        <v>32.557142857142864</v>
      </c>
      <c r="N292" s="186">
        <v>282</v>
      </c>
      <c r="O292" s="105">
        <v>10929</v>
      </c>
      <c r="P292" s="102" t="s">
        <v>630</v>
      </c>
      <c r="Q292" s="219">
        <v>246</v>
      </c>
      <c r="R292" s="220">
        <v>167</v>
      </c>
    </row>
    <row r="293" spans="1:18" ht="13.5" customHeight="1" x14ac:dyDescent="0.15">
      <c r="A293" s="110" t="str">
        <f t="shared" si="4"/>
        <v>110</v>
      </c>
      <c r="B293" s="174">
        <v>11021</v>
      </c>
      <c r="C293" s="175" t="s">
        <v>655</v>
      </c>
      <c r="D293" s="176" t="s">
        <v>687</v>
      </c>
      <c r="E293" s="177">
        <v>65.4054</v>
      </c>
      <c r="F293" s="178">
        <v>290</v>
      </c>
      <c r="G293" s="187">
        <v>11021</v>
      </c>
      <c r="H293" s="188" t="s">
        <v>655</v>
      </c>
      <c r="I293" s="181">
        <v>180</v>
      </c>
      <c r="J293" s="182">
        <v>291</v>
      </c>
      <c r="K293" s="183">
        <v>11021</v>
      </c>
      <c r="L293" s="184" t="s">
        <v>655</v>
      </c>
      <c r="M293" s="185">
        <v>32.228571428571428</v>
      </c>
      <c r="N293" s="186">
        <v>286</v>
      </c>
      <c r="O293" s="106">
        <v>11021</v>
      </c>
      <c r="P293" s="103" t="s">
        <v>655</v>
      </c>
      <c r="Q293" s="219">
        <v>206</v>
      </c>
      <c r="R293" s="220">
        <v>233</v>
      </c>
    </row>
    <row r="294" spans="1:18" s="46" customFormat="1" ht="13.5" customHeight="1" x14ac:dyDescent="0.15">
      <c r="A294" s="110" t="str">
        <f t="shared" si="4"/>
        <v>110</v>
      </c>
      <c r="B294" s="174">
        <v>11027</v>
      </c>
      <c r="C294" s="175" t="s">
        <v>659</v>
      </c>
      <c r="D294" s="176" t="s">
        <v>680</v>
      </c>
      <c r="E294" s="177">
        <v>65.5</v>
      </c>
      <c r="F294" s="178">
        <v>291</v>
      </c>
      <c r="G294" s="179">
        <v>11027</v>
      </c>
      <c r="H294" s="180" t="s">
        <v>659</v>
      </c>
      <c r="I294" s="181">
        <v>235</v>
      </c>
      <c r="J294" s="182">
        <v>196</v>
      </c>
      <c r="K294" s="183">
        <v>11027</v>
      </c>
      <c r="L294" s="184" t="s">
        <v>659</v>
      </c>
      <c r="M294" s="185">
        <v>37.814285714285724</v>
      </c>
      <c r="N294" s="186">
        <v>256</v>
      </c>
      <c r="O294" s="105">
        <v>11027</v>
      </c>
      <c r="P294" s="102" t="s">
        <v>659</v>
      </c>
      <c r="Q294" s="219">
        <v>203</v>
      </c>
      <c r="R294" s="220">
        <v>240</v>
      </c>
    </row>
    <row r="295" spans="1:18" ht="13.5" customHeight="1" x14ac:dyDescent="0.15">
      <c r="A295" s="110" t="str">
        <f t="shared" si="4"/>
        <v>109</v>
      </c>
      <c r="B295" s="174">
        <v>10907</v>
      </c>
      <c r="C295" s="175" t="s">
        <v>610</v>
      </c>
      <c r="D295" s="176" t="s">
        <v>688</v>
      </c>
      <c r="E295" s="177">
        <v>65.540499999999994</v>
      </c>
      <c r="F295" s="178">
        <v>292</v>
      </c>
      <c r="G295" s="179">
        <v>10907</v>
      </c>
      <c r="H295" s="180" t="s">
        <v>610</v>
      </c>
      <c r="I295" s="181">
        <v>186</v>
      </c>
      <c r="J295" s="182">
        <v>284</v>
      </c>
      <c r="K295" s="183">
        <v>10907</v>
      </c>
      <c r="L295" s="184" t="s">
        <v>610</v>
      </c>
      <c r="M295" s="185">
        <v>32.385714285714286</v>
      </c>
      <c r="N295" s="186">
        <v>284</v>
      </c>
      <c r="O295" s="105">
        <v>10907</v>
      </c>
      <c r="P295" s="103"/>
      <c r="Q295" s="219"/>
      <c r="R295" s="220"/>
    </row>
    <row r="296" spans="1:18" ht="13.5" customHeight="1" x14ac:dyDescent="0.15">
      <c r="A296" s="110" t="str">
        <f t="shared" si="4"/>
        <v>108</v>
      </c>
      <c r="B296" s="174">
        <v>10801</v>
      </c>
      <c r="C296" s="175" t="s">
        <v>574</v>
      </c>
      <c r="D296" s="176" t="s">
        <v>683</v>
      </c>
      <c r="E296" s="177">
        <v>66.666700000000006</v>
      </c>
      <c r="F296" s="178">
        <v>293</v>
      </c>
      <c r="G296" s="187">
        <v>10801</v>
      </c>
      <c r="H296" s="188" t="s">
        <v>574</v>
      </c>
      <c r="I296" s="181">
        <v>209</v>
      </c>
      <c r="J296" s="182">
        <v>254</v>
      </c>
      <c r="K296" s="183">
        <v>10801</v>
      </c>
      <c r="L296" s="184" t="s">
        <v>574</v>
      </c>
      <c r="M296" s="185">
        <v>47.342857142857149</v>
      </c>
      <c r="N296" s="186">
        <v>183</v>
      </c>
      <c r="O296" s="106">
        <v>10801</v>
      </c>
      <c r="P296" s="103" t="s">
        <v>574</v>
      </c>
      <c r="Q296" s="219">
        <v>199</v>
      </c>
      <c r="R296" s="220">
        <v>246</v>
      </c>
    </row>
    <row r="297" spans="1:18" ht="13.5" customHeight="1" x14ac:dyDescent="0.15">
      <c r="A297" s="110" t="str">
        <f t="shared" si="4"/>
        <v>107</v>
      </c>
      <c r="B297" s="174">
        <v>10726</v>
      </c>
      <c r="C297" s="175" t="s">
        <v>565</v>
      </c>
      <c r="D297" s="176" t="s">
        <v>684</v>
      </c>
      <c r="E297" s="177">
        <v>66.666700000000006</v>
      </c>
      <c r="F297" s="178">
        <v>294</v>
      </c>
      <c r="G297" s="187">
        <v>10726</v>
      </c>
      <c r="H297" s="188" t="s">
        <v>565</v>
      </c>
      <c r="I297" s="181">
        <v>198</v>
      </c>
      <c r="J297" s="182">
        <v>273</v>
      </c>
      <c r="K297" s="183">
        <v>10726</v>
      </c>
      <c r="L297" s="184" t="s">
        <v>565</v>
      </c>
      <c r="M297" s="185">
        <v>30.042857142857141</v>
      </c>
      <c r="N297" s="186">
        <v>290</v>
      </c>
      <c r="O297" s="104">
        <v>10726</v>
      </c>
      <c r="P297" s="100" t="s">
        <v>565</v>
      </c>
      <c r="Q297" s="219">
        <v>218</v>
      </c>
      <c r="R297" s="220">
        <v>215</v>
      </c>
    </row>
    <row r="298" spans="1:18" ht="13.5" customHeight="1" x14ac:dyDescent="0.15">
      <c r="A298" s="110" t="str">
        <f t="shared" si="4"/>
        <v>106</v>
      </c>
      <c r="B298" s="174">
        <v>10613</v>
      </c>
      <c r="C298" s="175" t="s">
        <v>521</v>
      </c>
      <c r="D298" s="176" t="s">
        <v>691</v>
      </c>
      <c r="E298" s="177">
        <v>66.666700000000006</v>
      </c>
      <c r="F298" s="178">
        <v>295</v>
      </c>
      <c r="G298" s="187">
        <v>10613</v>
      </c>
      <c r="H298" s="188" t="s">
        <v>521</v>
      </c>
      <c r="I298" s="181">
        <v>204</v>
      </c>
      <c r="J298" s="182">
        <v>263</v>
      </c>
      <c r="K298" s="183">
        <v>10613</v>
      </c>
      <c r="L298" s="184" t="s">
        <v>521</v>
      </c>
      <c r="M298" s="185">
        <v>32.799999999999997</v>
      </c>
      <c r="N298" s="186">
        <v>281</v>
      </c>
      <c r="O298" s="105">
        <v>10613</v>
      </c>
      <c r="P298" s="102" t="s">
        <v>521</v>
      </c>
      <c r="Q298" s="219">
        <v>176</v>
      </c>
      <c r="R298" s="220">
        <v>277</v>
      </c>
    </row>
    <row r="299" spans="1:18" ht="13.5" customHeight="1" x14ac:dyDescent="0.15">
      <c r="A299" s="110" t="str">
        <f t="shared" si="4"/>
        <v>105</v>
      </c>
      <c r="B299" s="174">
        <v>10527</v>
      </c>
      <c r="C299" s="175" t="s">
        <v>505</v>
      </c>
      <c r="D299" s="176" t="s">
        <v>686</v>
      </c>
      <c r="E299" s="177">
        <v>67.054299999999998</v>
      </c>
      <c r="F299" s="178">
        <v>296</v>
      </c>
      <c r="G299" s="179">
        <v>10527</v>
      </c>
      <c r="H299" s="180" t="s">
        <v>505</v>
      </c>
      <c r="I299" s="181">
        <v>212</v>
      </c>
      <c r="J299" s="182">
        <v>246</v>
      </c>
      <c r="K299" s="183">
        <v>10527</v>
      </c>
      <c r="L299" s="184" t="s">
        <v>505</v>
      </c>
      <c r="M299" s="185">
        <v>41.24285714285714</v>
      </c>
      <c r="N299" s="186">
        <v>237</v>
      </c>
      <c r="O299" s="104">
        <v>10527</v>
      </c>
      <c r="P299" s="101" t="s">
        <v>505</v>
      </c>
      <c r="Q299" s="219">
        <v>153</v>
      </c>
      <c r="R299" s="220">
        <v>293</v>
      </c>
    </row>
    <row r="300" spans="1:18" ht="13.5" customHeight="1" x14ac:dyDescent="0.15">
      <c r="A300" s="110" t="str">
        <f t="shared" si="4"/>
        <v>104</v>
      </c>
      <c r="B300" s="174">
        <v>10405</v>
      </c>
      <c r="C300" s="175" t="s">
        <v>457</v>
      </c>
      <c r="D300" s="176" t="s">
        <v>689</v>
      </c>
      <c r="E300" s="177">
        <v>68.260900000000007</v>
      </c>
      <c r="F300" s="178">
        <v>297</v>
      </c>
      <c r="G300" s="187">
        <v>10405</v>
      </c>
      <c r="H300" s="188" t="s">
        <v>457</v>
      </c>
      <c r="I300" s="181">
        <v>227</v>
      </c>
      <c r="J300" s="182">
        <v>211</v>
      </c>
      <c r="K300" s="183">
        <v>10405</v>
      </c>
      <c r="L300" s="184" t="s">
        <v>457</v>
      </c>
      <c r="M300" s="185">
        <v>42.000000000000007</v>
      </c>
      <c r="N300" s="186">
        <v>226</v>
      </c>
      <c r="O300" s="104">
        <v>10405</v>
      </c>
      <c r="P300" s="100" t="s">
        <v>457</v>
      </c>
      <c r="Q300" s="219">
        <v>233</v>
      </c>
      <c r="R300" s="220">
        <v>192</v>
      </c>
    </row>
    <row r="301" spans="1:18" ht="13.5" customHeight="1" x14ac:dyDescent="0.15">
      <c r="A301" s="110" t="str">
        <f t="shared" si="4"/>
        <v>103</v>
      </c>
      <c r="B301" s="174">
        <v>10313</v>
      </c>
      <c r="C301" s="175" t="s">
        <v>433</v>
      </c>
      <c r="D301" s="176" t="s">
        <v>680</v>
      </c>
      <c r="E301" s="177">
        <v>69</v>
      </c>
      <c r="F301" s="178">
        <v>298</v>
      </c>
      <c r="G301" s="187">
        <v>10313</v>
      </c>
      <c r="H301" s="188" t="s">
        <v>433</v>
      </c>
      <c r="I301" s="181">
        <v>214</v>
      </c>
      <c r="J301" s="182">
        <v>240</v>
      </c>
      <c r="K301" s="183">
        <v>10313</v>
      </c>
      <c r="L301" s="184" t="s">
        <v>433</v>
      </c>
      <c r="M301" s="185">
        <v>33.471428571428568</v>
      </c>
      <c r="N301" s="186">
        <v>276</v>
      </c>
      <c r="O301" s="106">
        <v>10313</v>
      </c>
      <c r="P301" s="103" t="s">
        <v>433</v>
      </c>
      <c r="Q301" s="219">
        <v>208</v>
      </c>
      <c r="R301" s="220">
        <v>231</v>
      </c>
    </row>
    <row r="302" spans="1:18" ht="13.5" customHeight="1" x14ac:dyDescent="0.15">
      <c r="A302" s="110" t="str">
        <f t="shared" si="4"/>
        <v>102</v>
      </c>
      <c r="B302" s="174">
        <v>10211</v>
      </c>
      <c r="C302" s="175" t="s">
        <v>402</v>
      </c>
      <c r="D302" s="176" t="s">
        <v>689</v>
      </c>
      <c r="E302" s="177">
        <v>69.130399999999995</v>
      </c>
      <c r="F302" s="178">
        <v>299</v>
      </c>
      <c r="G302" s="187">
        <v>10211</v>
      </c>
      <c r="H302" s="188" t="s">
        <v>402</v>
      </c>
      <c r="I302" s="181">
        <v>171</v>
      </c>
      <c r="J302" s="182">
        <v>298</v>
      </c>
      <c r="K302" s="183">
        <v>10211</v>
      </c>
      <c r="L302" s="184" t="s">
        <v>402</v>
      </c>
      <c r="M302" s="185">
        <v>27.971428571428572</v>
      </c>
      <c r="N302" s="186">
        <v>299</v>
      </c>
      <c r="O302" s="106">
        <v>10211</v>
      </c>
      <c r="P302" s="103" t="s">
        <v>402</v>
      </c>
      <c r="Q302" s="219">
        <v>170</v>
      </c>
      <c r="R302" s="220">
        <v>282</v>
      </c>
    </row>
    <row r="303" spans="1:18" ht="13.5" customHeight="1" x14ac:dyDescent="0.15">
      <c r="A303" s="110" t="str">
        <f t="shared" si="4"/>
        <v>101</v>
      </c>
      <c r="B303" s="174">
        <v>10123</v>
      </c>
      <c r="C303" s="175" t="s">
        <v>711</v>
      </c>
      <c r="D303" s="176" t="s">
        <v>712</v>
      </c>
      <c r="E303" s="177">
        <v>69.718299999999999</v>
      </c>
      <c r="F303" s="178">
        <v>300</v>
      </c>
      <c r="G303" s="183"/>
      <c r="H303" s="180"/>
      <c r="I303" s="181"/>
      <c r="J303" s="182"/>
      <c r="K303" s="183">
        <v>10123</v>
      </c>
      <c r="L303" s="184" t="s">
        <v>711</v>
      </c>
      <c r="M303" s="185">
        <v>19.2</v>
      </c>
      <c r="N303" s="186">
        <v>320</v>
      </c>
      <c r="O303" s="106">
        <v>10123</v>
      </c>
      <c r="P303" s="103"/>
      <c r="Q303" s="219"/>
      <c r="R303" s="220"/>
    </row>
    <row r="304" spans="1:18" ht="13.5" customHeight="1" x14ac:dyDescent="0.15">
      <c r="A304" s="110" t="str">
        <f t="shared" si="4"/>
        <v>101</v>
      </c>
      <c r="B304" s="174">
        <v>10132</v>
      </c>
      <c r="C304" s="175" t="s">
        <v>389</v>
      </c>
      <c r="D304" s="176" t="s">
        <v>688</v>
      </c>
      <c r="E304" s="177">
        <v>70.270300000000006</v>
      </c>
      <c r="F304" s="178">
        <v>301</v>
      </c>
      <c r="G304" s="187">
        <v>10132</v>
      </c>
      <c r="H304" s="188" t="s">
        <v>389</v>
      </c>
      <c r="I304" s="181">
        <v>188</v>
      </c>
      <c r="J304" s="182">
        <v>282</v>
      </c>
      <c r="K304" s="183">
        <v>10132</v>
      </c>
      <c r="L304" s="184" t="s">
        <v>389</v>
      </c>
      <c r="M304" s="185">
        <v>23.414285714285711</v>
      </c>
      <c r="N304" s="186">
        <v>312</v>
      </c>
      <c r="O304" s="106">
        <v>10132</v>
      </c>
      <c r="P304" s="103" t="s">
        <v>389</v>
      </c>
      <c r="Q304" s="219">
        <v>158</v>
      </c>
      <c r="R304" s="220">
        <v>289</v>
      </c>
    </row>
    <row r="305" spans="1:18" ht="13.5" customHeight="1" x14ac:dyDescent="0.15">
      <c r="A305" s="110" t="str">
        <f t="shared" si="4"/>
        <v>102</v>
      </c>
      <c r="B305" s="174">
        <v>10205</v>
      </c>
      <c r="C305" s="175" t="s">
        <v>396</v>
      </c>
      <c r="D305" s="176" t="s">
        <v>686</v>
      </c>
      <c r="E305" s="177">
        <v>70.542599999999993</v>
      </c>
      <c r="F305" s="178">
        <v>302</v>
      </c>
      <c r="G305" s="187">
        <v>10205</v>
      </c>
      <c r="H305" s="188" t="s">
        <v>396</v>
      </c>
      <c r="I305" s="181">
        <v>218</v>
      </c>
      <c r="J305" s="182">
        <v>232</v>
      </c>
      <c r="K305" s="183">
        <v>10205</v>
      </c>
      <c r="L305" s="184" t="s">
        <v>396</v>
      </c>
      <c r="M305" s="185">
        <v>38.98571428571428</v>
      </c>
      <c r="N305" s="186">
        <v>253</v>
      </c>
      <c r="O305" s="106">
        <v>10205</v>
      </c>
      <c r="P305" s="103" t="s">
        <v>396</v>
      </c>
      <c r="Q305" s="219">
        <v>71</v>
      </c>
      <c r="R305" s="220">
        <v>313</v>
      </c>
    </row>
    <row r="306" spans="1:18" ht="13.5" customHeight="1" x14ac:dyDescent="0.15">
      <c r="A306" s="110" t="str">
        <f t="shared" si="4"/>
        <v>103</v>
      </c>
      <c r="B306" s="174">
        <v>10309</v>
      </c>
      <c r="C306" s="175" t="s">
        <v>430</v>
      </c>
      <c r="D306" s="176" t="s">
        <v>683</v>
      </c>
      <c r="E306" s="177">
        <v>71.084299999999999</v>
      </c>
      <c r="F306" s="178">
        <v>303</v>
      </c>
      <c r="G306" s="187">
        <v>10309</v>
      </c>
      <c r="H306" s="188" t="s">
        <v>430</v>
      </c>
      <c r="I306" s="181">
        <v>212</v>
      </c>
      <c r="J306" s="182">
        <v>246</v>
      </c>
      <c r="K306" s="183">
        <v>10309</v>
      </c>
      <c r="L306" s="184" t="s">
        <v>430</v>
      </c>
      <c r="M306" s="185">
        <v>49.18571428571429</v>
      </c>
      <c r="N306" s="186">
        <v>178</v>
      </c>
      <c r="O306" s="106">
        <v>10309</v>
      </c>
      <c r="P306" s="103" t="s">
        <v>430</v>
      </c>
      <c r="Q306" s="219">
        <v>213</v>
      </c>
      <c r="R306" s="220">
        <v>225</v>
      </c>
    </row>
    <row r="307" spans="1:18" ht="13.5" customHeight="1" x14ac:dyDescent="0.15">
      <c r="A307" s="110" t="str">
        <f t="shared" si="4"/>
        <v>104</v>
      </c>
      <c r="B307" s="174">
        <v>10416</v>
      </c>
      <c r="C307" s="175" t="s">
        <v>464</v>
      </c>
      <c r="D307" s="176" t="s">
        <v>683</v>
      </c>
      <c r="E307" s="177">
        <v>71.887600000000006</v>
      </c>
      <c r="F307" s="178">
        <v>304</v>
      </c>
      <c r="G307" s="187">
        <v>10416</v>
      </c>
      <c r="H307" s="188" t="s">
        <v>464</v>
      </c>
      <c r="I307" s="181">
        <v>221</v>
      </c>
      <c r="J307" s="182">
        <v>231</v>
      </c>
      <c r="K307" s="183">
        <v>10416</v>
      </c>
      <c r="L307" s="184" t="s">
        <v>464</v>
      </c>
      <c r="M307" s="185">
        <v>51.842857142857142</v>
      </c>
      <c r="N307" s="186">
        <v>165</v>
      </c>
      <c r="O307" s="106">
        <v>10416</v>
      </c>
      <c r="P307" s="103" t="s">
        <v>464</v>
      </c>
      <c r="Q307" s="219">
        <v>223</v>
      </c>
      <c r="R307" s="220">
        <v>210</v>
      </c>
    </row>
    <row r="308" spans="1:18" ht="13.5" customHeight="1" x14ac:dyDescent="0.15">
      <c r="A308" s="110" t="str">
        <f t="shared" si="4"/>
        <v>105</v>
      </c>
      <c r="B308" s="174">
        <v>10518</v>
      </c>
      <c r="C308" s="175" t="s">
        <v>497</v>
      </c>
      <c r="D308" s="176" t="s">
        <v>681</v>
      </c>
      <c r="E308" s="177">
        <v>72.486800000000002</v>
      </c>
      <c r="F308" s="178">
        <v>305</v>
      </c>
      <c r="G308" s="179">
        <v>10518</v>
      </c>
      <c r="H308" s="180" t="s">
        <v>497</v>
      </c>
      <c r="I308" s="181">
        <v>127</v>
      </c>
      <c r="J308" s="182">
        <v>310</v>
      </c>
      <c r="K308" s="183">
        <v>10518</v>
      </c>
      <c r="L308" s="184" t="s">
        <v>497</v>
      </c>
      <c r="M308" s="185">
        <v>28.142857142857139</v>
      </c>
      <c r="N308" s="186">
        <v>297</v>
      </c>
      <c r="O308" s="106">
        <v>10518</v>
      </c>
      <c r="P308" s="103" t="s">
        <v>497</v>
      </c>
      <c r="Q308" s="219">
        <v>127</v>
      </c>
      <c r="R308" s="220">
        <v>303</v>
      </c>
    </row>
    <row r="309" spans="1:18" ht="13.5" customHeight="1" x14ac:dyDescent="0.15">
      <c r="A309" s="110" t="str">
        <f t="shared" si="4"/>
        <v>106</v>
      </c>
      <c r="B309" s="174">
        <v>10602</v>
      </c>
      <c r="C309" s="175" t="s">
        <v>729</v>
      </c>
      <c r="D309" s="176" t="s">
        <v>712</v>
      </c>
      <c r="E309" s="177">
        <v>72.535200000000003</v>
      </c>
      <c r="F309" s="178">
        <v>306</v>
      </c>
      <c r="G309" s="183"/>
      <c r="H309" s="180"/>
      <c r="I309" s="181"/>
      <c r="J309" s="182"/>
      <c r="K309" s="183">
        <v>10602</v>
      </c>
      <c r="L309" s="184" t="s">
        <v>729</v>
      </c>
      <c r="M309" s="185">
        <v>26.628571428571426</v>
      </c>
      <c r="N309" s="186">
        <v>305</v>
      </c>
      <c r="O309" s="106">
        <v>10602</v>
      </c>
      <c r="P309" s="101"/>
      <c r="Q309" s="219"/>
      <c r="R309" s="220"/>
    </row>
    <row r="310" spans="1:18" ht="13.5" customHeight="1" x14ac:dyDescent="0.15">
      <c r="A310" s="110" t="str">
        <f t="shared" si="4"/>
        <v>107</v>
      </c>
      <c r="B310" s="174">
        <v>10710</v>
      </c>
      <c r="C310" s="175" t="s">
        <v>550</v>
      </c>
      <c r="D310" s="176" t="s">
        <v>684</v>
      </c>
      <c r="E310" s="177">
        <v>72.789100000000005</v>
      </c>
      <c r="F310" s="178">
        <v>307</v>
      </c>
      <c r="G310" s="187">
        <v>10710</v>
      </c>
      <c r="H310" s="188" t="s">
        <v>550</v>
      </c>
      <c r="I310" s="181">
        <v>182</v>
      </c>
      <c r="J310" s="182">
        <v>288</v>
      </c>
      <c r="K310" s="183">
        <v>10710</v>
      </c>
      <c r="L310" s="184" t="s">
        <v>550</v>
      </c>
      <c r="M310" s="185">
        <v>39.185714285714276</v>
      </c>
      <c r="N310" s="186">
        <v>251</v>
      </c>
      <c r="O310" s="106">
        <v>10710</v>
      </c>
      <c r="P310" s="103" t="s">
        <v>550</v>
      </c>
      <c r="Q310" s="219">
        <v>186</v>
      </c>
      <c r="R310" s="220">
        <v>264</v>
      </c>
    </row>
    <row r="311" spans="1:18" ht="13.5" customHeight="1" x14ac:dyDescent="0.15">
      <c r="A311" s="110" t="str">
        <f t="shared" si="4"/>
        <v>109</v>
      </c>
      <c r="B311" s="174">
        <v>10904</v>
      </c>
      <c r="C311" s="175" t="s">
        <v>155</v>
      </c>
      <c r="D311" s="176" t="s">
        <v>680</v>
      </c>
      <c r="E311" s="177">
        <v>74.5</v>
      </c>
      <c r="F311" s="178">
        <v>308</v>
      </c>
      <c r="G311" s="187">
        <v>10904</v>
      </c>
      <c r="H311" s="188" t="s">
        <v>155</v>
      </c>
      <c r="I311" s="181">
        <v>150</v>
      </c>
      <c r="J311" s="182">
        <v>304</v>
      </c>
      <c r="K311" s="183">
        <v>10904</v>
      </c>
      <c r="L311" s="184" t="s">
        <v>155</v>
      </c>
      <c r="M311" s="185">
        <v>27.4</v>
      </c>
      <c r="N311" s="186">
        <v>303</v>
      </c>
      <c r="O311" s="104">
        <v>10904</v>
      </c>
      <c r="P311" s="102"/>
      <c r="Q311" s="219"/>
      <c r="R311" s="220"/>
    </row>
    <row r="312" spans="1:18" ht="13.5" customHeight="1" x14ac:dyDescent="0.15">
      <c r="A312" s="110" t="str">
        <f t="shared" si="4"/>
        <v>108</v>
      </c>
      <c r="B312" s="174">
        <v>10806</v>
      </c>
      <c r="C312" s="175" t="s">
        <v>579</v>
      </c>
      <c r="D312" s="176" t="s">
        <v>687</v>
      </c>
      <c r="E312" s="177">
        <v>75.135099999999994</v>
      </c>
      <c r="F312" s="178">
        <v>309</v>
      </c>
      <c r="G312" s="187">
        <v>10806</v>
      </c>
      <c r="H312" s="188" t="s">
        <v>579</v>
      </c>
      <c r="I312" s="181">
        <v>192</v>
      </c>
      <c r="J312" s="182">
        <v>280</v>
      </c>
      <c r="K312" s="183">
        <v>10806</v>
      </c>
      <c r="L312" s="184" t="s">
        <v>579</v>
      </c>
      <c r="M312" s="185">
        <v>34.428571428571431</v>
      </c>
      <c r="N312" s="186">
        <v>269</v>
      </c>
      <c r="O312" s="104">
        <v>10806</v>
      </c>
      <c r="P312" s="100" t="s">
        <v>579</v>
      </c>
      <c r="Q312" s="219">
        <v>185</v>
      </c>
      <c r="R312" s="220">
        <v>266</v>
      </c>
    </row>
    <row r="313" spans="1:18" ht="13.5" customHeight="1" x14ac:dyDescent="0.15">
      <c r="A313" s="110" t="str">
        <f t="shared" si="4"/>
        <v>110</v>
      </c>
      <c r="B313" s="174">
        <v>11028</v>
      </c>
      <c r="C313" s="175" t="s">
        <v>660</v>
      </c>
      <c r="D313" s="176" t="s">
        <v>680</v>
      </c>
      <c r="E313" s="177">
        <v>76</v>
      </c>
      <c r="F313" s="178">
        <v>310</v>
      </c>
      <c r="G313" s="187">
        <v>11028</v>
      </c>
      <c r="H313" s="188" t="s">
        <v>660</v>
      </c>
      <c r="I313" s="181">
        <v>168</v>
      </c>
      <c r="J313" s="182">
        <v>299</v>
      </c>
      <c r="K313" s="183">
        <v>11028</v>
      </c>
      <c r="L313" s="184" t="s">
        <v>660</v>
      </c>
      <c r="M313" s="185">
        <v>22.414285714285715</v>
      </c>
      <c r="N313" s="186">
        <v>314</v>
      </c>
      <c r="O313" s="104">
        <v>11028</v>
      </c>
      <c r="P313" s="100" t="s">
        <v>660</v>
      </c>
      <c r="Q313" s="219">
        <v>161</v>
      </c>
      <c r="R313" s="220">
        <v>287</v>
      </c>
    </row>
    <row r="314" spans="1:18" ht="13.5" customHeight="1" x14ac:dyDescent="0.15">
      <c r="A314" s="110" t="str">
        <f t="shared" si="4"/>
        <v>110</v>
      </c>
      <c r="B314" s="174">
        <v>11003</v>
      </c>
      <c r="C314" s="175" t="s">
        <v>638</v>
      </c>
      <c r="D314" s="176" t="s">
        <v>689</v>
      </c>
      <c r="E314" s="177">
        <v>76.087000000000003</v>
      </c>
      <c r="F314" s="178">
        <v>311</v>
      </c>
      <c r="G314" s="179">
        <v>11003</v>
      </c>
      <c r="H314" s="180" t="s">
        <v>638</v>
      </c>
      <c r="I314" s="181">
        <v>149</v>
      </c>
      <c r="J314" s="182">
        <v>305</v>
      </c>
      <c r="K314" s="183">
        <v>11003</v>
      </c>
      <c r="L314" s="184" t="s">
        <v>638</v>
      </c>
      <c r="M314" s="185">
        <v>26.614285714285717</v>
      </c>
      <c r="N314" s="186">
        <v>306</v>
      </c>
      <c r="O314" s="104">
        <v>11003</v>
      </c>
      <c r="P314" s="100" t="s">
        <v>638</v>
      </c>
      <c r="Q314" s="219">
        <v>130</v>
      </c>
      <c r="R314" s="220">
        <v>301</v>
      </c>
    </row>
    <row r="315" spans="1:18" ht="13.5" customHeight="1" x14ac:dyDescent="0.15">
      <c r="A315" s="110" t="str">
        <f t="shared" si="4"/>
        <v>109</v>
      </c>
      <c r="B315" s="174">
        <v>10908</v>
      </c>
      <c r="C315" s="175" t="s">
        <v>736</v>
      </c>
      <c r="D315" s="176" t="s">
        <v>682</v>
      </c>
      <c r="E315" s="177">
        <v>77.027000000000001</v>
      </c>
      <c r="F315" s="178">
        <v>312</v>
      </c>
      <c r="G315" s="183"/>
      <c r="H315" s="180"/>
      <c r="I315" s="181"/>
      <c r="J315" s="182"/>
      <c r="K315" s="183">
        <v>10908</v>
      </c>
      <c r="L315" s="184" t="s">
        <v>736</v>
      </c>
      <c r="M315" s="185">
        <v>23.971428571428568</v>
      </c>
      <c r="N315" s="186">
        <v>310</v>
      </c>
      <c r="O315" s="106">
        <v>10908</v>
      </c>
      <c r="P315" s="103"/>
      <c r="Q315" s="219"/>
      <c r="R315" s="220"/>
    </row>
    <row r="316" spans="1:18" ht="13.5" customHeight="1" x14ac:dyDescent="0.15">
      <c r="A316" s="110" t="str">
        <f t="shared" si="4"/>
        <v>108</v>
      </c>
      <c r="B316" s="174">
        <v>10821</v>
      </c>
      <c r="C316" s="175" t="s">
        <v>591</v>
      </c>
      <c r="D316" s="176" t="s">
        <v>689</v>
      </c>
      <c r="E316" s="177">
        <v>77.391300000000001</v>
      </c>
      <c r="F316" s="178">
        <v>313</v>
      </c>
      <c r="G316" s="187">
        <v>10821</v>
      </c>
      <c r="H316" s="188" t="s">
        <v>591</v>
      </c>
      <c r="I316" s="181">
        <v>181</v>
      </c>
      <c r="J316" s="182">
        <v>289</v>
      </c>
      <c r="K316" s="183">
        <v>10821</v>
      </c>
      <c r="L316" s="184" t="s">
        <v>591</v>
      </c>
      <c r="M316" s="185">
        <v>28.87142857142857</v>
      </c>
      <c r="N316" s="186">
        <v>294</v>
      </c>
      <c r="O316" s="104">
        <v>10821</v>
      </c>
      <c r="P316" s="101" t="s">
        <v>591</v>
      </c>
      <c r="Q316" s="219">
        <v>151</v>
      </c>
      <c r="R316" s="220">
        <v>296</v>
      </c>
    </row>
    <row r="317" spans="1:18" ht="13.5" customHeight="1" x14ac:dyDescent="0.15">
      <c r="A317" s="110" t="str">
        <f t="shared" si="4"/>
        <v>107</v>
      </c>
      <c r="B317" s="174">
        <v>10723</v>
      </c>
      <c r="C317" s="175" t="s">
        <v>562</v>
      </c>
      <c r="D317" s="176" t="s">
        <v>689</v>
      </c>
      <c r="E317" s="177">
        <v>78.695700000000002</v>
      </c>
      <c r="F317" s="178">
        <v>314</v>
      </c>
      <c r="G317" s="179">
        <v>10723</v>
      </c>
      <c r="H317" s="180" t="s">
        <v>562</v>
      </c>
      <c r="I317" s="181">
        <v>128</v>
      </c>
      <c r="J317" s="182">
        <v>309</v>
      </c>
      <c r="K317" s="183">
        <v>10723</v>
      </c>
      <c r="L317" s="184" t="s">
        <v>562</v>
      </c>
      <c r="M317" s="185">
        <v>28.214285714285715</v>
      </c>
      <c r="N317" s="186">
        <v>296</v>
      </c>
      <c r="O317" s="106">
        <v>10723</v>
      </c>
      <c r="P317" s="103" t="s">
        <v>562</v>
      </c>
      <c r="Q317" s="219">
        <v>135</v>
      </c>
      <c r="R317" s="220">
        <v>300</v>
      </c>
    </row>
    <row r="318" spans="1:18" ht="13.5" customHeight="1" x14ac:dyDescent="0.15">
      <c r="A318" s="110" t="str">
        <f t="shared" si="4"/>
        <v>106</v>
      </c>
      <c r="B318" s="174">
        <v>10616</v>
      </c>
      <c r="C318" s="175" t="s">
        <v>730</v>
      </c>
      <c r="D318" s="176" t="s">
        <v>682</v>
      </c>
      <c r="E318" s="177">
        <v>79.054100000000005</v>
      </c>
      <c r="F318" s="178">
        <v>315</v>
      </c>
      <c r="G318" s="183"/>
      <c r="H318" s="180"/>
      <c r="I318" s="181"/>
      <c r="J318" s="182"/>
      <c r="K318" s="183">
        <v>10616</v>
      </c>
      <c r="L318" s="184" t="s">
        <v>730</v>
      </c>
      <c r="M318" s="185">
        <v>13.057142857142859</v>
      </c>
      <c r="N318" s="186">
        <v>333</v>
      </c>
      <c r="O318" s="104">
        <v>10616</v>
      </c>
      <c r="P318" s="103"/>
      <c r="Q318" s="219"/>
      <c r="R318" s="220"/>
    </row>
    <row r="319" spans="1:18" ht="13.5" customHeight="1" x14ac:dyDescent="0.15">
      <c r="A319" s="110" t="str">
        <f t="shared" si="4"/>
        <v>105</v>
      </c>
      <c r="B319" s="174">
        <v>10510</v>
      </c>
      <c r="C319" s="175" t="s">
        <v>727</v>
      </c>
      <c r="D319" s="176" t="s">
        <v>682</v>
      </c>
      <c r="E319" s="177">
        <v>79.729699999999994</v>
      </c>
      <c r="F319" s="178">
        <v>316</v>
      </c>
      <c r="G319" s="183"/>
      <c r="H319" s="180"/>
      <c r="I319" s="181"/>
      <c r="J319" s="182"/>
      <c r="K319" s="183">
        <v>10510</v>
      </c>
      <c r="L319" s="184" t="s">
        <v>727</v>
      </c>
      <c r="M319" s="185">
        <v>19</v>
      </c>
      <c r="N319" s="186">
        <v>321</v>
      </c>
      <c r="O319" s="105">
        <v>10510</v>
      </c>
      <c r="P319" s="100"/>
      <c r="Q319" s="219"/>
      <c r="R319" s="220"/>
    </row>
    <row r="320" spans="1:18" ht="13.5" customHeight="1" x14ac:dyDescent="0.15">
      <c r="A320" s="110" t="str">
        <f t="shared" si="4"/>
        <v>104</v>
      </c>
      <c r="B320" s="174">
        <v>10411</v>
      </c>
      <c r="C320" s="175" t="s">
        <v>723</v>
      </c>
      <c r="D320" s="176" t="s">
        <v>710</v>
      </c>
      <c r="E320" s="177">
        <v>80.334699999999998</v>
      </c>
      <c r="F320" s="178">
        <v>317</v>
      </c>
      <c r="G320" s="183"/>
      <c r="H320" s="180"/>
      <c r="I320" s="181"/>
      <c r="J320" s="182"/>
      <c r="K320" s="183">
        <v>10411</v>
      </c>
      <c r="L320" s="184" t="s">
        <v>723</v>
      </c>
      <c r="M320" s="185">
        <v>27.214285714285715</v>
      </c>
      <c r="N320" s="186">
        <v>304</v>
      </c>
      <c r="O320" s="106">
        <v>10411</v>
      </c>
      <c r="P320" s="103"/>
      <c r="Q320" s="219"/>
      <c r="R320" s="220"/>
    </row>
    <row r="321" spans="1:18" ht="13.5" customHeight="1" x14ac:dyDescent="0.15">
      <c r="A321" s="110" t="str">
        <f t="shared" si="4"/>
        <v>103</v>
      </c>
      <c r="B321" s="174">
        <v>10311</v>
      </c>
      <c r="C321" s="175" t="s">
        <v>548</v>
      </c>
      <c r="D321" s="176" t="s">
        <v>682</v>
      </c>
      <c r="E321" s="177">
        <v>80.4054</v>
      </c>
      <c r="F321" s="178">
        <v>318</v>
      </c>
      <c r="G321" s="183"/>
      <c r="H321" s="180"/>
      <c r="I321" s="181"/>
      <c r="J321" s="182"/>
      <c r="K321" s="183">
        <v>10311</v>
      </c>
      <c r="L321" s="184" t="s">
        <v>548</v>
      </c>
      <c r="M321" s="185">
        <v>15.828571428571431</v>
      </c>
      <c r="N321" s="186">
        <v>324</v>
      </c>
      <c r="O321" s="106">
        <v>10311</v>
      </c>
      <c r="P321" s="100"/>
      <c r="Q321" s="219"/>
      <c r="R321" s="220"/>
    </row>
    <row r="322" spans="1:18" ht="13.5" customHeight="1" x14ac:dyDescent="0.15">
      <c r="A322" s="110" t="str">
        <f t="shared" si="4"/>
        <v>102</v>
      </c>
      <c r="B322" s="174">
        <v>10217</v>
      </c>
      <c r="C322" s="175" t="s">
        <v>715</v>
      </c>
      <c r="D322" s="176" t="s">
        <v>712</v>
      </c>
      <c r="E322" s="177">
        <v>83.802800000000005</v>
      </c>
      <c r="F322" s="178">
        <v>319</v>
      </c>
      <c r="G322" s="183"/>
      <c r="H322" s="180"/>
      <c r="I322" s="181"/>
      <c r="J322" s="182"/>
      <c r="K322" s="183">
        <v>10217</v>
      </c>
      <c r="L322" s="184" t="s">
        <v>715</v>
      </c>
      <c r="M322" s="185">
        <v>14.057142857142859</v>
      </c>
      <c r="N322" s="186">
        <v>328</v>
      </c>
      <c r="O322" s="104">
        <v>10217</v>
      </c>
      <c r="P322" s="103"/>
      <c r="Q322" s="219"/>
      <c r="R322" s="220"/>
    </row>
    <row r="323" spans="1:18" ht="13.5" customHeight="1" x14ac:dyDescent="0.15">
      <c r="A323" s="110" t="str">
        <f t="shared" si="4"/>
        <v>101</v>
      </c>
      <c r="B323" s="174">
        <v>10108</v>
      </c>
      <c r="C323" s="175" t="s">
        <v>709</v>
      </c>
      <c r="D323" s="176" t="s">
        <v>710</v>
      </c>
      <c r="E323" s="177">
        <v>84.518799999999999</v>
      </c>
      <c r="F323" s="178">
        <v>320</v>
      </c>
      <c r="G323" s="183"/>
      <c r="H323" s="180"/>
      <c r="I323" s="181"/>
      <c r="J323" s="182"/>
      <c r="K323" s="183">
        <v>10108</v>
      </c>
      <c r="L323" s="184" t="s">
        <v>709</v>
      </c>
      <c r="M323" s="185">
        <v>23.385714285714283</v>
      </c>
      <c r="N323" s="186">
        <v>313</v>
      </c>
      <c r="O323" s="106">
        <v>10108</v>
      </c>
      <c r="P323" s="103"/>
      <c r="Q323" s="219"/>
      <c r="R323" s="220"/>
    </row>
    <row r="324" spans="1:18" ht="13.5" customHeight="1" x14ac:dyDescent="0.15">
      <c r="A324" s="110" t="str">
        <f t="shared" ref="A324:A343" si="5">LEFT(B324,3)</f>
        <v>101</v>
      </c>
      <c r="B324" s="174">
        <v>10122</v>
      </c>
      <c r="C324" s="175" t="s">
        <v>380</v>
      </c>
      <c r="D324" s="176" t="s">
        <v>704</v>
      </c>
      <c r="E324" s="177">
        <v>88.461500000000001</v>
      </c>
      <c r="F324" s="178">
        <v>321</v>
      </c>
      <c r="G324" s="187">
        <v>10122</v>
      </c>
      <c r="H324" s="188" t="s">
        <v>380</v>
      </c>
      <c r="I324" s="181">
        <v>123</v>
      </c>
      <c r="J324" s="182">
        <v>311</v>
      </c>
      <c r="K324" s="183">
        <v>10122</v>
      </c>
      <c r="L324" s="184" t="s">
        <v>380</v>
      </c>
      <c r="M324" s="185">
        <v>15.242857142857144</v>
      </c>
      <c r="N324" s="186">
        <v>327</v>
      </c>
      <c r="O324" s="106">
        <v>10122</v>
      </c>
      <c r="P324" s="103"/>
      <c r="Q324" s="219"/>
      <c r="R324" s="220"/>
    </row>
    <row r="325" spans="1:18" ht="13.5" customHeight="1" x14ac:dyDescent="0.15">
      <c r="A325" s="110" t="str">
        <f t="shared" si="5"/>
        <v>102</v>
      </c>
      <c r="B325" s="174">
        <v>10230</v>
      </c>
      <c r="C325" s="175" t="s">
        <v>716</v>
      </c>
      <c r="D325" s="176" t="s">
        <v>682</v>
      </c>
      <c r="E325" s="177">
        <v>89.1892</v>
      </c>
      <c r="F325" s="178">
        <v>322</v>
      </c>
      <c r="G325" s="183"/>
      <c r="H325" s="180"/>
      <c r="I325" s="181"/>
      <c r="J325" s="182"/>
      <c r="K325" s="183">
        <v>10230</v>
      </c>
      <c r="L325" s="184" t="s">
        <v>716</v>
      </c>
      <c r="M325" s="185">
        <v>15.72857142857143</v>
      </c>
      <c r="N325" s="186">
        <v>326</v>
      </c>
      <c r="O325" s="106">
        <v>10230</v>
      </c>
      <c r="P325" s="100"/>
      <c r="Q325" s="219"/>
      <c r="R325" s="220"/>
    </row>
    <row r="326" spans="1:18" ht="13.5" customHeight="1" x14ac:dyDescent="0.15">
      <c r="A326" s="110" t="str">
        <f t="shared" si="5"/>
        <v>103</v>
      </c>
      <c r="B326" s="174">
        <v>10302</v>
      </c>
      <c r="C326" s="175" t="s">
        <v>717</v>
      </c>
      <c r="D326" s="176" t="s">
        <v>682</v>
      </c>
      <c r="E326" s="177">
        <v>89.864900000000006</v>
      </c>
      <c r="F326" s="178">
        <v>323</v>
      </c>
      <c r="G326" s="183"/>
      <c r="H326" s="180"/>
      <c r="I326" s="181"/>
      <c r="J326" s="182"/>
      <c r="K326" s="183">
        <v>10302</v>
      </c>
      <c r="L326" s="184" t="s">
        <v>717</v>
      </c>
      <c r="M326" s="185">
        <v>19.657142857142855</v>
      </c>
      <c r="N326" s="186">
        <v>317</v>
      </c>
      <c r="O326" s="106">
        <v>10302</v>
      </c>
      <c r="P326" s="103"/>
      <c r="Q326" s="219"/>
      <c r="R326" s="220"/>
    </row>
    <row r="327" spans="1:18" ht="13.5" customHeight="1" x14ac:dyDescent="0.15">
      <c r="A327" s="110" t="str">
        <f t="shared" si="5"/>
        <v>104</v>
      </c>
      <c r="B327" s="174">
        <v>10414</v>
      </c>
      <c r="C327" s="175" t="s">
        <v>724</v>
      </c>
      <c r="D327" s="176" t="s">
        <v>725</v>
      </c>
      <c r="E327" s="177">
        <v>91.304299999999998</v>
      </c>
      <c r="F327" s="178">
        <v>324</v>
      </c>
      <c r="G327" s="183"/>
      <c r="H327" s="180"/>
      <c r="I327" s="181"/>
      <c r="J327" s="182"/>
      <c r="K327" s="183">
        <v>10414</v>
      </c>
      <c r="L327" s="184" t="s">
        <v>724</v>
      </c>
      <c r="M327" s="185">
        <v>20.100000000000001</v>
      </c>
      <c r="N327" s="186">
        <v>316</v>
      </c>
      <c r="O327" s="104">
        <v>10414</v>
      </c>
      <c r="P327" s="103"/>
      <c r="Q327" s="219"/>
      <c r="R327" s="220"/>
    </row>
    <row r="328" spans="1:18" ht="13.5" customHeight="1" x14ac:dyDescent="0.15">
      <c r="A328" s="110" t="str">
        <f t="shared" si="5"/>
        <v>105</v>
      </c>
      <c r="B328" s="174">
        <v>10532</v>
      </c>
      <c r="C328" s="175" t="s">
        <v>728</v>
      </c>
      <c r="D328" s="176" t="s">
        <v>682</v>
      </c>
      <c r="E328" s="177">
        <v>93.243200000000002</v>
      </c>
      <c r="F328" s="178">
        <v>325</v>
      </c>
      <c r="G328" s="183"/>
      <c r="H328" s="180"/>
      <c r="I328" s="181"/>
      <c r="J328" s="182"/>
      <c r="K328" s="183">
        <v>10532</v>
      </c>
      <c r="L328" s="184" t="s">
        <v>728</v>
      </c>
      <c r="M328" s="185">
        <v>13.114285714285716</v>
      </c>
      <c r="N328" s="186">
        <v>331</v>
      </c>
      <c r="O328" s="106">
        <v>10532</v>
      </c>
      <c r="P328" s="100"/>
      <c r="Q328" s="219"/>
      <c r="R328" s="220"/>
    </row>
    <row r="329" spans="1:18" ht="13.5" customHeight="1" x14ac:dyDescent="0.15">
      <c r="A329" s="110" t="str">
        <f t="shared" si="5"/>
        <v>106</v>
      </c>
      <c r="B329" s="174">
        <v>10603</v>
      </c>
      <c r="C329" s="175" t="s">
        <v>362</v>
      </c>
      <c r="D329" s="176" t="s">
        <v>682</v>
      </c>
      <c r="E329" s="177">
        <v>95.270300000000006</v>
      </c>
      <c r="F329" s="178">
        <v>326</v>
      </c>
      <c r="G329" s="183"/>
      <c r="H329" s="180"/>
      <c r="I329" s="181"/>
      <c r="J329" s="182"/>
      <c r="K329" s="183">
        <v>10603</v>
      </c>
      <c r="L329" s="184" t="s">
        <v>362</v>
      </c>
      <c r="M329" s="185">
        <v>12.385714285714288</v>
      </c>
      <c r="N329" s="186">
        <v>335</v>
      </c>
      <c r="O329" s="106">
        <v>10603</v>
      </c>
      <c r="P329" s="101"/>
      <c r="Q329" s="219"/>
      <c r="R329" s="220"/>
    </row>
    <row r="330" spans="1:18" ht="13.5" customHeight="1" x14ac:dyDescent="0.15">
      <c r="A330" s="110" t="str">
        <f t="shared" si="5"/>
        <v>107</v>
      </c>
      <c r="B330" s="174">
        <v>10719</v>
      </c>
      <c r="C330" s="175" t="s">
        <v>558</v>
      </c>
      <c r="D330" s="176" t="s">
        <v>686</v>
      </c>
      <c r="E330" s="177">
        <v>96.123999999999995</v>
      </c>
      <c r="F330" s="178">
        <v>327</v>
      </c>
      <c r="G330" s="187">
        <v>10719</v>
      </c>
      <c r="H330" s="188" t="s">
        <v>558</v>
      </c>
      <c r="I330" s="181">
        <v>66</v>
      </c>
      <c r="J330" s="182">
        <v>322</v>
      </c>
      <c r="K330" s="183">
        <v>10719</v>
      </c>
      <c r="L330" s="184" t="s">
        <v>558</v>
      </c>
      <c r="M330" s="185">
        <v>12.5</v>
      </c>
      <c r="N330" s="186">
        <v>334</v>
      </c>
      <c r="O330" s="106">
        <v>10719</v>
      </c>
      <c r="P330" s="103" t="s">
        <v>558</v>
      </c>
      <c r="Q330" s="219">
        <v>84</v>
      </c>
      <c r="R330" s="220">
        <v>310</v>
      </c>
    </row>
    <row r="331" spans="1:18" ht="13.5" customHeight="1" x14ac:dyDescent="0.15">
      <c r="A331" s="110" t="str">
        <f t="shared" si="5"/>
        <v>108</v>
      </c>
      <c r="B331" s="174">
        <v>10807</v>
      </c>
      <c r="C331" s="175" t="s">
        <v>580</v>
      </c>
      <c r="D331" s="176" t="s">
        <v>686</v>
      </c>
      <c r="E331" s="177">
        <v>96.511600000000001</v>
      </c>
      <c r="F331" s="178">
        <v>328</v>
      </c>
      <c r="G331" s="187">
        <v>10807</v>
      </c>
      <c r="H331" s="188" t="s">
        <v>580</v>
      </c>
      <c r="I331" s="181">
        <v>102</v>
      </c>
      <c r="J331" s="182">
        <v>317</v>
      </c>
      <c r="K331" s="183">
        <v>10807</v>
      </c>
      <c r="L331" s="184" t="s">
        <v>580</v>
      </c>
      <c r="M331" s="185">
        <v>13.799999999999999</v>
      </c>
      <c r="N331" s="186">
        <v>329</v>
      </c>
      <c r="O331" s="106">
        <v>10807</v>
      </c>
      <c r="P331" s="103" t="s">
        <v>580</v>
      </c>
      <c r="Q331" s="219">
        <v>45</v>
      </c>
      <c r="R331" s="220">
        <v>314</v>
      </c>
    </row>
    <row r="332" spans="1:18" ht="13.5" customHeight="1" x14ac:dyDescent="0.15">
      <c r="A332" s="110" t="str">
        <f t="shared" si="5"/>
        <v>101</v>
      </c>
      <c r="B332" s="174">
        <v>10134</v>
      </c>
      <c r="C332" s="175" t="s">
        <v>391</v>
      </c>
      <c r="D332" s="176" t="s">
        <v>713</v>
      </c>
      <c r="E332" s="177"/>
      <c r="F332" s="178" t="s">
        <v>714</v>
      </c>
      <c r="G332" s="187">
        <v>10134</v>
      </c>
      <c r="H332" s="188" t="s">
        <v>391</v>
      </c>
      <c r="I332" s="181">
        <v>114</v>
      </c>
      <c r="J332" s="182">
        <v>312</v>
      </c>
      <c r="K332" s="183">
        <v>10134</v>
      </c>
      <c r="L332" s="184" t="s">
        <v>391</v>
      </c>
      <c r="M332" s="185">
        <v>10.228571428571428</v>
      </c>
      <c r="N332" s="186">
        <v>337</v>
      </c>
      <c r="O332" s="106">
        <v>10134</v>
      </c>
      <c r="P332" s="103"/>
      <c r="Q332" s="219"/>
      <c r="R332" s="220"/>
    </row>
    <row r="333" spans="1:18" ht="13.5" customHeight="1" x14ac:dyDescent="0.15">
      <c r="A333" s="110" t="str">
        <f t="shared" si="5"/>
        <v>110</v>
      </c>
      <c r="B333" s="189">
        <v>11034</v>
      </c>
      <c r="C333" s="175" t="s">
        <v>664</v>
      </c>
      <c r="D333" s="176" t="s">
        <v>695</v>
      </c>
      <c r="E333" s="177"/>
      <c r="F333" s="178" t="s">
        <v>696</v>
      </c>
      <c r="G333" s="187">
        <v>11034</v>
      </c>
      <c r="H333" s="188" t="s">
        <v>664</v>
      </c>
      <c r="I333" s="181">
        <v>256</v>
      </c>
      <c r="J333" s="182">
        <v>151</v>
      </c>
      <c r="K333" s="183">
        <v>11034</v>
      </c>
      <c r="L333" s="184" t="s">
        <v>664</v>
      </c>
      <c r="M333" s="185">
        <v>41</v>
      </c>
      <c r="N333" s="186">
        <v>241</v>
      </c>
      <c r="O333" s="106">
        <v>11034</v>
      </c>
      <c r="P333" s="103" t="s">
        <v>664</v>
      </c>
      <c r="Q333" s="219">
        <v>244</v>
      </c>
      <c r="R333" s="220">
        <v>168</v>
      </c>
    </row>
    <row r="334" spans="1:18" ht="13.5" customHeight="1" x14ac:dyDescent="0.15">
      <c r="A334" s="110" t="str">
        <f t="shared" si="5"/>
        <v>102</v>
      </c>
      <c r="B334" s="174">
        <v>10234</v>
      </c>
      <c r="C334" s="175" t="s">
        <v>423</v>
      </c>
      <c r="D334" s="176" t="s">
        <v>702</v>
      </c>
      <c r="E334" s="177"/>
      <c r="F334" s="178" t="s">
        <v>703</v>
      </c>
      <c r="G334" s="187">
        <v>10234</v>
      </c>
      <c r="H334" s="188" t="s">
        <v>423</v>
      </c>
      <c r="I334" s="181">
        <v>109</v>
      </c>
      <c r="J334" s="182">
        <v>315</v>
      </c>
      <c r="K334" s="183">
        <v>10234</v>
      </c>
      <c r="L334" s="184" t="s">
        <v>423</v>
      </c>
      <c r="M334" s="185">
        <v>24</v>
      </c>
      <c r="N334" s="186">
        <v>309</v>
      </c>
      <c r="O334" s="106">
        <v>10234</v>
      </c>
      <c r="P334" s="103" t="s">
        <v>423</v>
      </c>
      <c r="Q334" s="219">
        <v>122</v>
      </c>
      <c r="R334" s="220">
        <v>304</v>
      </c>
    </row>
    <row r="335" spans="1:18" ht="13.5" customHeight="1" x14ac:dyDescent="0.15">
      <c r="A335" s="110" t="str">
        <f t="shared" si="5"/>
        <v>103</v>
      </c>
      <c r="B335" s="174">
        <v>10304</v>
      </c>
      <c r="C335" s="175" t="s">
        <v>426</v>
      </c>
      <c r="D335" s="176" t="s">
        <v>718</v>
      </c>
      <c r="E335" s="177"/>
      <c r="F335" s="178" t="s">
        <v>719</v>
      </c>
      <c r="G335" s="187">
        <v>10304</v>
      </c>
      <c r="H335" s="188" t="s">
        <v>426</v>
      </c>
      <c r="I335" s="181">
        <v>103</v>
      </c>
      <c r="J335" s="182">
        <v>316</v>
      </c>
      <c r="K335" s="183">
        <v>10304</v>
      </c>
      <c r="L335" s="184" t="s">
        <v>426</v>
      </c>
      <c r="M335" s="185">
        <v>15.828571428571431</v>
      </c>
      <c r="N335" s="186">
        <v>324</v>
      </c>
      <c r="O335" s="106">
        <v>10304</v>
      </c>
      <c r="P335" s="103"/>
      <c r="Q335" s="219"/>
      <c r="R335" s="220"/>
    </row>
    <row r="336" spans="1:18" ht="13.5" customHeight="1" x14ac:dyDescent="0.15">
      <c r="A336" s="110" t="str">
        <f t="shared" si="5"/>
        <v>104</v>
      </c>
      <c r="B336" s="174">
        <v>10404</v>
      </c>
      <c r="C336" s="175" t="s">
        <v>720</v>
      </c>
      <c r="D336" s="176" t="s">
        <v>721</v>
      </c>
      <c r="E336" s="177"/>
      <c r="F336" s="178" t="s">
        <v>722</v>
      </c>
      <c r="G336" s="183"/>
      <c r="H336" s="180"/>
      <c r="I336" s="181"/>
      <c r="J336" s="182"/>
      <c r="K336" s="183">
        <v>10404</v>
      </c>
      <c r="L336" s="184" t="s">
        <v>720</v>
      </c>
      <c r="M336" s="185"/>
      <c r="N336" s="186" t="e">
        <v>#N/A</v>
      </c>
      <c r="O336" s="106">
        <v>10404</v>
      </c>
      <c r="P336" s="103"/>
      <c r="Q336" s="219"/>
      <c r="R336" s="220"/>
    </row>
    <row r="337" spans="1:18" ht="13.5" customHeight="1" x14ac:dyDescent="0.15">
      <c r="A337" s="110" t="str">
        <f t="shared" si="5"/>
        <v>105</v>
      </c>
      <c r="B337" s="174">
        <v>10501</v>
      </c>
      <c r="C337" s="175" t="s">
        <v>481</v>
      </c>
      <c r="D337" s="176" t="s">
        <v>707</v>
      </c>
      <c r="E337" s="177"/>
      <c r="F337" s="178" t="s">
        <v>708</v>
      </c>
      <c r="G337" s="179">
        <v>10501</v>
      </c>
      <c r="H337" s="180" t="s">
        <v>481</v>
      </c>
      <c r="I337" s="181">
        <v>83</v>
      </c>
      <c r="J337" s="182">
        <v>320</v>
      </c>
      <c r="K337" s="183">
        <v>10501</v>
      </c>
      <c r="L337" s="184" t="s">
        <v>481</v>
      </c>
      <c r="M337" s="185">
        <v>13.242857142857144</v>
      </c>
      <c r="N337" s="186">
        <v>330</v>
      </c>
      <c r="O337" s="105">
        <v>10501</v>
      </c>
      <c r="P337" s="102" t="s">
        <v>481</v>
      </c>
      <c r="Q337" s="219">
        <v>83</v>
      </c>
      <c r="R337" s="220">
        <v>312</v>
      </c>
    </row>
    <row r="338" spans="1:18" ht="13.5" customHeight="1" x14ac:dyDescent="0.15">
      <c r="A338" s="110" t="str">
        <f t="shared" si="5"/>
        <v>106</v>
      </c>
      <c r="B338" s="174">
        <v>10622</v>
      </c>
      <c r="C338" s="175" t="s">
        <v>529</v>
      </c>
      <c r="D338" s="176" t="s">
        <v>731</v>
      </c>
      <c r="E338" s="177"/>
      <c r="F338" s="178" t="s">
        <v>732</v>
      </c>
      <c r="G338" s="179">
        <v>10622</v>
      </c>
      <c r="H338" s="180" t="s">
        <v>529</v>
      </c>
      <c r="I338" s="181">
        <v>69</v>
      </c>
      <c r="J338" s="182">
        <v>321</v>
      </c>
      <c r="K338" s="183">
        <v>10622</v>
      </c>
      <c r="L338" s="184" t="s">
        <v>529</v>
      </c>
      <c r="M338" s="185">
        <v>9.8142857142857132</v>
      </c>
      <c r="N338" s="186">
        <v>338</v>
      </c>
      <c r="O338" s="106">
        <v>10622</v>
      </c>
      <c r="P338" s="102"/>
      <c r="Q338" s="219"/>
      <c r="R338" s="220"/>
    </row>
    <row r="339" spans="1:18" ht="13.5" customHeight="1" x14ac:dyDescent="0.15">
      <c r="A339" s="110" t="str">
        <f t="shared" si="5"/>
        <v>107</v>
      </c>
      <c r="B339" s="174">
        <v>10729</v>
      </c>
      <c r="C339" s="175" t="s">
        <v>568</v>
      </c>
      <c r="D339" s="176" t="s">
        <v>733</v>
      </c>
      <c r="E339" s="177"/>
      <c r="F339" s="178" t="s">
        <v>734</v>
      </c>
      <c r="G339" s="187">
        <v>10729</v>
      </c>
      <c r="H339" s="188" t="s">
        <v>568</v>
      </c>
      <c r="I339" s="181">
        <v>90</v>
      </c>
      <c r="J339" s="182">
        <v>319</v>
      </c>
      <c r="K339" s="183">
        <v>10729</v>
      </c>
      <c r="L339" s="184" t="s">
        <v>568</v>
      </c>
      <c r="M339" s="185">
        <v>12.385714285714286</v>
      </c>
      <c r="N339" s="186">
        <v>336</v>
      </c>
      <c r="O339" s="106">
        <v>10729</v>
      </c>
      <c r="P339" s="101"/>
      <c r="Q339" s="219"/>
      <c r="R339" s="220"/>
    </row>
    <row r="340" spans="1:18" ht="13.5" customHeight="1" x14ac:dyDescent="0.15">
      <c r="A340" s="110" t="str">
        <f t="shared" si="5"/>
        <v>108</v>
      </c>
      <c r="B340" s="174">
        <v>10808</v>
      </c>
      <c r="C340" s="175" t="s">
        <v>581</v>
      </c>
      <c r="D340" s="176" t="s">
        <v>700</v>
      </c>
      <c r="E340" s="177"/>
      <c r="F340" s="178" t="s">
        <v>706</v>
      </c>
      <c r="G340" s="187">
        <v>10808</v>
      </c>
      <c r="H340" s="188" t="s">
        <v>581</v>
      </c>
      <c r="I340" s="181">
        <v>96</v>
      </c>
      <c r="J340" s="182">
        <v>318</v>
      </c>
      <c r="K340" s="183">
        <v>10808</v>
      </c>
      <c r="L340" s="184" t="s">
        <v>581</v>
      </c>
      <c r="M340" s="185">
        <v>13.099999999999998</v>
      </c>
      <c r="N340" s="186">
        <v>332</v>
      </c>
      <c r="O340" s="106">
        <v>10808</v>
      </c>
      <c r="P340" s="103" t="s">
        <v>581</v>
      </c>
      <c r="Q340" s="219">
        <v>84</v>
      </c>
      <c r="R340" s="220">
        <v>310</v>
      </c>
    </row>
    <row r="341" spans="1:18" ht="13.5" customHeight="1" x14ac:dyDescent="0.15">
      <c r="A341" s="110" t="str">
        <f t="shared" si="5"/>
        <v>109</v>
      </c>
      <c r="B341" s="174">
        <v>10925</v>
      </c>
      <c r="C341" s="175" t="s">
        <v>626</v>
      </c>
      <c r="D341" s="176" t="s">
        <v>700</v>
      </c>
      <c r="E341" s="177"/>
      <c r="F341" s="178" t="s">
        <v>701</v>
      </c>
      <c r="G341" s="179">
        <v>10925</v>
      </c>
      <c r="H341" s="180" t="s">
        <v>626</v>
      </c>
      <c r="I341" s="181">
        <v>129</v>
      </c>
      <c r="J341" s="182">
        <v>308</v>
      </c>
      <c r="K341" s="183">
        <v>10925</v>
      </c>
      <c r="L341" s="184" t="s">
        <v>626</v>
      </c>
      <c r="M341" s="185">
        <v>16.899999999999999</v>
      </c>
      <c r="N341" s="186">
        <v>323</v>
      </c>
      <c r="O341" s="106">
        <v>10925</v>
      </c>
      <c r="P341" s="103" t="s">
        <v>626</v>
      </c>
      <c r="Q341" s="219">
        <v>191</v>
      </c>
      <c r="R341" s="220">
        <v>258</v>
      </c>
    </row>
    <row r="342" spans="1:18" ht="13.5" customHeight="1" x14ac:dyDescent="0.15">
      <c r="A342" s="110" t="str">
        <f t="shared" si="5"/>
        <v>109</v>
      </c>
      <c r="B342" s="174">
        <v>10918</v>
      </c>
      <c r="C342" s="200" t="s">
        <v>619</v>
      </c>
      <c r="D342" s="176"/>
      <c r="E342" s="177"/>
      <c r="F342" s="178"/>
      <c r="G342" s="187">
        <v>10918</v>
      </c>
      <c r="H342" s="188" t="s">
        <v>619</v>
      </c>
      <c r="I342" s="181">
        <v>233</v>
      </c>
      <c r="J342" s="182">
        <v>201</v>
      </c>
      <c r="K342" s="183">
        <v>10918</v>
      </c>
      <c r="L342" s="184" t="s">
        <v>619</v>
      </c>
      <c r="M342" s="185">
        <v>47.25714285714286</v>
      </c>
      <c r="N342" s="186">
        <v>186</v>
      </c>
      <c r="O342" s="106">
        <v>10918</v>
      </c>
      <c r="P342" s="103" t="s">
        <v>619</v>
      </c>
      <c r="Q342" s="219">
        <v>262</v>
      </c>
      <c r="R342" s="220">
        <v>145</v>
      </c>
    </row>
    <row r="343" spans="1:18" ht="13.5" customHeight="1" thickBot="1" x14ac:dyDescent="0.2">
      <c r="A343" s="201" t="str">
        <f t="shared" si="5"/>
        <v>110</v>
      </c>
      <c r="B343" s="202">
        <v>11001</v>
      </c>
      <c r="C343" s="203" t="s">
        <v>697</v>
      </c>
      <c r="D343" s="204"/>
      <c r="E343" s="205"/>
      <c r="F343" s="206"/>
      <c r="G343" s="222">
        <v>11001</v>
      </c>
      <c r="H343" s="224" t="s">
        <v>636</v>
      </c>
      <c r="I343" s="208">
        <v>307</v>
      </c>
      <c r="J343" s="209">
        <v>69</v>
      </c>
      <c r="K343" s="207">
        <v>11001</v>
      </c>
      <c r="L343" s="210" t="s">
        <v>636</v>
      </c>
      <c r="M343" s="211">
        <v>68.7</v>
      </c>
      <c r="N343" s="212">
        <v>77</v>
      </c>
      <c r="O343" s="106">
        <v>11001</v>
      </c>
      <c r="P343" s="103" t="s">
        <v>636</v>
      </c>
      <c r="Q343" s="219">
        <v>239</v>
      </c>
      <c r="R343" s="220">
        <v>176</v>
      </c>
    </row>
  </sheetData>
  <autoFilter ref="A3:R3" xr:uid="{00000000-0009-0000-0000-00000D000000}">
    <sortState ref="A5:R343">
      <sortCondition ref="F3"/>
    </sortState>
  </autoFilter>
  <mergeCells count="9">
    <mergeCell ref="K2:N2"/>
    <mergeCell ref="O2:R2"/>
    <mergeCell ref="A1:R1"/>
    <mergeCell ref="A2:A3"/>
    <mergeCell ref="B2:B3"/>
    <mergeCell ref="C2:C3"/>
    <mergeCell ref="D2:D3"/>
    <mergeCell ref="E2:F2"/>
    <mergeCell ref="G2:J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10</vt:i4>
      </vt:variant>
    </vt:vector>
  </HeadingPairs>
  <TitlesOfParts>
    <vt:vector size="24" baseType="lpstr">
      <vt:lpstr>3-6</vt:lpstr>
      <vt:lpstr>3-7</vt:lpstr>
      <vt:lpstr>3-8</vt:lpstr>
      <vt:lpstr>3-9</vt:lpstr>
      <vt:lpstr>3-10</vt:lpstr>
      <vt:lpstr>예상등급</vt:lpstr>
      <vt:lpstr>예상점수</vt:lpstr>
      <vt:lpstr>06 회 - 6월 16일 부산시교육청_2학년_원점수_석차</vt:lpstr>
      <vt:lpstr>3-2</vt:lpstr>
      <vt:lpstr>3-3</vt:lpstr>
      <vt:lpstr>3-4</vt:lpstr>
      <vt:lpstr>반별성적분포</vt:lpstr>
      <vt:lpstr>예상등급컷</vt:lpstr>
      <vt:lpstr>전체성적변동</vt:lpstr>
      <vt:lpstr>'3-10'!Print_Area</vt:lpstr>
      <vt:lpstr>'3-2'!Print_Area</vt:lpstr>
      <vt:lpstr>'3-3'!Print_Area</vt:lpstr>
      <vt:lpstr>'3-4'!Print_Area</vt:lpstr>
      <vt:lpstr>'3-6'!Print_Area</vt:lpstr>
      <vt:lpstr>'3-7'!Print_Area</vt:lpstr>
      <vt:lpstr>'3-8'!Print_Area</vt:lpstr>
      <vt:lpstr>'3-9'!Print_Area</vt:lpstr>
      <vt:lpstr>예상등급!Print_Area</vt:lpstr>
      <vt:lpstr>예상점수!Print_Area</vt:lpstr>
    </vt:vector>
  </TitlesOfParts>
  <Company>erickbc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현표</dc:creator>
  <cp:lastModifiedBy>이하은</cp:lastModifiedBy>
  <cp:lastPrinted>2019-03-08T06:26:56Z</cp:lastPrinted>
  <dcterms:created xsi:type="dcterms:W3CDTF">2009-09-29T23:00:52Z</dcterms:created>
  <dcterms:modified xsi:type="dcterms:W3CDTF">2026-03-25T01:30:56Z</dcterms:modified>
</cp:coreProperties>
</file>