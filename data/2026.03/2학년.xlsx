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\"/>
    </mc:Choice>
  </mc:AlternateContent>
  <xr:revisionPtr revIDLastSave="0" documentId="13_ncr:1_{FDA01C25-945F-431E-8E0E-9EDF1BCE5522}" xr6:coauthVersionLast="47" xr6:coauthVersionMax="47" xr10:uidLastSave="{00000000-0000-0000-0000-000000000000}"/>
  <bookViews>
    <workbookView xWindow="-98" yWindow="-98" windowWidth="20715" windowHeight="13155" xr2:uid="{6C3E54B2-4CA9-4F1E-A2A2-422596AD13F2}"/>
  </bookViews>
  <sheets>
    <sheet name="2학년 3월 모의고사" sheetId="1" r:id="rId1"/>
  </sheets>
  <externalReferences>
    <externalReference r:id="rId2"/>
    <externalReference r:id="rId3"/>
  </externalReferences>
  <definedNames>
    <definedName name="_xlnm._FilterDatabase" localSheetId="0" hidden="1">'2학년 3월 모의고사'!$A$3:$S$258</definedName>
    <definedName name="a">[1]인문!#REF!</definedName>
    <definedName name="n" localSheetId="0">[1]인문!#REF!</definedName>
    <definedName name="n">[1]인문!#REF!</definedName>
    <definedName name="nn">[1]인문!#REF!</definedName>
    <definedName name="선택">[2]선택과목명!$A$1:$A$3</definedName>
    <definedName name="탐구">[2]선택과목명!$B$2:$B$4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" i="1" l="1"/>
  <c r="X7" i="1"/>
  <c r="X8" i="1"/>
  <c r="X10" i="1"/>
  <c r="X4" i="1"/>
  <c r="X6" i="1"/>
  <c r="X9" i="1"/>
  <c r="X5" i="1"/>
  <c r="X12" i="1"/>
  <c r="AB10" i="1"/>
  <c r="AB9" i="1"/>
  <c r="AB5" i="1"/>
  <c r="AB7" i="1"/>
  <c r="AB12" i="1"/>
  <c r="AB6" i="1"/>
  <c r="AB8" i="1"/>
  <c r="AB4" i="1"/>
  <c r="AB11" i="1"/>
  <c r="Y7" i="1"/>
  <c r="Y10" i="1"/>
  <c r="Y4" i="1"/>
  <c r="Y12" i="1"/>
  <c r="Y8" i="1"/>
  <c r="Y5" i="1"/>
  <c r="Y11" i="1"/>
  <c r="Y9" i="1"/>
  <c r="Y6" i="1"/>
  <c r="Z11" i="1"/>
  <c r="Z7" i="1"/>
  <c r="Z5" i="1"/>
  <c r="Z9" i="1"/>
  <c r="Z8" i="1"/>
  <c r="Z4" i="1"/>
  <c r="Z6" i="1"/>
  <c r="Z12" i="1"/>
  <c r="Z10" i="1"/>
  <c r="W8" i="1"/>
  <c r="W10" i="1"/>
  <c r="W7" i="1"/>
  <c r="W5" i="1"/>
  <c r="W6" i="1"/>
  <c r="W11" i="1"/>
  <c r="W12" i="1"/>
  <c r="W9" i="1"/>
  <c r="W4" i="1"/>
  <c r="AA7" i="1"/>
  <c r="AA6" i="1"/>
  <c r="AA9" i="1"/>
  <c r="AA4" i="1"/>
  <c r="AA8" i="1"/>
  <c r="AA11" i="1"/>
  <c r="AA5" i="1"/>
  <c r="AA12" i="1"/>
  <c r="AA10" i="1"/>
  <c r="Z13" i="1" l="1"/>
  <c r="Z25" i="1" s="1"/>
  <c r="AA13" i="1"/>
  <c r="AA18" i="1" s="1"/>
  <c r="Y13" i="1"/>
  <c r="Y23" i="1" s="1"/>
  <c r="AB13" i="1"/>
  <c r="AB19" i="1" s="1"/>
  <c r="Z23" i="1"/>
  <c r="AA19" i="1"/>
  <c r="W13" i="1"/>
  <c r="W20" i="1" s="1"/>
  <c r="X13" i="1"/>
  <c r="X21" i="1" s="1"/>
  <c r="X18" i="1"/>
  <c r="Z18" i="1" l="1"/>
  <c r="AB22" i="1"/>
  <c r="W18" i="1"/>
  <c r="X20" i="1"/>
  <c r="AB18" i="1"/>
  <c r="AA23" i="1"/>
  <c r="X25" i="1"/>
  <c r="W23" i="1"/>
  <c r="Z22" i="1"/>
  <c r="AA26" i="1"/>
  <c r="X19" i="1"/>
  <c r="Y19" i="1"/>
  <c r="Y18" i="1"/>
  <c r="AA24" i="1"/>
  <c r="X26" i="1"/>
  <c r="X24" i="1"/>
  <c r="Y24" i="1"/>
  <c r="AB20" i="1"/>
  <c r="Z21" i="1"/>
  <c r="W22" i="1"/>
  <c r="W26" i="1"/>
  <c r="W24" i="1"/>
  <c r="AA22" i="1"/>
  <c r="W21" i="1"/>
  <c r="X23" i="1"/>
  <c r="W19" i="1"/>
  <c r="Y22" i="1"/>
  <c r="AA25" i="1"/>
  <c r="Y21" i="1"/>
  <c r="Y20" i="1"/>
  <c r="Z20" i="1"/>
  <c r="Z26" i="1"/>
  <c r="Y25" i="1"/>
  <c r="Y26" i="1"/>
  <c r="Z24" i="1"/>
  <c r="AB24" i="1"/>
  <c r="Z19" i="1"/>
  <c r="X22" i="1"/>
  <c r="AB23" i="1"/>
  <c r="AB25" i="1"/>
  <c r="AA21" i="1"/>
  <c r="AB21" i="1"/>
  <c r="W25" i="1"/>
  <c r="AB26" i="1"/>
  <c r="AA20" i="1"/>
  <c r="AA27" i="1" l="1"/>
  <c r="X27" i="1"/>
  <c r="Z27" i="1"/>
  <c r="AB27" i="1"/>
  <c r="W27" i="1"/>
  <c r="Y27" i="1"/>
</calcChain>
</file>

<file path=xl/sharedStrings.xml><?xml version="1.0" encoding="utf-8"?>
<sst xmlns="http://schemas.openxmlformats.org/spreadsheetml/2006/main" count="319" uniqueCount="280">
  <si>
    <r>
      <rPr>
        <b/>
        <sz val="16"/>
        <color rgb="FF000000"/>
        <rFont val="Calibri"/>
        <family val="3"/>
      </rPr>
      <t>2026</t>
    </r>
    <r>
      <rPr>
        <b/>
        <sz val="16"/>
        <color rgb="FF000000"/>
        <rFont val="돋움"/>
        <family val="3"/>
        <charset val="134"/>
      </rPr>
      <t>학년도</t>
    </r>
    <r>
      <rPr>
        <b/>
        <sz val="15"/>
        <color theme="1"/>
        <rFont val="Calibri"/>
        <family val="2"/>
      </rPr>
      <t xml:space="preserve"> 3</t>
    </r>
    <r>
      <rPr>
        <b/>
        <sz val="15"/>
        <color theme="1"/>
        <rFont val="맑은 고딕"/>
        <family val="3"/>
        <charset val="129"/>
      </rPr>
      <t>월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전국연합학력평가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성적일람표(2학년)</t>
    </r>
    <phoneticPr fontId="8" type="noConversion"/>
  </si>
  <si>
    <t>학급</t>
    <phoneticPr fontId="8" type="noConversion"/>
  </si>
  <si>
    <t>학번</t>
    <phoneticPr fontId="8" type="noConversion"/>
  </si>
  <si>
    <t>이름</t>
    <phoneticPr fontId="8" type="noConversion"/>
  </si>
  <si>
    <t>국어</t>
    <phoneticPr fontId="8" type="noConversion"/>
  </si>
  <si>
    <t>수학</t>
    <phoneticPr fontId="8" type="noConversion"/>
  </si>
  <si>
    <r>
      <rPr>
        <b/>
        <sz val="10"/>
        <color rgb="FF000000"/>
        <rFont val="굴림"/>
        <family val="3"/>
        <charset val="129"/>
      </rPr>
      <t>영</t>
    </r>
    <r>
      <rPr>
        <b/>
        <sz val="10"/>
        <color rgb="FF000000"/>
        <rFont val="굴림"/>
        <family val="3"/>
        <charset val="129"/>
      </rPr>
      <t>어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</si>
  <si>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국수영
등급
평균</t>
    <phoneticPr fontId="8" type="noConversion"/>
  </si>
  <si>
    <r>
      <rPr>
        <b/>
        <sz val="8"/>
        <color rgb="FF000000"/>
        <rFont val="굴림"/>
        <family val="3"/>
        <charset val="129"/>
      </rPr>
      <t>한국사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</si>
  <si>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사회탐구</t>
    <phoneticPr fontId="17" type="noConversion"/>
  </si>
  <si>
    <t>과학탐구</t>
    <phoneticPr fontId="17" type="noConversion"/>
  </si>
  <si>
    <t>점수
합</t>
    <phoneticPr fontId="8" type="noConversion"/>
  </si>
  <si>
    <t>점수합
순위</t>
    <phoneticPr fontId="17" type="noConversion"/>
  </si>
  <si>
    <t>등급평균
(국영수+탐구)</t>
    <phoneticPr fontId="8" type="noConversion"/>
  </si>
  <si>
    <t>원점수</t>
    <phoneticPr fontId="8" type="noConversion"/>
  </si>
  <si>
    <t>등급</t>
    <phoneticPr fontId="8" type="noConversion"/>
  </si>
  <si>
    <t>점수</t>
    <phoneticPr fontId="7" type="noConversion"/>
  </si>
  <si>
    <t>점수</t>
    <phoneticPr fontId="8" type="noConversion"/>
  </si>
  <si>
    <t>예상
등급</t>
    <phoneticPr fontId="17" type="noConversion"/>
  </si>
  <si>
    <t>국어</t>
    <phoneticPr fontId="17" type="noConversion"/>
  </si>
  <si>
    <t>수학</t>
    <phoneticPr fontId="17" type="noConversion"/>
  </si>
  <si>
    <t>영어</t>
    <phoneticPr fontId="17" type="noConversion"/>
  </si>
  <si>
    <t>한국사</t>
    <phoneticPr fontId="17" type="noConversion"/>
  </si>
  <si>
    <t>과학탐구</t>
    <phoneticPr fontId="7" type="noConversion"/>
  </si>
  <si>
    <t>고태윤</t>
  </si>
  <si>
    <t>등급</t>
    <phoneticPr fontId="17" type="noConversion"/>
  </si>
  <si>
    <t>김동빈</t>
  </si>
  <si>
    <t>김동하</t>
  </si>
  <si>
    <t>김위영</t>
  </si>
  <si>
    <t>김유민</t>
  </si>
  <si>
    <t>김정훈</t>
  </si>
  <si>
    <t>김지견</t>
  </si>
  <si>
    <t>김진서</t>
  </si>
  <si>
    <t>김하율</t>
  </si>
  <si>
    <t>남서진</t>
  </si>
  <si>
    <t>응시자</t>
    <phoneticPr fontId="17" type="noConversion"/>
  </si>
  <si>
    <t>노경빈</t>
  </si>
  <si>
    <t>문주성</t>
  </si>
  <si>
    <t>송하림</t>
  </si>
  <si>
    <t>예상
등급</t>
  </si>
  <si>
    <t>국어</t>
  </si>
  <si>
    <t>신예율</t>
  </si>
  <si>
    <t>양민규</t>
  </si>
  <si>
    <t>양하민</t>
  </si>
  <si>
    <t>오태규</t>
  </si>
  <si>
    <t>이도훈</t>
  </si>
  <si>
    <t>이여명</t>
  </si>
  <si>
    <t>이윤찬</t>
  </si>
  <si>
    <t>임지후</t>
  </si>
  <si>
    <t>장선우</t>
  </si>
  <si>
    <t>전재웅</t>
  </si>
  <si>
    <t>정주호</t>
  </si>
  <si>
    <t>권정우</t>
  </si>
  <si>
    <t>김건우</t>
  </si>
  <si>
    <t>김도현</t>
  </si>
  <si>
    <t>김동영</t>
  </si>
  <si>
    <t>김륜환</t>
  </si>
  <si>
    <t>김산</t>
  </si>
  <si>
    <t>김지훈</t>
  </si>
  <si>
    <t>김태현</t>
  </si>
  <si>
    <t>노승원</t>
  </si>
  <si>
    <t>류동하</t>
  </si>
  <si>
    <t>박세현</t>
  </si>
  <si>
    <t>배주현</t>
  </si>
  <si>
    <t>배진우</t>
  </si>
  <si>
    <t>백헌우</t>
  </si>
  <si>
    <t>서희</t>
  </si>
  <si>
    <t>석지훈</t>
  </si>
  <si>
    <t>송지안</t>
  </si>
  <si>
    <t>유건후</t>
  </si>
  <si>
    <t>이민재</t>
  </si>
  <si>
    <t>이성원</t>
  </si>
  <si>
    <t>이준빈</t>
  </si>
  <si>
    <t>임희재</t>
  </si>
  <si>
    <t>전현승</t>
  </si>
  <si>
    <t>조찬형</t>
  </si>
  <si>
    <t>한승현</t>
  </si>
  <si>
    <t>황강현</t>
  </si>
  <si>
    <t>강승수</t>
  </si>
  <si>
    <t>강태훈</t>
  </si>
  <si>
    <t>권유세</t>
  </si>
  <si>
    <t>김상언</t>
  </si>
  <si>
    <t>김의엽</t>
  </si>
  <si>
    <t>김지호</t>
  </si>
  <si>
    <t>김태연</t>
  </si>
  <si>
    <t>김하준</t>
  </si>
  <si>
    <t>나상원</t>
  </si>
  <si>
    <t>류승엽</t>
  </si>
  <si>
    <t>박주영</t>
  </si>
  <si>
    <t>박지호</t>
  </si>
  <si>
    <t>송시영</t>
  </si>
  <si>
    <t>신재민</t>
  </si>
  <si>
    <t>심재준</t>
  </si>
  <si>
    <t>양하율</t>
  </si>
  <si>
    <t>이윤건</t>
  </si>
  <si>
    <t>이의찬</t>
  </si>
  <si>
    <t>이지후</t>
  </si>
  <si>
    <t>임도윤</t>
  </si>
  <si>
    <t>임우진</t>
  </si>
  <si>
    <t>정건</t>
  </si>
  <si>
    <t>최경호</t>
  </si>
  <si>
    <t>최종윤</t>
  </si>
  <si>
    <t>최현빈</t>
  </si>
  <si>
    <t>강경모</t>
  </si>
  <si>
    <t>김도건</t>
  </si>
  <si>
    <t>김도경</t>
  </si>
  <si>
    <t>김여량</t>
  </si>
  <si>
    <t>김율</t>
  </si>
  <si>
    <t>김재원</t>
  </si>
  <si>
    <t>김재하</t>
  </si>
  <si>
    <t>김준서</t>
  </si>
  <si>
    <t>노은우</t>
  </si>
  <si>
    <t>박도영</t>
  </si>
  <si>
    <t>배준원</t>
  </si>
  <si>
    <t>유준환</t>
  </si>
  <si>
    <t>윤성현</t>
  </si>
  <si>
    <t>이강민</t>
  </si>
  <si>
    <t>이건호</t>
  </si>
  <si>
    <t>이민우</t>
  </si>
  <si>
    <t>이승문</t>
  </si>
  <si>
    <t>이유태</t>
  </si>
  <si>
    <t>이재화</t>
  </si>
  <si>
    <t>이지환</t>
  </si>
  <si>
    <t>장재원</t>
  </si>
  <si>
    <t>장희원</t>
  </si>
  <si>
    <t>최지훈</t>
  </si>
  <si>
    <t>피민우</t>
  </si>
  <si>
    <t>한서준</t>
  </si>
  <si>
    <t>허단</t>
  </si>
  <si>
    <t>강민수</t>
  </si>
  <si>
    <t>권도겸</t>
  </si>
  <si>
    <t>김가온</t>
  </si>
  <si>
    <t>김상진</t>
  </si>
  <si>
    <t>김영현</t>
  </si>
  <si>
    <t>김우진</t>
  </si>
  <si>
    <t>김운</t>
  </si>
  <si>
    <t>김주호</t>
  </si>
  <si>
    <t>류현수</t>
  </si>
  <si>
    <t>백솔진</t>
  </si>
  <si>
    <t>서범국</t>
  </si>
  <si>
    <t>오민재</t>
  </si>
  <si>
    <t>유현준</t>
  </si>
  <si>
    <t>유휘연</t>
  </si>
  <si>
    <t>이담이</t>
  </si>
  <si>
    <t>이서진</t>
  </si>
  <si>
    <t>장석원</t>
  </si>
  <si>
    <t>장예준</t>
  </si>
  <si>
    <t>조민석</t>
  </si>
  <si>
    <t>조영준</t>
  </si>
  <si>
    <t>조재형</t>
  </si>
  <si>
    <t>조호근</t>
  </si>
  <si>
    <t>최창인</t>
  </si>
  <si>
    <t>함기선</t>
  </si>
  <si>
    <t>홍건준</t>
  </si>
  <si>
    <t>황인우</t>
  </si>
  <si>
    <t>황해성</t>
  </si>
  <si>
    <t>김나연</t>
  </si>
  <si>
    <t>김민채</t>
  </si>
  <si>
    <t>김서정</t>
  </si>
  <si>
    <t>김승아</t>
  </si>
  <si>
    <t>나하선</t>
  </si>
  <si>
    <t>문서을</t>
  </si>
  <si>
    <t>박예리</t>
  </si>
  <si>
    <t>박윤주</t>
  </si>
  <si>
    <t>배자람</t>
  </si>
  <si>
    <t>서지영</t>
  </si>
  <si>
    <t>소하연</t>
  </si>
  <si>
    <t>신이솔</t>
  </si>
  <si>
    <t>엄세민</t>
  </si>
  <si>
    <t>오솔미</t>
  </si>
  <si>
    <t>오송연</t>
  </si>
  <si>
    <t>유신비</t>
  </si>
  <si>
    <t>윤다경</t>
  </si>
  <si>
    <t>이예진</t>
  </si>
  <si>
    <t>이주아</t>
  </si>
  <si>
    <t>이지은</t>
  </si>
  <si>
    <t>임희경</t>
  </si>
  <si>
    <t>장지현</t>
  </si>
  <si>
    <t>조아람</t>
  </si>
  <si>
    <t>최서윤</t>
  </si>
  <si>
    <t>홍지우</t>
  </si>
  <si>
    <t>권시은</t>
  </si>
  <si>
    <t>김영선</t>
  </si>
  <si>
    <t>김예리</t>
  </si>
  <si>
    <t>김은혜</t>
  </si>
  <si>
    <t>박서연</t>
  </si>
  <si>
    <t>서효민</t>
  </si>
  <si>
    <t>서효원</t>
  </si>
  <si>
    <t>선윤아</t>
  </si>
  <si>
    <t>손정원</t>
  </si>
  <si>
    <t>심서연</t>
  </si>
  <si>
    <t>안채연</t>
  </si>
  <si>
    <t>오가영</t>
  </si>
  <si>
    <t>오소정</t>
  </si>
  <si>
    <t>유채원</t>
  </si>
  <si>
    <t>윤이현</t>
  </si>
  <si>
    <t>이루미</t>
  </si>
  <si>
    <t>이송현</t>
  </si>
  <si>
    <t>이정원</t>
  </si>
  <si>
    <t>임규란</t>
  </si>
  <si>
    <t>장서현</t>
  </si>
  <si>
    <t>장은서</t>
  </si>
  <si>
    <t>최서연</t>
  </si>
  <si>
    <t>최예서</t>
  </si>
  <si>
    <t>편다은</t>
  </si>
  <si>
    <t>한가희</t>
  </si>
  <si>
    <t>강윤하</t>
  </si>
  <si>
    <t>김보경</t>
  </si>
  <si>
    <t>김선중</t>
  </si>
  <si>
    <t>김시현</t>
  </si>
  <si>
    <t>김예빈</t>
  </si>
  <si>
    <t>김정수</t>
  </si>
  <si>
    <t>김채령</t>
  </si>
  <si>
    <t>노새빛</t>
  </si>
  <si>
    <t>문채연</t>
  </si>
  <si>
    <t>박송린</t>
  </si>
  <si>
    <t>박재은</t>
  </si>
  <si>
    <t>박정하</t>
  </si>
  <si>
    <t>방서윤</t>
  </si>
  <si>
    <t>양지영</t>
  </si>
  <si>
    <t>유다미</t>
  </si>
  <si>
    <t>유서영</t>
  </si>
  <si>
    <t>이수인</t>
  </si>
  <si>
    <t>이시윤</t>
  </si>
  <si>
    <t>이하은</t>
  </si>
  <si>
    <t>임서정</t>
  </si>
  <si>
    <t>전수민</t>
  </si>
  <si>
    <t>정가인</t>
  </si>
  <si>
    <t>조윤지</t>
  </si>
  <si>
    <t>홍지민</t>
  </si>
  <si>
    <t>김가연</t>
  </si>
  <si>
    <t>김나경</t>
  </si>
  <si>
    <t>김도연</t>
  </si>
  <si>
    <t>김빛나</t>
  </si>
  <si>
    <t>김수현</t>
  </si>
  <si>
    <t>김지민</t>
  </si>
  <si>
    <t>남여령</t>
  </si>
  <si>
    <t>박수민</t>
  </si>
  <si>
    <t>박지수</t>
  </si>
  <si>
    <t>서예선</t>
  </si>
  <si>
    <t>서예은</t>
  </si>
  <si>
    <t>송효민</t>
  </si>
  <si>
    <t>신연우</t>
  </si>
  <si>
    <t>신유민</t>
  </si>
  <si>
    <t>안나경</t>
  </si>
  <si>
    <t>안시은</t>
  </si>
  <si>
    <t>이세희</t>
  </si>
  <si>
    <t>이수연</t>
  </si>
  <si>
    <t>이시현</t>
  </si>
  <si>
    <t>이윤이나</t>
  </si>
  <si>
    <t>정다혜</t>
  </si>
  <si>
    <t>정혜현</t>
  </si>
  <si>
    <t>최한결</t>
  </si>
  <si>
    <t>한예소</t>
  </si>
  <si>
    <t>홍승아</t>
  </si>
  <si>
    <t>황채현</t>
  </si>
  <si>
    <t>곽의현</t>
  </si>
  <si>
    <t>권유주</t>
  </si>
  <si>
    <t>김가빈</t>
  </si>
  <si>
    <t>김다인</t>
  </si>
  <si>
    <t>김하윤</t>
  </si>
  <si>
    <t>도은호</t>
  </si>
  <si>
    <t>박수현</t>
  </si>
  <si>
    <t>박예나</t>
  </si>
  <si>
    <t>박유민</t>
  </si>
  <si>
    <t>송섬결</t>
  </si>
  <si>
    <t>송예원</t>
  </si>
  <si>
    <t>송채원</t>
  </si>
  <si>
    <t>오서영</t>
  </si>
  <si>
    <t>우솜귤</t>
  </si>
  <si>
    <t>유지효</t>
  </si>
  <si>
    <t>이가현</t>
  </si>
  <si>
    <t>이보영</t>
  </si>
  <si>
    <t>이세연</t>
  </si>
  <si>
    <t>이수민</t>
  </si>
  <si>
    <t>이채연</t>
  </si>
  <si>
    <t>정세아</t>
  </si>
  <si>
    <t>한다연</t>
  </si>
  <si>
    <t>한은지</t>
  </si>
  <si>
    <t>미응시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</si>
</sst>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_ "/>
    <numFmt numFmtId="178" formatCode="0.00_ "/>
    <numFmt numFmtId="179" formatCode="0_ "/>
    <numFmt numFmtId="180" formatCode="0.0%"/>
    <numFmt numFmtId="181" formatCode="#%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b/>
      <sz val="10"/>
      <color rgb="FF000000"/>
      <name val="Calibri"/>
      <family val="3"/>
      <charset val="134"/>
    </font>
    <font>
      <b/>
      <sz val="16"/>
      <color rgb="FF000000"/>
      <name val="Calibri"/>
      <family val="3"/>
    </font>
    <font>
      <b/>
      <sz val="16"/>
      <color rgb="FF000000"/>
      <name val="돋움"/>
      <family val="3"/>
      <charset val="134"/>
    </font>
    <font>
      <b/>
      <sz val="15"/>
      <color theme="1"/>
      <name val="Calibri"/>
      <family val="2"/>
    </font>
    <font>
      <b/>
      <sz val="15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3"/>
      <charset val="134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맑은 고딕"/>
      <family val="2"/>
      <charset val="134"/>
      <scheme val="minor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95">
    <xf numFmtId="0" fontId="0" fillId="0" borderId="0" xfId="0">
      <alignment vertical="center"/>
    </xf>
    <xf numFmtId="0" fontId="1" fillId="0" borderId="0" xfId="1" applyAlignment="1">
      <alignment horizontal="left" vertical="top"/>
    </xf>
    <xf numFmtId="0" fontId="10" fillId="0" borderId="0" xfId="2" applyFont="1">
      <alignment vertical="center"/>
    </xf>
    <xf numFmtId="0" fontId="13" fillId="2" borderId="16" xfId="1" applyFont="1" applyFill="1" applyBorder="1" applyAlignment="1">
      <alignment horizontal="center" vertical="center" wrapText="1"/>
    </xf>
    <xf numFmtId="176" fontId="13" fillId="2" borderId="17" xfId="1" applyNumberFormat="1" applyFont="1" applyFill="1" applyBorder="1" applyAlignment="1">
      <alignment horizontal="center" vertical="center"/>
    </xf>
    <xf numFmtId="176" fontId="13" fillId="2" borderId="18" xfId="1" applyNumberFormat="1" applyFont="1" applyFill="1" applyBorder="1" applyAlignment="1">
      <alignment horizontal="center" vertical="center"/>
    </xf>
    <xf numFmtId="176" fontId="13" fillId="2" borderId="19" xfId="1" applyNumberFormat="1" applyFont="1" applyFill="1" applyBorder="1" applyAlignment="1">
      <alignment horizontal="center" vertical="center"/>
    </xf>
    <xf numFmtId="176" fontId="13" fillId="2" borderId="16" xfId="1" applyNumberFormat="1" applyFont="1" applyFill="1" applyBorder="1" applyAlignment="1">
      <alignment horizontal="center" vertical="center"/>
    </xf>
    <xf numFmtId="176" fontId="13" fillId="2" borderId="21" xfId="1" applyNumberFormat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0" fillId="3" borderId="28" xfId="2" applyFont="1" applyFill="1" applyBorder="1" applyAlignment="1">
      <alignment horizontal="center" vertical="center" wrapText="1" shrinkToFit="1"/>
    </xf>
    <xf numFmtId="177" fontId="9" fillId="3" borderId="28" xfId="2" applyNumberFormat="1" applyFill="1" applyBorder="1" applyAlignment="1">
      <alignment horizontal="center" vertical="center" wrapText="1" shrinkToFit="1"/>
    </xf>
    <xf numFmtId="0" fontId="10" fillId="3" borderId="29" xfId="2" applyFont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30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  <xf numFmtId="0" fontId="11" fillId="0" borderId="13" xfId="1" applyFont="1" applyBorder="1" applyAlignment="1">
      <alignment horizontal="center" vertical="center"/>
    </xf>
    <xf numFmtId="0" fontId="9" fillId="4" borderId="31" xfId="2" applyFill="1" applyBorder="1" applyAlignment="1">
      <alignment horizontal="center" vertical="center"/>
    </xf>
    <xf numFmtId="0" fontId="18" fillId="5" borderId="32" xfId="2" applyFont="1" applyFill="1" applyBorder="1" applyAlignment="1">
      <alignment horizontal="center" vertical="center" wrapText="1"/>
    </xf>
    <xf numFmtId="178" fontId="12" fillId="3" borderId="20" xfId="1" applyNumberFormat="1" applyFont="1" applyFill="1" applyBorder="1" applyAlignment="1">
      <alignment horizontal="center" vertical="center"/>
    </xf>
    <xf numFmtId="0" fontId="9" fillId="0" borderId="31" xfId="2" applyBorder="1" applyAlignment="1">
      <alignment horizontal="center" vertical="center"/>
    </xf>
    <xf numFmtId="179" fontId="12" fillId="3" borderId="23" xfId="1" applyNumberFormat="1" applyFont="1" applyFill="1" applyBorder="1" applyAlignment="1">
      <alignment horizontal="center" vertical="center"/>
    </xf>
    <xf numFmtId="179" fontId="12" fillId="3" borderId="24" xfId="1" applyNumberFormat="1" applyFont="1" applyFill="1" applyBorder="1" applyAlignment="1">
      <alignment horizontal="center" vertical="center"/>
    </xf>
    <xf numFmtId="178" fontId="1" fillId="3" borderId="25" xfId="1" applyNumberFormat="1" applyFill="1" applyBorder="1" applyAlignment="1">
      <alignment horizontal="center" vertical="center"/>
    </xf>
    <xf numFmtId="0" fontId="19" fillId="0" borderId="33" xfId="2" applyFont="1" applyBorder="1" applyAlignment="1">
      <alignment horizontal="right" vertical="center"/>
    </xf>
    <xf numFmtId="0" fontId="19" fillId="0" borderId="23" xfId="2" applyFont="1" applyBorder="1" applyAlignment="1">
      <alignment horizontal="left" vertical="center"/>
    </xf>
    <xf numFmtId="0" fontId="19" fillId="0" borderId="13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33" xfId="2" applyFont="1" applyBorder="1" applyAlignment="1">
      <alignment horizontal="center" vertical="center"/>
    </xf>
    <xf numFmtId="0" fontId="19" fillId="6" borderId="34" xfId="2" applyFont="1" applyFill="1" applyBorder="1" applyAlignment="1">
      <alignment horizontal="right" vertical="center"/>
    </xf>
    <xf numFmtId="0" fontId="19" fillId="6" borderId="35" xfId="2" applyFont="1" applyFill="1" applyBorder="1" applyAlignment="1">
      <alignment horizontal="left" vertical="center"/>
    </xf>
    <xf numFmtId="0" fontId="19" fillId="6" borderId="13" xfId="2" applyFont="1" applyFill="1" applyBorder="1" applyAlignment="1">
      <alignment horizontal="center" vertical="center"/>
    </xf>
    <xf numFmtId="0" fontId="19" fillId="6" borderId="24" xfId="2" applyFont="1" applyFill="1" applyBorder="1" applyAlignment="1">
      <alignment horizontal="center" vertical="center"/>
    </xf>
    <xf numFmtId="0" fontId="19" fillId="6" borderId="33" xfId="2" applyFont="1" applyFill="1" applyBorder="1" applyAlignment="1">
      <alignment horizontal="center" vertical="center"/>
    </xf>
    <xf numFmtId="0" fontId="19" fillId="0" borderId="34" xfId="2" applyFont="1" applyBorder="1" applyAlignment="1">
      <alignment horizontal="right" vertical="center"/>
    </xf>
    <xf numFmtId="0" fontId="19" fillId="0" borderId="35" xfId="2" applyFont="1" applyBorder="1" applyAlignment="1">
      <alignment horizontal="left" vertical="center"/>
    </xf>
    <xf numFmtId="0" fontId="19" fillId="0" borderId="36" xfId="2" applyFont="1" applyBorder="1" applyAlignment="1">
      <alignment horizontal="right" vertical="center"/>
    </xf>
    <xf numFmtId="0" fontId="19" fillId="0" borderId="37" xfId="2" applyFont="1" applyBorder="1" applyAlignment="1">
      <alignment horizontal="left" vertical="center"/>
    </xf>
    <xf numFmtId="0" fontId="19" fillId="0" borderId="38" xfId="2" applyFont="1" applyBorder="1" applyAlignment="1">
      <alignment horizontal="center" vertical="center"/>
    </xf>
    <xf numFmtId="0" fontId="19" fillId="0" borderId="39" xfId="2" applyFont="1" applyBorder="1" applyAlignment="1">
      <alignment horizontal="center" vertical="center"/>
    </xf>
    <xf numFmtId="0" fontId="19" fillId="0" borderId="40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80" fontId="19" fillId="0" borderId="13" xfId="2" applyNumberFormat="1" applyFont="1" applyBorder="1" applyAlignment="1">
      <alignment horizontal="center" vertical="center"/>
    </xf>
    <xf numFmtId="180" fontId="19" fillId="6" borderId="13" xfId="2" applyNumberFormat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176" fontId="12" fillId="2" borderId="6" xfId="1" applyNumberFormat="1" applyFont="1" applyFill="1" applyBorder="1" applyAlignment="1">
      <alignment horizontal="center" vertical="center"/>
    </xf>
    <xf numFmtId="176" fontId="12" fillId="2" borderId="7" xfId="1" applyNumberFormat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176" fontId="15" fillId="2" borderId="6" xfId="1" applyNumberFormat="1" applyFont="1" applyFill="1" applyBorder="1" applyAlignment="1">
      <alignment horizontal="center" vertical="center"/>
    </xf>
    <xf numFmtId="176" fontId="15" fillId="2" borderId="7" xfId="1" applyNumberFormat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45" xfId="2" applyFont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 wrapText="1"/>
    </xf>
    <xf numFmtId="0" fontId="13" fillId="2" borderId="23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27" xfId="2" applyFont="1" applyFill="1" applyBorder="1" applyAlignment="1">
      <alignment horizontal="center" vertical="center"/>
    </xf>
    <xf numFmtId="0" fontId="19" fillId="0" borderId="41" xfId="2" applyFont="1" applyBorder="1" applyAlignment="1">
      <alignment horizontal="center" vertical="center"/>
    </xf>
    <xf numFmtId="0" fontId="19" fillId="0" borderId="42" xfId="2" applyFont="1" applyBorder="1" applyAlignment="1">
      <alignment horizontal="center" vertical="center"/>
    </xf>
    <xf numFmtId="0" fontId="19" fillId="0" borderId="43" xfId="2" applyFont="1" applyBorder="1" applyAlignment="1">
      <alignment horizontal="center" vertical="center"/>
    </xf>
    <xf numFmtId="0" fontId="19" fillId="0" borderId="44" xfId="2" applyFont="1" applyBorder="1" applyAlignment="1">
      <alignment horizontal="center" vertical="center"/>
    </xf>
    <xf numFmtId="181" fontId="19" fillId="0" borderId="11" xfId="2" applyNumberFormat="1" applyFont="1" applyBorder="1" applyAlignment="1">
      <alignment horizontal="center" vertical="center"/>
    </xf>
    <xf numFmtId="181" fontId="19" fillId="0" borderId="45" xfId="2" applyNumberFormat="1" applyFont="1" applyBorder="1" applyAlignment="1">
      <alignment horizontal="center" vertical="center"/>
    </xf>
    <xf numFmtId="0" fontId="10" fillId="3" borderId="46" xfId="2" applyFont="1" applyFill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/>
    </xf>
    <xf numFmtId="0" fontId="10" fillId="3" borderId="48" xfId="2" applyFont="1" applyFill="1" applyBorder="1" applyAlignment="1">
      <alignment horizontal="center" vertical="center"/>
    </xf>
    <xf numFmtId="0" fontId="10" fillId="3" borderId="4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 wrapText="1" shrinkToFit="1"/>
    </xf>
    <xf numFmtId="0" fontId="10" fillId="3" borderId="50" xfId="2" applyFont="1" applyFill="1" applyBorder="1" applyAlignment="1">
      <alignment horizontal="center" vertical="center" wrapText="1" shrinkToFit="1"/>
    </xf>
    <xf numFmtId="177" fontId="9" fillId="3" borderId="11" xfId="2" applyNumberFormat="1" applyFill="1" applyBorder="1" applyAlignment="1">
      <alignment horizontal="center" vertical="center" wrapText="1" shrinkToFit="1"/>
    </xf>
    <xf numFmtId="177" fontId="9" fillId="3" borderId="45" xfId="2" applyNumberFormat="1" applyFill="1" applyBorder="1" applyAlignment="1">
      <alignment horizontal="center" vertical="center" wrapText="1" shrinkToFit="1"/>
    </xf>
    <xf numFmtId="0" fontId="10" fillId="3" borderId="11" xfId="2" applyFont="1" applyFill="1" applyBorder="1" applyAlignment="1">
      <alignment horizontal="center" vertical="center" wrapText="1"/>
    </xf>
    <xf numFmtId="0" fontId="10" fillId="3" borderId="45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 shrinkToFit="1"/>
    </xf>
    <xf numFmtId="0" fontId="10" fillId="3" borderId="51" xfId="2" applyFont="1" applyFill="1" applyBorder="1" applyAlignment="1">
      <alignment horizontal="center" vertical="center" wrapText="1" shrinkToFit="1"/>
    </xf>
    <xf numFmtId="0" fontId="10" fillId="3" borderId="47" xfId="2" applyFont="1" applyFill="1" applyBorder="1" applyAlignment="1">
      <alignment horizontal="center" vertical="center" wrapText="1" shrinkToFit="1"/>
    </xf>
    <xf numFmtId="0" fontId="10" fillId="3" borderId="52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</cellXfs>
  <cellStyles count="3">
    <cellStyle name="표준" xfId="0" builtinId="0"/>
    <cellStyle name="표준 3" xfId="2" xr:uid="{1BE9B65D-2105-4520-ACE2-47DD7901DF16}"/>
    <cellStyle name="표준 8" xfId="1" xr:uid="{27814C12-3691-478B-A8D6-FE17D5F0D811}"/>
  </cellStyles>
  <dxfs count="1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1.63\ftp_home\Util\&#45824;&#44368;&#54801;\&#51088;&#47308;&#48372;&#45253;&#45768;&#45796;-&#48149;&#54217;\&#47784;&#51032;&#44256;&#49324;\3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점수입력"/>
      <sheetName val="선택과목명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8F90-D53F-452E-8AA9-13D3D19F30D0}">
  <sheetPr codeName="Sheet29"/>
  <dimension ref="A1:AM258"/>
  <sheetViews>
    <sheetView tabSelected="1" topLeftCell="A240" workbookViewId="0">
      <selection activeCell="A268" sqref="A268"/>
    </sheetView>
  </sheetViews>
  <sheetFormatPr defaultRowHeight="16.899999999999999" x14ac:dyDescent="0.6"/>
  <cols>
    <col min="1" max="1" width="3.375" style="45" customWidth="1"/>
    <col min="2" max="2" width="5.875" style="45" customWidth="1"/>
    <col min="3" max="3" width="7" style="45" customWidth="1"/>
    <col min="4" max="4" width="9" style="45" customWidth="1"/>
    <col min="5" max="5" width="9" style="46" bestFit="1" customWidth="1"/>
    <col min="6" max="6" width="9.5" style="45" customWidth="1"/>
    <col min="7" max="7" width="9" style="46" bestFit="1" customWidth="1"/>
    <col min="8" max="8" width="8.875" style="46" customWidth="1"/>
    <col min="9" max="9" width="4.25" style="46" customWidth="1"/>
    <col min="10" max="10" width="6.625" style="45" customWidth="1"/>
    <col min="11" max="11" width="10.75" style="46" bestFit="1" customWidth="1"/>
    <col min="12" max="12" width="6.625" style="46" customWidth="1"/>
    <col min="13" max="13" width="10.25" style="45" customWidth="1"/>
    <col min="14" max="14" width="4.25" style="46" customWidth="1"/>
    <col min="15" max="15" width="10.25" style="45" customWidth="1"/>
    <col min="16" max="16" width="4.25" style="46" customWidth="1"/>
    <col min="17" max="17" width="6.25" style="45" customWidth="1"/>
    <col min="18" max="18" width="5.25" style="45" customWidth="1"/>
    <col min="19" max="19" width="8.125" style="45" customWidth="1"/>
    <col min="20" max="20" width="1.75" style="1" customWidth="1"/>
    <col min="21" max="21" width="2.75" style="2" customWidth="1"/>
    <col min="22" max="22" width="4.5" style="2" customWidth="1"/>
    <col min="23" max="26" width="7.625" style="2" customWidth="1"/>
    <col min="27" max="28" width="9" style="2" bestFit="1" customWidth="1"/>
    <col min="29" max="31" width="7.625" style="2" customWidth="1"/>
    <col min="32" max="39" width="4.375" style="2" customWidth="1"/>
    <col min="40" max="16384" width="9" style="1"/>
  </cols>
  <sheetData>
    <row r="1" spans="1:39" ht="38.25" customHeight="1" thickBot="1" x14ac:dyDescent="0.65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</row>
    <row r="2" spans="1:39" ht="24" customHeight="1" thickBot="1" x14ac:dyDescent="0.65">
      <c r="A2" s="48" t="s">
        <v>1</v>
      </c>
      <c r="B2" s="50" t="s">
        <v>2</v>
      </c>
      <c r="C2" s="52" t="s">
        <v>3</v>
      </c>
      <c r="D2" s="54" t="s">
        <v>4</v>
      </c>
      <c r="E2" s="55"/>
      <c r="F2" s="54" t="s">
        <v>5</v>
      </c>
      <c r="G2" s="55"/>
      <c r="H2" s="56" t="s">
        <v>6</v>
      </c>
      <c r="I2" s="57"/>
      <c r="J2" s="58" t="s">
        <v>7</v>
      </c>
      <c r="K2" s="60" t="s">
        <v>8</v>
      </c>
      <c r="L2" s="61"/>
      <c r="M2" s="62" t="s">
        <v>9</v>
      </c>
      <c r="N2" s="63"/>
      <c r="O2" s="62" t="s">
        <v>10</v>
      </c>
      <c r="P2" s="63"/>
      <c r="Q2" s="66" t="s">
        <v>11</v>
      </c>
      <c r="R2" s="68" t="s">
        <v>12</v>
      </c>
      <c r="S2" s="70" t="s">
        <v>13</v>
      </c>
    </row>
    <row r="3" spans="1:39" ht="41.25" customHeight="1" thickBot="1" x14ac:dyDescent="0.65">
      <c r="A3" s="49"/>
      <c r="B3" s="51"/>
      <c r="C3" s="53"/>
      <c r="D3" s="3" t="s">
        <v>14</v>
      </c>
      <c r="E3" s="4" t="s">
        <v>15</v>
      </c>
      <c r="F3" s="3" t="s">
        <v>14</v>
      </c>
      <c r="G3" s="4" t="s">
        <v>15</v>
      </c>
      <c r="H3" s="5" t="s">
        <v>16</v>
      </c>
      <c r="I3" s="6" t="s">
        <v>15</v>
      </c>
      <c r="J3" s="59"/>
      <c r="K3" s="7" t="s">
        <v>17</v>
      </c>
      <c r="L3" s="8" t="s">
        <v>15</v>
      </c>
      <c r="M3" s="9" t="s">
        <v>17</v>
      </c>
      <c r="N3" s="4" t="s">
        <v>15</v>
      </c>
      <c r="O3" s="9" t="s">
        <v>17</v>
      </c>
      <c r="P3" s="4" t="s">
        <v>15</v>
      </c>
      <c r="Q3" s="67"/>
      <c r="R3" s="69"/>
      <c r="S3" s="71"/>
      <c r="U3" s="72" t="s">
        <v>18</v>
      </c>
      <c r="V3" s="73"/>
      <c r="W3" s="10" t="s">
        <v>19</v>
      </c>
      <c r="X3" s="11" t="s">
        <v>20</v>
      </c>
      <c r="Y3" s="12" t="s">
        <v>21</v>
      </c>
      <c r="Z3" s="13" t="s">
        <v>22</v>
      </c>
      <c r="AA3" s="10" t="s">
        <v>9</v>
      </c>
      <c r="AB3" s="14" t="s">
        <v>23</v>
      </c>
      <c r="AC3" s="15"/>
      <c r="AD3" s="15"/>
    </row>
    <row r="4" spans="1:39" ht="20.100000000000001" customHeight="1" x14ac:dyDescent="0.6">
      <c r="A4" s="16">
        <v>1</v>
      </c>
      <c r="B4">
        <v>20101</v>
      </c>
      <c r="C4" t="s">
        <v>24</v>
      </c>
      <c r="D4" s="17">
        <v>45</v>
      </c>
      <c r="E4" s="18">
        <v>5</v>
      </c>
      <c r="F4" s="17">
        <v>42</v>
      </c>
      <c r="G4" s="18">
        <v>5</v>
      </c>
      <c r="H4" s="17">
        <v>58</v>
      </c>
      <c r="I4" s="18">
        <v>5</v>
      </c>
      <c r="J4" s="19">
        <v>5</v>
      </c>
      <c r="K4" s="20">
        <v>23</v>
      </c>
      <c r="L4" s="18">
        <v>5</v>
      </c>
      <c r="M4" s="17">
        <v>12</v>
      </c>
      <c r="N4" s="18">
        <v>7</v>
      </c>
      <c r="O4" s="17">
        <v>34</v>
      </c>
      <c r="P4" s="18">
        <v>3</v>
      </c>
      <c r="Q4" s="21">
        <v>214</v>
      </c>
      <c r="R4" s="22">
        <v>145</v>
      </c>
      <c r="S4" s="23">
        <v>5</v>
      </c>
      <c r="U4" s="24">
        <v>1</v>
      </c>
      <c r="V4" s="25" t="s">
        <v>25</v>
      </c>
      <c r="W4" s="26">
        <f t="shared" ref="W4:W12" si="0">COUNTIF($E$4:$E$327,U4)</f>
        <v>10</v>
      </c>
      <c r="X4" s="26">
        <f t="shared" ref="X4:X12" si="1">COUNTIF($G$4:$G$327,U4)</f>
        <v>5</v>
      </c>
      <c r="Y4" s="27">
        <f t="shared" ref="Y4:Y12" si="2">COUNTIF($I$4:$I$327,U4)</f>
        <v>6</v>
      </c>
      <c r="Z4" s="28">
        <f t="shared" ref="Z4:Z12" si="3">COUNTIF($L$4:$L$327,U4)</f>
        <v>54</v>
      </c>
      <c r="AA4" s="28">
        <f t="shared" ref="AA4:AA12" si="4">COUNTIF($N$4:$N$327,U4)</f>
        <v>9</v>
      </c>
      <c r="AB4" s="27">
        <f t="shared" ref="AB4:AB12" si="5">COUNTIF($P$4:$P$327,U4)</f>
        <v>12</v>
      </c>
      <c r="AC4" s="15"/>
      <c r="AD4" s="15"/>
    </row>
    <row r="5" spans="1:39" ht="20.100000000000001" customHeight="1" x14ac:dyDescent="0.6">
      <c r="A5" s="16">
        <v>1</v>
      </c>
      <c r="B5">
        <v>20102</v>
      </c>
      <c r="C5" t="s">
        <v>26</v>
      </c>
      <c r="D5" s="17">
        <v>40</v>
      </c>
      <c r="E5" s="18">
        <v>6</v>
      </c>
      <c r="F5" s="17">
        <v>16</v>
      </c>
      <c r="G5" s="18">
        <v>7</v>
      </c>
      <c r="H5" s="17">
        <v>46</v>
      </c>
      <c r="I5" s="18">
        <v>6</v>
      </c>
      <c r="J5" s="19">
        <v>6.333333333333333</v>
      </c>
      <c r="K5" s="20">
        <v>19</v>
      </c>
      <c r="L5" s="18">
        <v>6</v>
      </c>
      <c r="M5" s="17">
        <v>16</v>
      </c>
      <c r="N5" s="18">
        <v>6</v>
      </c>
      <c r="O5" s="17">
        <v>20</v>
      </c>
      <c r="P5" s="18">
        <v>5</v>
      </c>
      <c r="Q5" s="21">
        <v>157</v>
      </c>
      <c r="R5" s="22">
        <v>216</v>
      </c>
      <c r="S5" s="23">
        <v>6.125</v>
      </c>
      <c r="U5" s="29">
        <v>2</v>
      </c>
      <c r="V5" s="30" t="s">
        <v>25</v>
      </c>
      <c r="W5" s="31">
        <f t="shared" si="0"/>
        <v>20</v>
      </c>
      <c r="X5" s="31">
        <f t="shared" si="1"/>
        <v>18</v>
      </c>
      <c r="Y5" s="32">
        <f t="shared" si="2"/>
        <v>25</v>
      </c>
      <c r="Z5" s="33">
        <f t="shared" si="3"/>
        <v>31</v>
      </c>
      <c r="AA5" s="33">
        <f t="shared" si="4"/>
        <v>31</v>
      </c>
      <c r="AB5" s="32">
        <f t="shared" si="5"/>
        <v>25</v>
      </c>
      <c r="AC5" s="15"/>
      <c r="AD5" s="15"/>
    </row>
    <row r="6" spans="1:39" ht="20.100000000000001" customHeight="1" x14ac:dyDescent="0.6">
      <c r="A6" s="16">
        <v>1</v>
      </c>
      <c r="B6">
        <v>20103</v>
      </c>
      <c r="C6" t="s">
        <v>27</v>
      </c>
      <c r="D6" s="17">
        <v>42</v>
      </c>
      <c r="E6" s="18">
        <v>6</v>
      </c>
      <c r="F6" s="17">
        <v>31</v>
      </c>
      <c r="G6" s="18">
        <v>5</v>
      </c>
      <c r="H6" s="17">
        <v>41</v>
      </c>
      <c r="I6" s="18">
        <v>6</v>
      </c>
      <c r="J6" s="19">
        <v>5.666666666666667</v>
      </c>
      <c r="K6" s="20">
        <v>18</v>
      </c>
      <c r="L6" s="18">
        <v>6</v>
      </c>
      <c r="M6" s="17">
        <v>22</v>
      </c>
      <c r="N6" s="18">
        <v>5</v>
      </c>
      <c r="O6" s="17">
        <v>12</v>
      </c>
      <c r="P6" s="18">
        <v>7</v>
      </c>
      <c r="Q6" s="21">
        <v>166</v>
      </c>
      <c r="R6" s="22">
        <v>208</v>
      </c>
      <c r="S6" s="23">
        <v>5.75</v>
      </c>
      <c r="U6" s="34">
        <v>3</v>
      </c>
      <c r="V6" s="35" t="s">
        <v>25</v>
      </c>
      <c r="W6" s="26">
        <f t="shared" si="0"/>
        <v>36</v>
      </c>
      <c r="X6" s="26">
        <f t="shared" si="1"/>
        <v>36</v>
      </c>
      <c r="Y6" s="27">
        <f t="shared" si="2"/>
        <v>51</v>
      </c>
      <c r="Z6" s="28">
        <f t="shared" si="3"/>
        <v>37</v>
      </c>
      <c r="AA6" s="28">
        <f t="shared" si="4"/>
        <v>29</v>
      </c>
      <c r="AB6" s="27">
        <f t="shared" si="5"/>
        <v>42</v>
      </c>
      <c r="AC6" s="15"/>
      <c r="AD6" s="15"/>
    </row>
    <row r="7" spans="1:39" ht="20.100000000000001" customHeight="1" x14ac:dyDescent="0.6">
      <c r="A7" s="16">
        <v>1</v>
      </c>
      <c r="B7">
        <v>20104</v>
      </c>
      <c r="C7" t="s">
        <v>28</v>
      </c>
      <c r="D7" s="17">
        <v>39</v>
      </c>
      <c r="E7" s="18">
        <v>6</v>
      </c>
      <c r="F7" s="17">
        <v>42</v>
      </c>
      <c r="G7" s="18">
        <v>5</v>
      </c>
      <c r="H7" s="17">
        <v>75</v>
      </c>
      <c r="I7" s="18">
        <v>3</v>
      </c>
      <c r="J7" s="19">
        <v>4.666666666666667</v>
      </c>
      <c r="K7" s="20">
        <v>29</v>
      </c>
      <c r="L7" s="18">
        <v>4</v>
      </c>
      <c r="M7" s="17">
        <v>14</v>
      </c>
      <c r="N7" s="18">
        <v>6</v>
      </c>
      <c r="O7" s="17">
        <v>22</v>
      </c>
      <c r="P7" s="18">
        <v>5</v>
      </c>
      <c r="Q7" s="21">
        <v>221</v>
      </c>
      <c r="R7" s="22">
        <v>138</v>
      </c>
      <c r="S7" s="23">
        <v>4.875</v>
      </c>
      <c r="U7" s="29">
        <v>4</v>
      </c>
      <c r="V7" s="30" t="s">
        <v>25</v>
      </c>
      <c r="W7" s="31">
        <f t="shared" si="0"/>
        <v>40</v>
      </c>
      <c r="X7" s="31">
        <f t="shared" si="1"/>
        <v>57</v>
      </c>
      <c r="Y7" s="32">
        <f t="shared" si="2"/>
        <v>69</v>
      </c>
      <c r="Z7" s="33">
        <f t="shared" si="3"/>
        <v>37</v>
      </c>
      <c r="AA7" s="33">
        <f t="shared" si="4"/>
        <v>46</v>
      </c>
      <c r="AB7" s="32">
        <f t="shared" si="5"/>
        <v>52</v>
      </c>
      <c r="AC7" s="15"/>
      <c r="AD7" s="15"/>
    </row>
    <row r="8" spans="1:39" ht="20.100000000000001" customHeight="1" x14ac:dyDescent="0.6">
      <c r="A8" s="16">
        <v>1</v>
      </c>
      <c r="B8">
        <v>20105</v>
      </c>
      <c r="C8" t="s">
        <v>29</v>
      </c>
      <c r="D8" s="17">
        <v>88</v>
      </c>
      <c r="E8" s="18">
        <v>1</v>
      </c>
      <c r="F8" s="17">
        <v>72</v>
      </c>
      <c r="G8" s="18">
        <v>3</v>
      </c>
      <c r="H8" s="17">
        <v>76</v>
      </c>
      <c r="I8" s="18">
        <v>3</v>
      </c>
      <c r="J8" s="19">
        <v>2.3333333333333335</v>
      </c>
      <c r="K8" s="20">
        <v>42</v>
      </c>
      <c r="L8" s="18">
        <v>1</v>
      </c>
      <c r="M8" s="17">
        <v>37</v>
      </c>
      <c r="N8" s="18">
        <v>2</v>
      </c>
      <c r="O8" s="17">
        <v>28</v>
      </c>
      <c r="P8" s="18">
        <v>4</v>
      </c>
      <c r="Q8" s="21">
        <v>343</v>
      </c>
      <c r="R8" s="22">
        <v>20</v>
      </c>
      <c r="S8" s="23">
        <v>2.5</v>
      </c>
      <c r="U8" s="34">
        <v>5</v>
      </c>
      <c r="V8" s="35" t="s">
        <v>25</v>
      </c>
      <c r="W8" s="26">
        <f t="shared" si="0"/>
        <v>68</v>
      </c>
      <c r="X8" s="26">
        <f t="shared" si="1"/>
        <v>69</v>
      </c>
      <c r="Y8" s="27">
        <f t="shared" si="2"/>
        <v>38</v>
      </c>
      <c r="Z8" s="28">
        <f t="shared" si="3"/>
        <v>32</v>
      </c>
      <c r="AA8" s="28">
        <f t="shared" si="4"/>
        <v>49</v>
      </c>
      <c r="AB8" s="27">
        <f t="shared" si="5"/>
        <v>50</v>
      </c>
      <c r="AC8" s="15"/>
      <c r="AD8" s="15"/>
    </row>
    <row r="9" spans="1:39" ht="20.100000000000001" customHeight="1" x14ac:dyDescent="0.6">
      <c r="A9" s="16">
        <v>1</v>
      </c>
      <c r="B9">
        <v>20106</v>
      </c>
      <c r="C9" t="s">
        <v>30</v>
      </c>
      <c r="D9" s="17">
        <v>48</v>
      </c>
      <c r="E9" s="18">
        <v>5</v>
      </c>
      <c r="F9" s="17">
        <v>60</v>
      </c>
      <c r="G9" s="18">
        <v>4</v>
      </c>
      <c r="H9" s="17">
        <v>60</v>
      </c>
      <c r="I9" s="18">
        <v>4</v>
      </c>
      <c r="J9" s="19">
        <v>4.333333333333333</v>
      </c>
      <c r="K9" s="20">
        <v>32</v>
      </c>
      <c r="L9" s="18">
        <v>3</v>
      </c>
      <c r="M9" s="17">
        <v>21</v>
      </c>
      <c r="N9" s="18">
        <v>5</v>
      </c>
      <c r="O9" s="17">
        <v>32</v>
      </c>
      <c r="P9" s="18">
        <v>3</v>
      </c>
      <c r="Q9" s="21">
        <v>253</v>
      </c>
      <c r="R9" s="22">
        <v>99</v>
      </c>
      <c r="S9" s="23">
        <v>4.25</v>
      </c>
      <c r="U9" s="29">
        <v>6</v>
      </c>
      <c r="V9" s="30" t="s">
        <v>25</v>
      </c>
      <c r="W9" s="31">
        <f t="shared" si="0"/>
        <v>41</v>
      </c>
      <c r="X9" s="31">
        <f t="shared" si="1"/>
        <v>28</v>
      </c>
      <c r="Y9" s="32">
        <f t="shared" si="2"/>
        <v>27</v>
      </c>
      <c r="Z9" s="33">
        <f t="shared" si="3"/>
        <v>25</v>
      </c>
      <c r="AA9" s="33">
        <f t="shared" si="4"/>
        <v>32</v>
      </c>
      <c r="AB9" s="32">
        <f t="shared" si="5"/>
        <v>25</v>
      </c>
      <c r="AC9" s="15"/>
      <c r="AD9" s="15"/>
    </row>
    <row r="10" spans="1:39" ht="20.100000000000001" customHeight="1" x14ac:dyDescent="0.6">
      <c r="A10" s="16">
        <v>1</v>
      </c>
      <c r="B10">
        <v>20107</v>
      </c>
      <c r="C10" t="s">
        <v>31</v>
      </c>
      <c r="D10" s="17">
        <v>61</v>
      </c>
      <c r="E10" s="18">
        <v>4</v>
      </c>
      <c r="F10" s="17">
        <v>56</v>
      </c>
      <c r="G10" s="18">
        <v>4</v>
      </c>
      <c r="H10" s="17">
        <v>59</v>
      </c>
      <c r="I10" s="18">
        <v>5</v>
      </c>
      <c r="J10" s="19">
        <v>4.333333333333333</v>
      </c>
      <c r="K10" s="20">
        <v>48</v>
      </c>
      <c r="L10" s="18">
        <v>1</v>
      </c>
      <c r="M10" s="17">
        <v>30</v>
      </c>
      <c r="N10" s="18">
        <v>4</v>
      </c>
      <c r="O10" s="17">
        <v>34</v>
      </c>
      <c r="P10" s="18">
        <v>3</v>
      </c>
      <c r="Q10" s="21">
        <v>288</v>
      </c>
      <c r="R10" s="22">
        <v>65</v>
      </c>
      <c r="S10" s="23">
        <v>4.125</v>
      </c>
      <c r="U10" s="34">
        <v>7</v>
      </c>
      <c r="V10" s="35" t="s">
        <v>25</v>
      </c>
      <c r="W10" s="26">
        <f t="shared" si="0"/>
        <v>21</v>
      </c>
      <c r="X10" s="26">
        <f t="shared" si="1"/>
        <v>22</v>
      </c>
      <c r="Y10" s="27">
        <f t="shared" si="2"/>
        <v>25</v>
      </c>
      <c r="Z10" s="28">
        <f t="shared" si="3"/>
        <v>30</v>
      </c>
      <c r="AA10" s="28">
        <f t="shared" si="4"/>
        <v>23</v>
      </c>
      <c r="AB10" s="27">
        <f t="shared" si="5"/>
        <v>16</v>
      </c>
      <c r="AC10" s="15"/>
      <c r="AD10" s="15"/>
    </row>
    <row r="11" spans="1:39" ht="20.100000000000001" customHeight="1" x14ac:dyDescent="0.6">
      <c r="A11" s="16">
        <v>1</v>
      </c>
      <c r="B11">
        <v>20108</v>
      </c>
      <c r="C11" t="s">
        <v>32</v>
      </c>
      <c r="D11" s="17">
        <v>77</v>
      </c>
      <c r="E11" s="18">
        <v>3</v>
      </c>
      <c r="F11" s="17">
        <v>58</v>
      </c>
      <c r="G11" s="18">
        <v>4</v>
      </c>
      <c r="H11" s="17">
        <v>62</v>
      </c>
      <c r="I11" s="18">
        <v>4</v>
      </c>
      <c r="J11" s="19">
        <v>3.6666666666666665</v>
      </c>
      <c r="K11" s="20">
        <v>33</v>
      </c>
      <c r="L11" s="18">
        <v>3</v>
      </c>
      <c r="M11" s="17">
        <v>38</v>
      </c>
      <c r="N11" s="18">
        <v>2</v>
      </c>
      <c r="O11" s="17">
        <v>32</v>
      </c>
      <c r="P11" s="18">
        <v>3</v>
      </c>
      <c r="Q11" s="21">
        <v>300</v>
      </c>
      <c r="R11" s="22">
        <v>55</v>
      </c>
      <c r="S11" s="23">
        <v>3.375</v>
      </c>
      <c r="U11" s="29">
        <v>8</v>
      </c>
      <c r="V11" s="30" t="s">
        <v>25</v>
      </c>
      <c r="W11" s="31">
        <f t="shared" si="0"/>
        <v>15</v>
      </c>
      <c r="X11" s="31">
        <f t="shared" si="1"/>
        <v>14</v>
      </c>
      <c r="Y11" s="32">
        <f t="shared" si="2"/>
        <v>10</v>
      </c>
      <c r="Z11" s="33">
        <f t="shared" si="3"/>
        <v>7</v>
      </c>
      <c r="AA11" s="33">
        <f t="shared" si="4"/>
        <v>18</v>
      </c>
      <c r="AB11" s="32">
        <f t="shared" si="5"/>
        <v>21</v>
      </c>
      <c r="AC11" s="15"/>
      <c r="AD11" s="15"/>
    </row>
    <row r="12" spans="1:39" ht="20.100000000000001" customHeight="1" thickBot="1" x14ac:dyDescent="0.65">
      <c r="A12" s="16">
        <v>1</v>
      </c>
      <c r="B12">
        <v>20109</v>
      </c>
      <c r="C12" t="s">
        <v>33</v>
      </c>
      <c r="D12" s="17">
        <v>65</v>
      </c>
      <c r="E12" s="18">
        <v>4</v>
      </c>
      <c r="F12" s="17">
        <v>52</v>
      </c>
      <c r="G12" s="18">
        <v>4</v>
      </c>
      <c r="H12" s="17">
        <v>62</v>
      </c>
      <c r="I12" s="18">
        <v>4</v>
      </c>
      <c r="J12" s="19">
        <v>4</v>
      </c>
      <c r="K12" s="20">
        <v>34</v>
      </c>
      <c r="L12" s="18">
        <v>3</v>
      </c>
      <c r="M12" s="17">
        <v>30</v>
      </c>
      <c r="N12" s="18">
        <v>4</v>
      </c>
      <c r="O12" s="17">
        <v>26</v>
      </c>
      <c r="P12" s="18">
        <v>4</v>
      </c>
      <c r="Q12" s="21">
        <v>269</v>
      </c>
      <c r="R12" s="22">
        <v>84</v>
      </c>
      <c r="S12" s="23">
        <v>4</v>
      </c>
      <c r="U12" s="36">
        <v>9</v>
      </c>
      <c r="V12" s="37" t="s">
        <v>25</v>
      </c>
      <c r="W12" s="38">
        <f t="shared" si="0"/>
        <v>4</v>
      </c>
      <c r="X12" s="26">
        <f t="shared" si="1"/>
        <v>6</v>
      </c>
      <c r="Y12" s="27">
        <f t="shared" si="2"/>
        <v>3</v>
      </c>
      <c r="Z12" s="28">
        <f t="shared" si="3"/>
        <v>1</v>
      </c>
      <c r="AA12" s="39">
        <f t="shared" si="4"/>
        <v>17</v>
      </c>
      <c r="AB12" s="40">
        <f t="shared" si="5"/>
        <v>11</v>
      </c>
      <c r="AC12" s="15"/>
      <c r="AD12" s="15"/>
    </row>
    <row r="13" spans="1:39" ht="20.100000000000001" customHeight="1" x14ac:dyDescent="0.6">
      <c r="A13" s="16">
        <v>1</v>
      </c>
      <c r="B13">
        <v>20110</v>
      </c>
      <c r="C13" t="s">
        <v>34</v>
      </c>
      <c r="D13" s="17">
        <v>49</v>
      </c>
      <c r="E13" s="18">
        <v>5</v>
      </c>
      <c r="F13" s="17">
        <v>43</v>
      </c>
      <c r="G13" s="18">
        <v>5</v>
      </c>
      <c r="H13" s="17">
        <v>37</v>
      </c>
      <c r="I13" s="18">
        <v>7</v>
      </c>
      <c r="J13" s="19">
        <v>5.666666666666667</v>
      </c>
      <c r="K13" s="20">
        <v>11</v>
      </c>
      <c r="L13" s="18">
        <v>7</v>
      </c>
      <c r="M13" s="17">
        <v>22</v>
      </c>
      <c r="N13" s="18">
        <v>5</v>
      </c>
      <c r="O13" s="17">
        <v>16</v>
      </c>
      <c r="P13" s="18">
        <v>6</v>
      </c>
      <c r="Q13" s="21">
        <v>178</v>
      </c>
      <c r="R13" s="22">
        <v>192</v>
      </c>
      <c r="S13" s="23">
        <v>5.625</v>
      </c>
      <c r="U13" s="74" t="s">
        <v>35</v>
      </c>
      <c r="V13" s="75"/>
      <c r="W13" s="64">
        <f>SUM(W4:W12)</f>
        <v>255</v>
      </c>
      <c r="X13" s="64">
        <f t="shared" ref="X13:AA13" si="6">SUM(X4:X12)</f>
        <v>255</v>
      </c>
      <c r="Y13" s="64">
        <f>SUM(Y4:Y12)</f>
        <v>254</v>
      </c>
      <c r="Z13" s="64">
        <f t="shared" si="6"/>
        <v>254</v>
      </c>
      <c r="AA13" s="64">
        <f t="shared" si="6"/>
        <v>254</v>
      </c>
      <c r="AB13" s="64">
        <f>SUM(AB4:AB12)</f>
        <v>254</v>
      </c>
      <c r="AC13" s="15"/>
      <c r="AD13" s="15"/>
    </row>
    <row r="14" spans="1:39" ht="20.100000000000001" customHeight="1" thickBot="1" x14ac:dyDescent="0.65">
      <c r="A14" s="16">
        <v>1</v>
      </c>
      <c r="B14">
        <v>20111</v>
      </c>
      <c r="C14" t="s">
        <v>36</v>
      </c>
      <c r="D14" s="17">
        <v>79</v>
      </c>
      <c r="E14" s="18">
        <v>2</v>
      </c>
      <c r="F14" s="17">
        <v>76</v>
      </c>
      <c r="G14" s="18">
        <v>2</v>
      </c>
      <c r="H14" s="17">
        <v>87</v>
      </c>
      <c r="I14" s="18">
        <v>2</v>
      </c>
      <c r="J14" s="19">
        <v>2</v>
      </c>
      <c r="K14" s="20">
        <v>34</v>
      </c>
      <c r="L14" s="18">
        <v>3</v>
      </c>
      <c r="M14" s="17">
        <v>31</v>
      </c>
      <c r="N14" s="18">
        <v>4</v>
      </c>
      <c r="O14" s="17">
        <v>36</v>
      </c>
      <c r="P14" s="18">
        <v>3</v>
      </c>
      <c r="Q14" s="21">
        <v>343</v>
      </c>
      <c r="R14" s="22">
        <v>20</v>
      </c>
      <c r="S14" s="23">
        <v>2.375</v>
      </c>
      <c r="U14" s="76"/>
      <c r="V14" s="77"/>
      <c r="W14" s="65"/>
      <c r="X14" s="65"/>
      <c r="Y14" s="65"/>
      <c r="Z14" s="65"/>
      <c r="AA14" s="65"/>
      <c r="AB14" s="65"/>
      <c r="AC14" s="15"/>
      <c r="AD14" s="15"/>
    </row>
    <row r="15" spans="1:39" ht="20.100000000000001" customHeight="1" thickBot="1" x14ac:dyDescent="0.65">
      <c r="A15" s="16">
        <v>1</v>
      </c>
      <c r="B15">
        <v>20112</v>
      </c>
      <c r="C15" t="s">
        <v>37</v>
      </c>
      <c r="D15" s="17">
        <v>37</v>
      </c>
      <c r="E15" s="18">
        <v>6</v>
      </c>
      <c r="F15" s="17">
        <v>15</v>
      </c>
      <c r="G15" s="18">
        <v>7</v>
      </c>
      <c r="H15" s="17">
        <v>59</v>
      </c>
      <c r="I15" s="18">
        <v>5</v>
      </c>
      <c r="J15" s="19">
        <v>6</v>
      </c>
      <c r="K15" s="20">
        <v>23</v>
      </c>
      <c r="L15" s="18">
        <v>5</v>
      </c>
      <c r="M15" s="17">
        <v>10</v>
      </c>
      <c r="N15" s="18">
        <v>7</v>
      </c>
      <c r="O15" s="17">
        <v>5</v>
      </c>
      <c r="P15" s="18">
        <v>9</v>
      </c>
      <c r="Q15" s="21">
        <v>149</v>
      </c>
      <c r="R15" s="22">
        <v>221</v>
      </c>
      <c r="S15" s="23">
        <v>6.5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F15" s="42"/>
      <c r="AG15" s="42"/>
      <c r="AH15" s="42"/>
      <c r="AI15" s="42"/>
      <c r="AJ15" s="42"/>
      <c r="AK15" s="42"/>
      <c r="AL15" s="42"/>
      <c r="AM15" s="42"/>
    </row>
    <row r="16" spans="1:39" ht="20.100000000000001" customHeight="1" x14ac:dyDescent="0.6">
      <c r="A16" s="16">
        <v>1</v>
      </c>
      <c r="B16">
        <v>20113</v>
      </c>
      <c r="C16" t="s">
        <v>38</v>
      </c>
      <c r="D16" s="17">
        <v>53</v>
      </c>
      <c r="E16" s="18">
        <v>5</v>
      </c>
      <c r="F16" s="17">
        <v>18</v>
      </c>
      <c r="G16" s="18">
        <v>7</v>
      </c>
      <c r="H16" s="17">
        <v>33</v>
      </c>
      <c r="I16" s="18">
        <v>7</v>
      </c>
      <c r="J16" s="19">
        <v>6.333333333333333</v>
      </c>
      <c r="K16" s="20">
        <v>31</v>
      </c>
      <c r="L16" s="18">
        <v>3</v>
      </c>
      <c r="M16" s="17">
        <v>22</v>
      </c>
      <c r="N16" s="18">
        <v>5</v>
      </c>
      <c r="O16" s="17">
        <v>29</v>
      </c>
      <c r="P16" s="18">
        <v>4</v>
      </c>
      <c r="Q16" s="21">
        <v>186</v>
      </c>
      <c r="R16" s="22">
        <v>180</v>
      </c>
      <c r="S16" s="23">
        <v>5.875</v>
      </c>
      <c r="U16" s="80" t="s">
        <v>39</v>
      </c>
      <c r="V16" s="81"/>
      <c r="W16" s="84" t="s">
        <v>40</v>
      </c>
      <c r="X16" s="86" t="s">
        <v>20</v>
      </c>
      <c r="Y16" s="88" t="s">
        <v>21</v>
      </c>
      <c r="Z16" s="88" t="s">
        <v>22</v>
      </c>
      <c r="AA16" s="90" t="s">
        <v>9</v>
      </c>
      <c r="AB16" s="92" t="s">
        <v>23</v>
      </c>
      <c r="AC16" s="94"/>
      <c r="AD16" s="94"/>
      <c r="AE16" s="94"/>
      <c r="AF16" s="42"/>
      <c r="AG16" s="42"/>
      <c r="AH16" s="42"/>
      <c r="AI16" s="42"/>
      <c r="AJ16" s="42"/>
      <c r="AK16" s="42"/>
      <c r="AL16" s="42"/>
      <c r="AM16" s="42"/>
    </row>
    <row r="17" spans="1:39" ht="20.100000000000001" customHeight="1" thickBot="1" x14ac:dyDescent="0.65">
      <c r="A17" s="16">
        <v>1</v>
      </c>
      <c r="B17">
        <v>20114</v>
      </c>
      <c r="C17" t="s">
        <v>41</v>
      </c>
      <c r="D17" s="17">
        <v>40</v>
      </c>
      <c r="E17" s="18">
        <v>6</v>
      </c>
      <c r="F17" s="17">
        <v>40</v>
      </c>
      <c r="G17" s="18">
        <v>5</v>
      </c>
      <c r="H17" s="17">
        <v>45</v>
      </c>
      <c r="I17" s="18">
        <v>6</v>
      </c>
      <c r="J17" s="19">
        <v>5.666666666666667</v>
      </c>
      <c r="K17" s="20">
        <v>26</v>
      </c>
      <c r="L17" s="18">
        <v>4</v>
      </c>
      <c r="M17" s="17">
        <v>6</v>
      </c>
      <c r="N17" s="18">
        <v>9</v>
      </c>
      <c r="O17" s="17">
        <v>17</v>
      </c>
      <c r="P17" s="18">
        <v>6</v>
      </c>
      <c r="Q17" s="21">
        <v>174</v>
      </c>
      <c r="R17" s="22">
        <v>196</v>
      </c>
      <c r="S17" s="23">
        <v>6.125</v>
      </c>
      <c r="U17" s="82"/>
      <c r="V17" s="83"/>
      <c r="W17" s="85"/>
      <c r="X17" s="87"/>
      <c r="Y17" s="89"/>
      <c r="Z17" s="89"/>
      <c r="AA17" s="91"/>
      <c r="AB17" s="93"/>
      <c r="AC17" s="94"/>
      <c r="AD17" s="94"/>
      <c r="AE17" s="94"/>
      <c r="AF17" s="42"/>
      <c r="AG17" s="42"/>
      <c r="AH17" s="42"/>
      <c r="AI17" s="42"/>
      <c r="AJ17" s="42"/>
      <c r="AK17" s="42"/>
      <c r="AL17" s="42"/>
      <c r="AM17" s="42"/>
    </row>
    <row r="18" spans="1:39" ht="20.100000000000001" customHeight="1" x14ac:dyDescent="0.6">
      <c r="A18" s="16">
        <v>1</v>
      </c>
      <c r="B18">
        <v>20115</v>
      </c>
      <c r="C18" t="s">
        <v>42</v>
      </c>
      <c r="D18" s="17">
        <v>33</v>
      </c>
      <c r="E18" s="18">
        <v>6</v>
      </c>
      <c r="F18" s="17">
        <v>38</v>
      </c>
      <c r="G18" s="18">
        <v>5</v>
      </c>
      <c r="H18" s="17">
        <v>39</v>
      </c>
      <c r="I18" s="18">
        <v>7</v>
      </c>
      <c r="J18" s="19">
        <v>6</v>
      </c>
      <c r="K18" s="20">
        <v>34</v>
      </c>
      <c r="L18" s="18">
        <v>3</v>
      </c>
      <c r="M18" s="17">
        <v>12</v>
      </c>
      <c r="N18" s="18">
        <v>7</v>
      </c>
      <c r="O18" s="17">
        <v>27</v>
      </c>
      <c r="P18" s="18">
        <v>4</v>
      </c>
      <c r="Q18" s="21">
        <v>183</v>
      </c>
      <c r="R18" s="22">
        <v>186</v>
      </c>
      <c r="S18" s="23">
        <v>5.875</v>
      </c>
      <c r="U18" s="24">
        <v>1</v>
      </c>
      <c r="V18" s="25" t="s">
        <v>25</v>
      </c>
      <c r="W18" s="43">
        <f>(W4/W$13)</f>
        <v>3.9215686274509803E-2</v>
      </c>
      <c r="X18" s="43">
        <f t="shared" ref="X18:AB18" si="7">(X4/X$13)</f>
        <v>1.9607843137254902E-2</v>
      </c>
      <c r="Y18" s="43">
        <f t="shared" si="7"/>
        <v>2.3622047244094488E-2</v>
      </c>
      <c r="Z18" s="43">
        <f t="shared" si="7"/>
        <v>0.2125984251968504</v>
      </c>
      <c r="AA18" s="43">
        <f t="shared" si="7"/>
        <v>3.5433070866141732E-2</v>
      </c>
      <c r="AB18" s="43">
        <f t="shared" si="7"/>
        <v>4.7244094488188976E-2</v>
      </c>
      <c r="AC18" s="15"/>
      <c r="AD18" s="15"/>
      <c r="AE18" s="15"/>
      <c r="AF18" s="42"/>
      <c r="AG18" s="42"/>
      <c r="AH18" s="42"/>
      <c r="AI18" s="42"/>
      <c r="AJ18" s="42"/>
      <c r="AK18" s="42"/>
      <c r="AL18" s="42"/>
      <c r="AM18" s="42"/>
    </row>
    <row r="19" spans="1:39" ht="20.100000000000001" customHeight="1" x14ac:dyDescent="0.6">
      <c r="A19" s="16">
        <v>1</v>
      </c>
      <c r="B19">
        <v>20117</v>
      </c>
      <c r="C19" t="s">
        <v>43</v>
      </c>
      <c r="D19" s="17">
        <v>32</v>
      </c>
      <c r="E19" s="18">
        <v>6</v>
      </c>
      <c r="F19" s="17">
        <v>12</v>
      </c>
      <c r="G19" s="18">
        <v>8</v>
      </c>
      <c r="H19" s="17">
        <v>55</v>
      </c>
      <c r="I19" s="18">
        <v>5</v>
      </c>
      <c r="J19" s="19">
        <v>6.333333333333333</v>
      </c>
      <c r="K19" s="20">
        <v>14</v>
      </c>
      <c r="L19" s="18">
        <v>7</v>
      </c>
      <c r="M19" s="17">
        <v>8</v>
      </c>
      <c r="N19" s="18">
        <v>8</v>
      </c>
      <c r="O19" s="17">
        <v>9</v>
      </c>
      <c r="P19" s="18">
        <v>8</v>
      </c>
      <c r="Q19" s="21">
        <v>130</v>
      </c>
      <c r="R19" s="22">
        <v>231</v>
      </c>
      <c r="S19" s="23">
        <v>6.75</v>
      </c>
      <c r="U19" s="29">
        <v>2</v>
      </c>
      <c r="V19" s="30" t="s">
        <v>25</v>
      </c>
      <c r="W19" s="44">
        <f t="shared" ref="W19:AB26" si="8">(W5/W$13)</f>
        <v>7.8431372549019607E-2</v>
      </c>
      <c r="X19" s="44">
        <f t="shared" si="8"/>
        <v>7.0588235294117646E-2</v>
      </c>
      <c r="Y19" s="44">
        <f t="shared" si="8"/>
        <v>9.8425196850393706E-2</v>
      </c>
      <c r="Z19" s="44">
        <f t="shared" si="8"/>
        <v>0.12204724409448819</v>
      </c>
      <c r="AA19" s="44">
        <f t="shared" si="8"/>
        <v>0.12204724409448819</v>
      </c>
      <c r="AB19" s="44">
        <f t="shared" si="8"/>
        <v>9.8425196850393706E-2</v>
      </c>
      <c r="AC19" s="15"/>
      <c r="AD19" s="15"/>
      <c r="AE19" s="15"/>
      <c r="AF19" s="42"/>
      <c r="AG19" s="42"/>
      <c r="AH19" s="42"/>
      <c r="AI19" s="42"/>
      <c r="AJ19" s="42"/>
      <c r="AK19" s="42"/>
      <c r="AL19" s="42"/>
      <c r="AM19" s="42"/>
    </row>
    <row r="20" spans="1:39" ht="20.100000000000001" customHeight="1" x14ac:dyDescent="0.6">
      <c r="A20" s="16">
        <v>1</v>
      </c>
      <c r="B20">
        <v>20118</v>
      </c>
      <c r="C20" t="s">
        <v>44</v>
      </c>
      <c r="D20" s="17">
        <v>35</v>
      </c>
      <c r="E20" s="18">
        <v>6</v>
      </c>
      <c r="F20" s="17">
        <v>74</v>
      </c>
      <c r="G20" s="18">
        <v>2</v>
      </c>
      <c r="H20" s="17">
        <v>60</v>
      </c>
      <c r="I20" s="18">
        <v>4</v>
      </c>
      <c r="J20" s="19">
        <v>4</v>
      </c>
      <c r="K20" s="20">
        <v>22</v>
      </c>
      <c r="L20" s="18">
        <v>5</v>
      </c>
      <c r="M20" s="17">
        <v>24</v>
      </c>
      <c r="N20" s="18">
        <v>5</v>
      </c>
      <c r="O20" s="17">
        <v>25</v>
      </c>
      <c r="P20" s="18">
        <v>4</v>
      </c>
      <c r="Q20" s="21">
        <v>240</v>
      </c>
      <c r="R20" s="22">
        <v>114</v>
      </c>
      <c r="S20" s="23">
        <v>4.125</v>
      </c>
      <c r="U20" s="34">
        <v>3</v>
      </c>
      <c r="V20" s="35" t="s">
        <v>25</v>
      </c>
      <c r="W20" s="43">
        <f t="shared" si="8"/>
        <v>0.14117647058823529</v>
      </c>
      <c r="X20" s="43">
        <f t="shared" si="8"/>
        <v>0.14117647058823529</v>
      </c>
      <c r="Y20" s="43">
        <f t="shared" si="8"/>
        <v>0.20078740157480315</v>
      </c>
      <c r="Z20" s="43">
        <f t="shared" si="8"/>
        <v>0.14566929133858267</v>
      </c>
      <c r="AA20" s="43">
        <f t="shared" si="8"/>
        <v>0.1141732283464567</v>
      </c>
      <c r="AB20" s="43">
        <f t="shared" si="8"/>
        <v>0.16535433070866143</v>
      </c>
      <c r="AC20" s="15"/>
      <c r="AD20" s="15"/>
      <c r="AE20" s="15"/>
      <c r="AF20" s="42"/>
      <c r="AG20" s="42"/>
      <c r="AH20" s="42"/>
      <c r="AI20" s="42"/>
      <c r="AJ20" s="42"/>
      <c r="AK20" s="42"/>
      <c r="AL20" s="42"/>
      <c r="AM20" s="42"/>
    </row>
    <row r="21" spans="1:39" ht="20.100000000000001" customHeight="1" x14ac:dyDescent="0.6">
      <c r="A21" s="16">
        <v>1</v>
      </c>
      <c r="B21">
        <v>20119</v>
      </c>
      <c r="C21" t="s">
        <v>45</v>
      </c>
      <c r="D21" s="17">
        <v>45</v>
      </c>
      <c r="E21" s="18">
        <v>5</v>
      </c>
      <c r="F21" s="17">
        <v>45</v>
      </c>
      <c r="G21" s="18">
        <v>5</v>
      </c>
      <c r="H21" s="17">
        <v>70</v>
      </c>
      <c r="I21" s="18">
        <v>3</v>
      </c>
      <c r="J21" s="19">
        <v>4.333333333333333</v>
      </c>
      <c r="K21" s="20">
        <v>27</v>
      </c>
      <c r="L21" s="18">
        <v>4</v>
      </c>
      <c r="M21" s="17">
        <v>31</v>
      </c>
      <c r="N21" s="18">
        <v>4</v>
      </c>
      <c r="O21" s="17">
        <v>15</v>
      </c>
      <c r="P21" s="18">
        <v>6</v>
      </c>
      <c r="Q21" s="21">
        <v>233</v>
      </c>
      <c r="R21" s="22">
        <v>127</v>
      </c>
      <c r="S21" s="23">
        <v>4.5</v>
      </c>
      <c r="U21" s="29">
        <v>4</v>
      </c>
      <c r="V21" s="30" t="s">
        <v>25</v>
      </c>
      <c r="W21" s="44">
        <f t="shared" si="8"/>
        <v>0.15686274509803921</v>
      </c>
      <c r="X21" s="44">
        <f t="shared" si="8"/>
        <v>0.22352941176470589</v>
      </c>
      <c r="Y21" s="44">
        <f t="shared" si="8"/>
        <v>0.27165354330708663</v>
      </c>
      <c r="Z21" s="44">
        <f t="shared" si="8"/>
        <v>0.14566929133858267</v>
      </c>
      <c r="AA21" s="44">
        <f t="shared" si="8"/>
        <v>0.18110236220472442</v>
      </c>
      <c r="AB21" s="44">
        <f t="shared" si="8"/>
        <v>0.20472440944881889</v>
      </c>
      <c r="AC21" s="15"/>
      <c r="AD21" s="15"/>
      <c r="AE21" s="15"/>
      <c r="AF21" s="42"/>
      <c r="AG21" s="42"/>
      <c r="AH21" s="42"/>
      <c r="AI21" s="42"/>
      <c r="AJ21" s="42"/>
      <c r="AK21" s="42"/>
      <c r="AL21" s="42"/>
      <c r="AM21" s="42"/>
    </row>
    <row r="22" spans="1:39" ht="20.100000000000001" customHeight="1" x14ac:dyDescent="0.6">
      <c r="A22" s="16">
        <v>1</v>
      </c>
      <c r="B22">
        <v>20120</v>
      </c>
      <c r="C22" t="s">
        <v>46</v>
      </c>
      <c r="D22" s="17">
        <v>90</v>
      </c>
      <c r="E22" s="18">
        <v>1</v>
      </c>
      <c r="F22" s="17">
        <v>89</v>
      </c>
      <c r="G22" s="18">
        <v>1</v>
      </c>
      <c r="H22" s="17">
        <v>83</v>
      </c>
      <c r="I22" s="18">
        <v>2</v>
      </c>
      <c r="J22" s="19">
        <v>1.3333333333333333</v>
      </c>
      <c r="K22" s="20">
        <v>47</v>
      </c>
      <c r="L22" s="18">
        <v>1</v>
      </c>
      <c r="M22" s="17">
        <v>45</v>
      </c>
      <c r="N22" s="18">
        <v>1</v>
      </c>
      <c r="O22" s="17">
        <v>43</v>
      </c>
      <c r="P22" s="18">
        <v>1</v>
      </c>
      <c r="Q22" s="21">
        <v>397</v>
      </c>
      <c r="R22" s="22">
        <v>1</v>
      </c>
      <c r="S22" s="23">
        <v>1.25</v>
      </c>
      <c r="U22" s="34">
        <v>5</v>
      </c>
      <c r="V22" s="35" t="s">
        <v>25</v>
      </c>
      <c r="W22" s="43">
        <f t="shared" si="8"/>
        <v>0.26666666666666666</v>
      </c>
      <c r="X22" s="43">
        <f t="shared" si="8"/>
        <v>0.27058823529411763</v>
      </c>
      <c r="Y22" s="43">
        <f t="shared" si="8"/>
        <v>0.14960629921259844</v>
      </c>
      <c r="Z22" s="43">
        <f t="shared" si="8"/>
        <v>0.12598425196850394</v>
      </c>
      <c r="AA22" s="43">
        <f t="shared" si="8"/>
        <v>0.19291338582677164</v>
      </c>
      <c r="AB22" s="43">
        <f t="shared" si="8"/>
        <v>0.19685039370078741</v>
      </c>
      <c r="AC22" s="15"/>
      <c r="AD22" s="15"/>
      <c r="AE22" s="15"/>
      <c r="AF22" s="42"/>
      <c r="AG22" s="42"/>
      <c r="AH22" s="42"/>
      <c r="AI22" s="42"/>
      <c r="AJ22" s="42"/>
      <c r="AK22" s="42"/>
      <c r="AL22" s="42"/>
      <c r="AM22" s="42"/>
    </row>
    <row r="23" spans="1:39" ht="20.100000000000001" customHeight="1" x14ac:dyDescent="0.6">
      <c r="A23" s="16">
        <v>1</v>
      </c>
      <c r="B23">
        <v>20121</v>
      </c>
      <c r="C23" t="s">
        <v>47</v>
      </c>
      <c r="D23" s="17">
        <v>61</v>
      </c>
      <c r="E23" s="18">
        <v>4</v>
      </c>
      <c r="F23" s="17">
        <v>59</v>
      </c>
      <c r="G23" s="18">
        <v>4</v>
      </c>
      <c r="H23" s="17">
        <v>63</v>
      </c>
      <c r="I23" s="18">
        <v>4</v>
      </c>
      <c r="J23" s="19">
        <v>4</v>
      </c>
      <c r="K23" s="20">
        <v>35</v>
      </c>
      <c r="L23" s="18">
        <v>2</v>
      </c>
      <c r="M23" s="17">
        <v>42</v>
      </c>
      <c r="N23" s="18">
        <v>2</v>
      </c>
      <c r="O23" s="17">
        <v>32</v>
      </c>
      <c r="P23" s="18">
        <v>3</v>
      </c>
      <c r="Q23" s="21">
        <v>292</v>
      </c>
      <c r="R23" s="22">
        <v>62</v>
      </c>
      <c r="S23" s="23">
        <v>3.625</v>
      </c>
      <c r="U23" s="29">
        <v>6</v>
      </c>
      <c r="V23" s="30" t="s">
        <v>25</v>
      </c>
      <c r="W23" s="44">
        <f t="shared" si="8"/>
        <v>0.16078431372549021</v>
      </c>
      <c r="X23" s="44">
        <f t="shared" si="8"/>
        <v>0.10980392156862745</v>
      </c>
      <c r="Y23" s="44">
        <f t="shared" si="8"/>
        <v>0.1062992125984252</v>
      </c>
      <c r="Z23" s="44">
        <f t="shared" si="8"/>
        <v>9.8425196850393706E-2</v>
      </c>
      <c r="AA23" s="44">
        <f t="shared" si="8"/>
        <v>0.12598425196850394</v>
      </c>
      <c r="AB23" s="44">
        <f t="shared" si="8"/>
        <v>9.8425196850393706E-2</v>
      </c>
      <c r="AC23" s="15"/>
      <c r="AD23" s="15"/>
      <c r="AE23" s="15"/>
      <c r="AF23" s="42"/>
      <c r="AG23" s="42"/>
      <c r="AH23" s="42"/>
      <c r="AI23" s="42"/>
      <c r="AJ23" s="42"/>
      <c r="AK23" s="42"/>
      <c r="AL23" s="42"/>
      <c r="AM23" s="42"/>
    </row>
    <row r="24" spans="1:39" ht="20.100000000000001" customHeight="1" x14ac:dyDescent="0.6">
      <c r="A24" s="16">
        <v>1</v>
      </c>
      <c r="B24">
        <v>20122</v>
      </c>
      <c r="C24" t="s">
        <v>48</v>
      </c>
      <c r="D24" s="17">
        <v>89</v>
      </c>
      <c r="E24" s="18">
        <v>1</v>
      </c>
      <c r="F24" s="17">
        <v>80</v>
      </c>
      <c r="G24" s="18">
        <v>2</v>
      </c>
      <c r="H24" s="17">
        <v>79</v>
      </c>
      <c r="I24" s="18">
        <v>3</v>
      </c>
      <c r="J24" s="19">
        <v>2</v>
      </c>
      <c r="K24" s="20">
        <v>45</v>
      </c>
      <c r="L24" s="18">
        <v>1</v>
      </c>
      <c r="M24" s="17">
        <v>42</v>
      </c>
      <c r="N24" s="18">
        <v>2</v>
      </c>
      <c r="O24" s="17">
        <v>31</v>
      </c>
      <c r="P24" s="18">
        <v>3</v>
      </c>
      <c r="Q24" s="21">
        <v>366</v>
      </c>
      <c r="R24" s="22">
        <v>10</v>
      </c>
      <c r="S24" s="23">
        <v>2.125</v>
      </c>
      <c r="U24" s="34">
        <v>7</v>
      </c>
      <c r="V24" s="35" t="s">
        <v>25</v>
      </c>
      <c r="W24" s="43">
        <f t="shared" si="8"/>
        <v>8.2352941176470587E-2</v>
      </c>
      <c r="X24" s="43">
        <f t="shared" si="8"/>
        <v>8.6274509803921567E-2</v>
      </c>
      <c r="Y24" s="43">
        <f t="shared" si="8"/>
        <v>9.8425196850393706E-2</v>
      </c>
      <c r="Z24" s="43">
        <f t="shared" si="8"/>
        <v>0.11811023622047244</v>
      </c>
      <c r="AA24" s="43">
        <f t="shared" si="8"/>
        <v>9.055118110236221E-2</v>
      </c>
      <c r="AB24" s="43">
        <f t="shared" si="8"/>
        <v>6.2992125984251968E-2</v>
      </c>
      <c r="AC24" s="15"/>
      <c r="AD24" s="15"/>
      <c r="AE24" s="15"/>
      <c r="AF24" s="42"/>
      <c r="AG24" s="42"/>
      <c r="AH24" s="42"/>
      <c r="AI24" s="42"/>
      <c r="AJ24" s="42"/>
      <c r="AK24" s="42"/>
      <c r="AL24" s="42"/>
      <c r="AM24" s="42"/>
    </row>
    <row r="25" spans="1:39" ht="20.100000000000001" customHeight="1" x14ac:dyDescent="0.6">
      <c r="A25" s="16">
        <v>1</v>
      </c>
      <c r="B25">
        <v>20123</v>
      </c>
      <c r="C25" t="s">
        <v>49</v>
      </c>
      <c r="D25" s="17">
        <v>80</v>
      </c>
      <c r="E25" s="18">
        <v>2</v>
      </c>
      <c r="F25" s="17">
        <v>55</v>
      </c>
      <c r="G25" s="18">
        <v>4</v>
      </c>
      <c r="H25" s="17">
        <v>72</v>
      </c>
      <c r="I25" s="18">
        <v>3</v>
      </c>
      <c r="J25" s="19">
        <v>3</v>
      </c>
      <c r="K25" s="20">
        <v>23</v>
      </c>
      <c r="L25" s="18">
        <v>5</v>
      </c>
      <c r="M25" s="17">
        <v>40</v>
      </c>
      <c r="N25" s="18">
        <v>2</v>
      </c>
      <c r="O25" s="17">
        <v>31</v>
      </c>
      <c r="P25" s="18">
        <v>3</v>
      </c>
      <c r="Q25" s="21">
        <v>301</v>
      </c>
      <c r="R25" s="22">
        <v>54</v>
      </c>
      <c r="S25" s="23">
        <v>2.875</v>
      </c>
      <c r="U25" s="29">
        <v>8</v>
      </c>
      <c r="V25" s="30" t="s">
        <v>25</v>
      </c>
      <c r="W25" s="44">
        <f t="shared" si="8"/>
        <v>5.8823529411764705E-2</v>
      </c>
      <c r="X25" s="44">
        <f t="shared" si="8"/>
        <v>5.4901960784313725E-2</v>
      </c>
      <c r="Y25" s="44">
        <f t="shared" si="8"/>
        <v>3.937007874015748E-2</v>
      </c>
      <c r="Z25" s="44">
        <f t="shared" si="8"/>
        <v>2.7559055118110236E-2</v>
      </c>
      <c r="AA25" s="44">
        <f t="shared" si="8"/>
        <v>7.0866141732283464E-2</v>
      </c>
      <c r="AB25" s="44">
        <f t="shared" si="8"/>
        <v>8.2677165354330714E-2</v>
      </c>
      <c r="AC25" s="15"/>
      <c r="AD25" s="15"/>
      <c r="AE25" s="15"/>
      <c r="AF25" s="42"/>
      <c r="AG25" s="42"/>
      <c r="AH25" s="42"/>
      <c r="AI25" s="42"/>
      <c r="AJ25" s="42"/>
      <c r="AK25" s="42"/>
      <c r="AL25" s="42"/>
      <c r="AM25" s="42"/>
    </row>
    <row r="26" spans="1:39" ht="20.100000000000001" customHeight="1" thickBot="1" x14ac:dyDescent="0.65">
      <c r="A26" s="16">
        <v>1</v>
      </c>
      <c r="B26">
        <v>20124</v>
      </c>
      <c r="C26" t="s">
        <v>50</v>
      </c>
      <c r="D26" s="17">
        <v>58</v>
      </c>
      <c r="E26" s="18">
        <v>4</v>
      </c>
      <c r="F26" s="17">
        <v>60</v>
      </c>
      <c r="G26" s="18">
        <v>4</v>
      </c>
      <c r="H26" s="17">
        <v>74</v>
      </c>
      <c r="I26" s="18">
        <v>3</v>
      </c>
      <c r="J26" s="19">
        <v>3.6666666666666665</v>
      </c>
      <c r="K26" s="20">
        <v>23</v>
      </c>
      <c r="L26" s="18">
        <v>5</v>
      </c>
      <c r="M26" s="17">
        <v>39</v>
      </c>
      <c r="N26" s="18">
        <v>2</v>
      </c>
      <c r="O26" s="17">
        <v>34</v>
      </c>
      <c r="P26" s="18">
        <v>3</v>
      </c>
      <c r="Q26" s="21">
        <v>288</v>
      </c>
      <c r="R26" s="22">
        <v>65</v>
      </c>
      <c r="S26" s="23">
        <v>3.375</v>
      </c>
      <c r="U26" s="36">
        <v>9</v>
      </c>
      <c r="V26" s="37" t="s">
        <v>25</v>
      </c>
      <c r="W26" s="43">
        <f t="shared" si="8"/>
        <v>1.5686274509803921E-2</v>
      </c>
      <c r="X26" s="43">
        <f t="shared" si="8"/>
        <v>2.3529411764705882E-2</v>
      </c>
      <c r="Y26" s="43">
        <f t="shared" si="8"/>
        <v>1.1811023622047244E-2</v>
      </c>
      <c r="Z26" s="43">
        <f t="shared" si="8"/>
        <v>3.937007874015748E-3</v>
      </c>
      <c r="AA26" s="43">
        <f t="shared" si="8"/>
        <v>6.6929133858267723E-2</v>
      </c>
      <c r="AB26" s="43">
        <f t="shared" si="8"/>
        <v>4.3307086614173228E-2</v>
      </c>
      <c r="AC26" s="15"/>
      <c r="AD26" s="15"/>
      <c r="AE26" s="15"/>
      <c r="AF26" s="42"/>
      <c r="AG26" s="42"/>
      <c r="AH26" s="42"/>
      <c r="AI26" s="42"/>
      <c r="AJ26" s="42"/>
      <c r="AK26" s="42"/>
      <c r="AL26" s="42"/>
      <c r="AM26" s="42"/>
    </row>
    <row r="27" spans="1:39" ht="20.100000000000001" customHeight="1" x14ac:dyDescent="0.6">
      <c r="A27" s="16">
        <v>1</v>
      </c>
      <c r="B27">
        <v>20125</v>
      </c>
      <c r="C27" t="s">
        <v>51</v>
      </c>
      <c r="D27" s="17">
        <v>37</v>
      </c>
      <c r="E27" s="18">
        <v>6</v>
      </c>
      <c r="F27" s="17">
        <v>53</v>
      </c>
      <c r="G27" s="18">
        <v>4</v>
      </c>
      <c r="H27" s="17">
        <v>45</v>
      </c>
      <c r="I27" s="18">
        <v>6</v>
      </c>
      <c r="J27" s="19">
        <v>5.333333333333333</v>
      </c>
      <c r="K27" s="20">
        <v>19</v>
      </c>
      <c r="L27" s="18">
        <v>6</v>
      </c>
      <c r="M27" s="17">
        <v>17</v>
      </c>
      <c r="N27" s="18">
        <v>6</v>
      </c>
      <c r="O27" s="17">
        <v>19</v>
      </c>
      <c r="P27" s="18">
        <v>5</v>
      </c>
      <c r="Q27" s="21">
        <v>190</v>
      </c>
      <c r="R27" s="22">
        <v>171</v>
      </c>
      <c r="S27" s="23">
        <v>5.375</v>
      </c>
      <c r="U27" s="74" t="s">
        <v>35</v>
      </c>
      <c r="V27" s="75"/>
      <c r="W27" s="78">
        <f>SUM(W18:W26)</f>
        <v>1</v>
      </c>
      <c r="X27" s="78">
        <f t="shared" ref="X27:AA27" si="9">SUM(X18:X26)</f>
        <v>1.0000000000000002</v>
      </c>
      <c r="Y27" s="78">
        <f t="shared" si="9"/>
        <v>1.0000000000000002</v>
      </c>
      <c r="Z27" s="78">
        <f t="shared" si="9"/>
        <v>1</v>
      </c>
      <c r="AA27" s="78">
        <f t="shared" si="9"/>
        <v>1</v>
      </c>
      <c r="AB27" s="78">
        <f>SUM(AB18:AB26)</f>
        <v>1</v>
      </c>
      <c r="AC27" s="15"/>
      <c r="AD27" s="15"/>
      <c r="AE27" s="15"/>
      <c r="AF27" s="42"/>
      <c r="AG27" s="42"/>
      <c r="AH27" s="42"/>
      <c r="AI27" s="42"/>
      <c r="AJ27" s="42"/>
      <c r="AK27" s="42"/>
      <c r="AL27" s="42"/>
      <c r="AM27" s="42"/>
    </row>
    <row r="28" spans="1:39" ht="20.100000000000001" customHeight="1" thickBot="1" x14ac:dyDescent="0.65">
      <c r="A28" s="16">
        <v>2</v>
      </c>
      <c r="B28">
        <v>20201</v>
      </c>
      <c r="C28" t="s">
        <v>52</v>
      </c>
      <c r="D28" s="17">
        <v>34</v>
      </c>
      <c r="E28" s="18">
        <v>6</v>
      </c>
      <c r="F28" s="17">
        <v>23</v>
      </c>
      <c r="G28" s="18">
        <v>6</v>
      </c>
      <c r="H28" s="17">
        <v>37</v>
      </c>
      <c r="I28" s="18">
        <v>7</v>
      </c>
      <c r="J28" s="19">
        <v>6.333333333333333</v>
      </c>
      <c r="K28" s="20">
        <v>6</v>
      </c>
      <c r="L28" s="18">
        <v>8</v>
      </c>
      <c r="M28" s="17">
        <v>6</v>
      </c>
      <c r="N28" s="18">
        <v>9</v>
      </c>
      <c r="O28" s="17">
        <v>27</v>
      </c>
      <c r="P28" s="18">
        <v>4</v>
      </c>
      <c r="Q28" s="21">
        <v>133</v>
      </c>
      <c r="R28" s="22">
        <v>229</v>
      </c>
      <c r="S28" s="23">
        <v>6.375</v>
      </c>
      <c r="U28" s="76"/>
      <c r="V28" s="77"/>
      <c r="W28" s="79"/>
      <c r="X28" s="79"/>
      <c r="Y28" s="79"/>
      <c r="Z28" s="79"/>
      <c r="AA28" s="79"/>
      <c r="AB28" s="79"/>
      <c r="AC28" s="15"/>
      <c r="AD28" s="15"/>
      <c r="AE28" s="15"/>
      <c r="AF28" s="42"/>
      <c r="AG28" s="42"/>
      <c r="AH28" s="42"/>
      <c r="AI28" s="42"/>
      <c r="AJ28" s="42"/>
      <c r="AK28" s="42"/>
      <c r="AL28" s="42"/>
      <c r="AM28" s="42"/>
    </row>
    <row r="29" spans="1:39" ht="20.100000000000001" customHeight="1" x14ac:dyDescent="0.6">
      <c r="A29" s="16">
        <v>2</v>
      </c>
      <c r="B29">
        <v>20202</v>
      </c>
      <c r="C29" t="s">
        <v>53</v>
      </c>
      <c r="D29" s="17">
        <v>38</v>
      </c>
      <c r="E29" s="18">
        <v>6</v>
      </c>
      <c r="F29" s="17">
        <v>25</v>
      </c>
      <c r="G29" s="18">
        <v>6</v>
      </c>
      <c r="H29" s="17">
        <v>56</v>
      </c>
      <c r="I29" s="18">
        <v>5</v>
      </c>
      <c r="J29" s="19">
        <v>5.666666666666667</v>
      </c>
      <c r="K29" s="20">
        <v>40</v>
      </c>
      <c r="L29" s="18">
        <v>1</v>
      </c>
      <c r="M29" s="17">
        <v>14</v>
      </c>
      <c r="N29" s="18">
        <v>6</v>
      </c>
      <c r="O29" s="17">
        <v>5</v>
      </c>
      <c r="P29" s="18">
        <v>9</v>
      </c>
      <c r="Q29" s="21">
        <v>178</v>
      </c>
      <c r="R29" s="22">
        <v>192</v>
      </c>
      <c r="S29" s="23">
        <v>6.125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</row>
    <row r="30" spans="1:39" ht="20.100000000000001" customHeight="1" x14ac:dyDescent="0.6">
      <c r="A30" s="16">
        <v>2</v>
      </c>
      <c r="B30">
        <v>20203</v>
      </c>
      <c r="C30" t="s">
        <v>54</v>
      </c>
      <c r="D30" s="17">
        <v>35</v>
      </c>
      <c r="E30" s="18">
        <v>6</v>
      </c>
      <c r="F30" s="17">
        <v>32</v>
      </c>
      <c r="G30" s="18">
        <v>5</v>
      </c>
      <c r="H30" s="17">
        <v>52</v>
      </c>
      <c r="I30" s="18">
        <v>5</v>
      </c>
      <c r="J30" s="19">
        <v>5.333333333333333</v>
      </c>
      <c r="K30" s="20">
        <v>25</v>
      </c>
      <c r="L30" s="18">
        <v>4</v>
      </c>
      <c r="M30" s="17">
        <v>16</v>
      </c>
      <c r="N30" s="18">
        <v>6</v>
      </c>
      <c r="O30" s="17">
        <v>20</v>
      </c>
      <c r="P30" s="18">
        <v>5</v>
      </c>
      <c r="Q30" s="21">
        <v>180</v>
      </c>
      <c r="R30" s="22">
        <v>190</v>
      </c>
      <c r="S30" s="23">
        <v>5.375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</row>
    <row r="31" spans="1:39" ht="20.100000000000001" customHeight="1" x14ac:dyDescent="0.6">
      <c r="A31" s="16">
        <v>2</v>
      </c>
      <c r="B31">
        <v>20204</v>
      </c>
      <c r="C31" t="s">
        <v>55</v>
      </c>
      <c r="D31" s="17">
        <v>31</v>
      </c>
      <c r="E31" s="18">
        <v>7</v>
      </c>
      <c r="F31" s="17">
        <v>48</v>
      </c>
      <c r="G31" s="18">
        <v>4</v>
      </c>
      <c r="H31" s="17">
        <v>36</v>
      </c>
      <c r="I31" s="18">
        <v>7</v>
      </c>
      <c r="J31" s="19">
        <v>6</v>
      </c>
      <c r="K31" s="20">
        <v>42</v>
      </c>
      <c r="L31" s="18">
        <v>1</v>
      </c>
      <c r="M31" s="17">
        <v>38</v>
      </c>
      <c r="N31" s="18">
        <v>2</v>
      </c>
      <c r="O31" s="17">
        <v>39</v>
      </c>
      <c r="P31" s="18">
        <v>2</v>
      </c>
      <c r="Q31" s="21">
        <v>234</v>
      </c>
      <c r="R31" s="22">
        <v>126</v>
      </c>
      <c r="S31" s="23">
        <v>5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</row>
    <row r="32" spans="1:39" ht="20.100000000000001" customHeight="1" x14ac:dyDescent="0.6">
      <c r="A32" s="16">
        <v>2</v>
      </c>
      <c r="B32">
        <v>20205</v>
      </c>
      <c r="C32" t="s">
        <v>56</v>
      </c>
      <c r="D32" s="17">
        <v>43</v>
      </c>
      <c r="E32" s="18">
        <v>5</v>
      </c>
      <c r="F32" s="17">
        <v>61</v>
      </c>
      <c r="G32" s="18">
        <v>3</v>
      </c>
      <c r="H32" s="17">
        <v>71</v>
      </c>
      <c r="I32" s="18">
        <v>3</v>
      </c>
      <c r="J32" s="19">
        <v>3.6666666666666665</v>
      </c>
      <c r="K32" s="20">
        <v>42</v>
      </c>
      <c r="L32" s="18">
        <v>1</v>
      </c>
      <c r="M32" s="17">
        <v>37</v>
      </c>
      <c r="N32" s="18">
        <v>2</v>
      </c>
      <c r="O32" s="17">
        <v>41</v>
      </c>
      <c r="P32" s="18">
        <v>2</v>
      </c>
      <c r="Q32" s="21">
        <v>295</v>
      </c>
      <c r="R32" s="22">
        <v>58</v>
      </c>
      <c r="S32" s="23">
        <v>3.25</v>
      </c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 spans="1:39" ht="20.100000000000001" customHeight="1" x14ac:dyDescent="0.6">
      <c r="A33" s="16">
        <v>2</v>
      </c>
      <c r="B33">
        <v>20206</v>
      </c>
      <c r="C33" t="s">
        <v>57</v>
      </c>
      <c r="D33" s="17">
        <v>55</v>
      </c>
      <c r="E33" s="18">
        <v>5</v>
      </c>
      <c r="F33" s="17">
        <v>47</v>
      </c>
      <c r="G33" s="18">
        <v>5</v>
      </c>
      <c r="H33" s="17">
        <v>72</v>
      </c>
      <c r="I33" s="18">
        <v>3</v>
      </c>
      <c r="J33" s="19">
        <v>4.333333333333333</v>
      </c>
      <c r="K33" s="20">
        <v>33</v>
      </c>
      <c r="L33" s="18">
        <v>3</v>
      </c>
      <c r="M33" s="17">
        <v>19</v>
      </c>
      <c r="N33" s="18">
        <v>6</v>
      </c>
      <c r="O33" s="17">
        <v>24</v>
      </c>
      <c r="P33" s="18">
        <v>4</v>
      </c>
      <c r="Q33" s="21">
        <v>250</v>
      </c>
      <c r="R33" s="22">
        <v>105</v>
      </c>
      <c r="S33" s="23">
        <v>4.5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20.100000000000001" customHeight="1" x14ac:dyDescent="0.6">
      <c r="A34" s="16">
        <v>2</v>
      </c>
      <c r="B34">
        <v>20207</v>
      </c>
      <c r="C34" t="s">
        <v>58</v>
      </c>
      <c r="D34" s="17">
        <v>79</v>
      </c>
      <c r="E34" s="18">
        <v>2</v>
      </c>
      <c r="F34" s="17">
        <v>68</v>
      </c>
      <c r="G34" s="18">
        <v>3</v>
      </c>
      <c r="H34" s="17">
        <v>76</v>
      </c>
      <c r="I34" s="18">
        <v>3</v>
      </c>
      <c r="J34" s="19">
        <v>2.6666666666666665</v>
      </c>
      <c r="K34" s="20">
        <v>50</v>
      </c>
      <c r="L34" s="18">
        <v>1</v>
      </c>
      <c r="M34" s="17">
        <v>35</v>
      </c>
      <c r="N34" s="18">
        <v>3</v>
      </c>
      <c r="O34" s="17">
        <v>39</v>
      </c>
      <c r="P34" s="18">
        <v>2</v>
      </c>
      <c r="Q34" s="21">
        <v>347</v>
      </c>
      <c r="R34" s="22">
        <v>18</v>
      </c>
      <c r="S34" s="23">
        <v>2.625</v>
      </c>
      <c r="U34" s="42"/>
      <c r="V34" s="42"/>
      <c r="W34" s="4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20.100000000000001" customHeight="1" x14ac:dyDescent="0.6">
      <c r="A35" s="16">
        <v>2</v>
      </c>
      <c r="B35">
        <v>20208</v>
      </c>
      <c r="C35" t="s">
        <v>59</v>
      </c>
      <c r="D35" s="17">
        <v>34</v>
      </c>
      <c r="E35" s="18">
        <v>6</v>
      </c>
      <c r="F35" s="17">
        <v>39</v>
      </c>
      <c r="G35" s="18">
        <v>5</v>
      </c>
      <c r="H35" s="17">
        <v>69</v>
      </c>
      <c r="I35" s="18">
        <v>4</v>
      </c>
      <c r="J35" s="19">
        <v>5</v>
      </c>
      <c r="K35" s="20">
        <v>42</v>
      </c>
      <c r="L35" s="18">
        <v>1</v>
      </c>
      <c r="M35" s="17">
        <v>9</v>
      </c>
      <c r="N35" s="18">
        <v>8</v>
      </c>
      <c r="O35" s="17">
        <v>7</v>
      </c>
      <c r="P35" s="18">
        <v>8</v>
      </c>
      <c r="Q35" s="21">
        <v>200</v>
      </c>
      <c r="R35" s="22">
        <v>163</v>
      </c>
      <c r="S35" s="23">
        <v>5.75</v>
      </c>
      <c r="U35" s="42"/>
      <c r="V35" s="42"/>
      <c r="W35" s="42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20.100000000000001" customHeight="1" x14ac:dyDescent="0.6">
      <c r="A36" s="16">
        <v>2</v>
      </c>
      <c r="B36">
        <v>20209</v>
      </c>
      <c r="C36" t="s">
        <v>60</v>
      </c>
      <c r="D36" s="17">
        <v>23</v>
      </c>
      <c r="E36" s="18">
        <v>8</v>
      </c>
      <c r="F36" s="17">
        <v>12</v>
      </c>
      <c r="G36" s="18">
        <v>8</v>
      </c>
      <c r="H36" s="17">
        <v>40</v>
      </c>
      <c r="I36" s="18">
        <v>6</v>
      </c>
      <c r="J36" s="19">
        <v>7.333333333333333</v>
      </c>
      <c r="K36" s="20">
        <v>19</v>
      </c>
      <c r="L36" s="18">
        <v>6</v>
      </c>
      <c r="M36" s="17">
        <v>15</v>
      </c>
      <c r="N36" s="18">
        <v>6</v>
      </c>
      <c r="O36" s="17">
        <v>15</v>
      </c>
      <c r="P36" s="18">
        <v>6</v>
      </c>
      <c r="Q36" s="21">
        <v>124</v>
      </c>
      <c r="R36" s="22">
        <v>234</v>
      </c>
      <c r="S36" s="23">
        <v>7</v>
      </c>
      <c r="U36" s="42"/>
      <c r="V36" s="42"/>
      <c r="W36" s="42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20.100000000000001" customHeight="1" x14ac:dyDescent="0.6">
      <c r="A37" s="16">
        <v>2</v>
      </c>
      <c r="B37">
        <v>20210</v>
      </c>
      <c r="C37" t="s">
        <v>61</v>
      </c>
      <c r="D37" s="17">
        <v>84</v>
      </c>
      <c r="E37" s="18">
        <v>2</v>
      </c>
      <c r="F37" s="17">
        <v>92</v>
      </c>
      <c r="G37" s="18">
        <v>1</v>
      </c>
      <c r="H37" s="17">
        <v>79</v>
      </c>
      <c r="I37" s="18">
        <v>3</v>
      </c>
      <c r="J37" s="19">
        <v>2</v>
      </c>
      <c r="K37" s="20">
        <v>42</v>
      </c>
      <c r="L37" s="18">
        <v>1</v>
      </c>
      <c r="M37" s="17">
        <v>38</v>
      </c>
      <c r="N37" s="18">
        <v>2</v>
      </c>
      <c r="O37" s="17">
        <v>48</v>
      </c>
      <c r="P37" s="18">
        <v>1</v>
      </c>
      <c r="Q37" s="21">
        <v>383</v>
      </c>
      <c r="R37" s="22">
        <v>6</v>
      </c>
      <c r="S37" s="23">
        <v>1.875</v>
      </c>
      <c r="U37" s="42"/>
      <c r="V37" s="42"/>
      <c r="W37" s="42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20.100000000000001" customHeight="1" x14ac:dyDescent="0.6">
      <c r="A38" s="16">
        <v>2</v>
      </c>
      <c r="B38">
        <v>20211</v>
      </c>
      <c r="C38" t="s">
        <v>62</v>
      </c>
      <c r="D38" s="17">
        <v>76</v>
      </c>
      <c r="E38" s="18">
        <v>3</v>
      </c>
      <c r="F38" s="17">
        <v>45</v>
      </c>
      <c r="G38" s="18">
        <v>5</v>
      </c>
      <c r="H38" s="17">
        <v>67</v>
      </c>
      <c r="I38" s="18">
        <v>4</v>
      </c>
      <c r="J38" s="19">
        <v>4</v>
      </c>
      <c r="K38" s="20">
        <v>50</v>
      </c>
      <c r="L38" s="18">
        <v>1</v>
      </c>
      <c r="M38" s="17">
        <v>39</v>
      </c>
      <c r="N38" s="18">
        <v>2</v>
      </c>
      <c r="O38" s="17">
        <v>39</v>
      </c>
      <c r="P38" s="18">
        <v>2</v>
      </c>
      <c r="Q38" s="21">
        <v>316</v>
      </c>
      <c r="R38" s="22">
        <v>41</v>
      </c>
      <c r="S38" s="23">
        <v>3.5</v>
      </c>
      <c r="U38" s="42"/>
      <c r="V38" s="42"/>
      <c r="W38" s="42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20.100000000000001" customHeight="1" x14ac:dyDescent="0.6">
      <c r="A39" s="16">
        <v>2</v>
      </c>
      <c r="B39">
        <v>20212</v>
      </c>
      <c r="C39" t="s">
        <v>63</v>
      </c>
      <c r="D39" s="17">
        <v>54</v>
      </c>
      <c r="E39" s="18">
        <v>5</v>
      </c>
      <c r="F39" s="17">
        <v>41</v>
      </c>
      <c r="G39" s="18">
        <v>5</v>
      </c>
      <c r="H39" s="17">
        <v>50</v>
      </c>
      <c r="I39" s="18">
        <v>5</v>
      </c>
      <c r="J39" s="19">
        <v>5</v>
      </c>
      <c r="K39" s="20">
        <v>34</v>
      </c>
      <c r="L39" s="18">
        <v>3</v>
      </c>
      <c r="M39" s="17">
        <v>27</v>
      </c>
      <c r="N39" s="18">
        <v>4</v>
      </c>
      <c r="O39" s="17">
        <v>22</v>
      </c>
      <c r="P39" s="18">
        <v>5</v>
      </c>
      <c r="Q39" s="21">
        <v>228</v>
      </c>
      <c r="R39" s="22">
        <v>133</v>
      </c>
      <c r="S39" s="23">
        <v>4.875</v>
      </c>
      <c r="U39" s="42"/>
      <c r="V39" s="42"/>
      <c r="W39" s="42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20.100000000000001" customHeight="1" x14ac:dyDescent="0.6">
      <c r="A40" s="16">
        <v>2</v>
      </c>
      <c r="B40">
        <v>20213</v>
      </c>
      <c r="C40" t="s">
        <v>64</v>
      </c>
      <c r="D40" s="17">
        <v>42</v>
      </c>
      <c r="E40" s="18">
        <v>6</v>
      </c>
      <c r="F40" s="17">
        <v>55</v>
      </c>
      <c r="G40" s="18">
        <v>4</v>
      </c>
      <c r="H40" s="17">
        <v>68</v>
      </c>
      <c r="I40" s="18">
        <v>4</v>
      </c>
      <c r="J40" s="19">
        <v>4.666666666666667</v>
      </c>
      <c r="K40" s="20">
        <v>18</v>
      </c>
      <c r="L40" s="18">
        <v>6</v>
      </c>
      <c r="M40" s="17">
        <v>28</v>
      </c>
      <c r="N40" s="18">
        <v>4</v>
      </c>
      <c r="O40" s="17">
        <v>6</v>
      </c>
      <c r="P40" s="18">
        <v>9</v>
      </c>
      <c r="Q40" s="21">
        <v>217</v>
      </c>
      <c r="R40" s="22">
        <v>143</v>
      </c>
      <c r="S40" s="23">
        <v>5.125</v>
      </c>
      <c r="U40" s="42"/>
      <c r="V40" s="42"/>
      <c r="W40" s="4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20.100000000000001" customHeight="1" x14ac:dyDescent="0.6">
      <c r="A41" s="16">
        <v>2</v>
      </c>
      <c r="B41">
        <v>20214</v>
      </c>
      <c r="C41" t="s">
        <v>65</v>
      </c>
      <c r="D41" s="17">
        <v>61</v>
      </c>
      <c r="E41" s="18">
        <v>4</v>
      </c>
      <c r="F41" s="17">
        <v>60</v>
      </c>
      <c r="G41" s="18">
        <v>4</v>
      </c>
      <c r="H41" s="17">
        <v>69</v>
      </c>
      <c r="I41" s="18">
        <v>4</v>
      </c>
      <c r="J41" s="19">
        <v>4</v>
      </c>
      <c r="K41" s="20">
        <v>27</v>
      </c>
      <c r="L41" s="18">
        <v>4</v>
      </c>
      <c r="M41" s="17">
        <v>31</v>
      </c>
      <c r="N41" s="18">
        <v>4</v>
      </c>
      <c r="O41" s="17">
        <v>40</v>
      </c>
      <c r="P41" s="18">
        <v>2</v>
      </c>
      <c r="Q41" s="21">
        <v>288</v>
      </c>
      <c r="R41" s="22">
        <v>65</v>
      </c>
      <c r="S41" s="23">
        <v>3.75</v>
      </c>
      <c r="U41" s="42"/>
      <c r="V41" s="42"/>
      <c r="W41" s="4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20.100000000000001" customHeight="1" x14ac:dyDescent="0.6">
      <c r="A42" s="16">
        <v>2</v>
      </c>
      <c r="B42">
        <v>20215</v>
      </c>
      <c r="C42" t="s">
        <v>66</v>
      </c>
      <c r="D42" s="17">
        <v>38</v>
      </c>
      <c r="E42" s="18">
        <v>6</v>
      </c>
      <c r="F42" s="17">
        <v>54</v>
      </c>
      <c r="G42" s="18">
        <v>4</v>
      </c>
      <c r="H42" s="17">
        <v>50</v>
      </c>
      <c r="I42" s="18">
        <v>5</v>
      </c>
      <c r="J42" s="19">
        <v>5</v>
      </c>
      <c r="K42" s="20">
        <v>35</v>
      </c>
      <c r="L42" s="18">
        <v>2</v>
      </c>
      <c r="M42" s="17">
        <v>32</v>
      </c>
      <c r="N42" s="18">
        <v>3</v>
      </c>
      <c r="O42" s="17">
        <v>35</v>
      </c>
      <c r="P42" s="18">
        <v>3</v>
      </c>
      <c r="Q42" s="21">
        <v>244</v>
      </c>
      <c r="R42" s="22">
        <v>110</v>
      </c>
      <c r="S42" s="23">
        <v>4.5</v>
      </c>
      <c r="U42" s="42"/>
      <c r="V42" s="42"/>
      <c r="W42" s="4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20.100000000000001" customHeight="1" x14ac:dyDescent="0.6">
      <c r="A43" s="16">
        <v>2</v>
      </c>
      <c r="B43">
        <v>20216</v>
      </c>
      <c r="C43" t="s">
        <v>67</v>
      </c>
      <c r="D43" s="17">
        <v>86</v>
      </c>
      <c r="E43" s="18">
        <v>2</v>
      </c>
      <c r="F43" s="17">
        <v>61</v>
      </c>
      <c r="G43" s="18">
        <v>3</v>
      </c>
      <c r="H43" s="17">
        <v>82</v>
      </c>
      <c r="I43" s="18">
        <v>2</v>
      </c>
      <c r="J43" s="19">
        <v>2.3333333333333335</v>
      </c>
      <c r="K43" s="20">
        <v>27</v>
      </c>
      <c r="L43" s="18">
        <v>4</v>
      </c>
      <c r="M43" s="17">
        <v>25</v>
      </c>
      <c r="N43" s="18">
        <v>4</v>
      </c>
      <c r="O43" s="17">
        <v>44</v>
      </c>
      <c r="P43" s="18">
        <v>1</v>
      </c>
      <c r="Q43" s="21">
        <v>325</v>
      </c>
      <c r="R43" s="22">
        <v>36</v>
      </c>
      <c r="S43" s="23">
        <v>2.375</v>
      </c>
      <c r="U43" s="42"/>
      <c r="V43" s="42"/>
      <c r="W43" s="4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20.100000000000001" customHeight="1" x14ac:dyDescent="0.6">
      <c r="A44" s="16">
        <v>2</v>
      </c>
      <c r="B44">
        <v>20217</v>
      </c>
      <c r="C44" t="s">
        <v>68</v>
      </c>
      <c r="D44" s="17">
        <v>53</v>
      </c>
      <c r="E44" s="18">
        <v>5</v>
      </c>
      <c r="F44" s="17">
        <v>27</v>
      </c>
      <c r="G44" s="18">
        <v>6</v>
      </c>
      <c r="H44" s="17">
        <v>32</v>
      </c>
      <c r="I44" s="18">
        <v>7</v>
      </c>
      <c r="J44" s="19">
        <v>6</v>
      </c>
      <c r="K44" s="20">
        <v>26</v>
      </c>
      <c r="L44" s="18">
        <v>4</v>
      </c>
      <c r="M44" s="17">
        <v>32</v>
      </c>
      <c r="N44" s="18">
        <v>3</v>
      </c>
      <c r="O44" s="17">
        <v>23</v>
      </c>
      <c r="P44" s="18">
        <v>5</v>
      </c>
      <c r="Q44" s="21">
        <v>193</v>
      </c>
      <c r="R44" s="22">
        <v>167</v>
      </c>
      <c r="S44" s="23">
        <v>5.5</v>
      </c>
      <c r="U44" s="42"/>
      <c r="V44" s="42"/>
      <c r="W44" s="4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20.100000000000001" customHeight="1" x14ac:dyDescent="0.6">
      <c r="A45" s="16">
        <v>2</v>
      </c>
      <c r="B45">
        <v>20218</v>
      </c>
      <c r="C45" t="s">
        <v>69</v>
      </c>
      <c r="D45" s="17">
        <v>80</v>
      </c>
      <c r="E45" s="18">
        <v>2</v>
      </c>
      <c r="F45" s="17">
        <v>62</v>
      </c>
      <c r="G45" s="18">
        <v>3</v>
      </c>
      <c r="H45" s="17">
        <v>71</v>
      </c>
      <c r="I45" s="18">
        <v>3</v>
      </c>
      <c r="J45" s="19">
        <v>2.6666666666666665</v>
      </c>
      <c r="K45" s="20">
        <v>42</v>
      </c>
      <c r="L45" s="18">
        <v>1</v>
      </c>
      <c r="M45" s="17">
        <v>48</v>
      </c>
      <c r="N45" s="18">
        <v>1</v>
      </c>
      <c r="O45" s="17">
        <v>37</v>
      </c>
      <c r="P45" s="18">
        <v>2</v>
      </c>
      <c r="Q45" s="21">
        <v>340</v>
      </c>
      <c r="R45" s="22">
        <v>24</v>
      </c>
      <c r="S45" s="23">
        <v>2.375</v>
      </c>
      <c r="U45" s="42"/>
      <c r="V45" s="42"/>
      <c r="W45" s="4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20.100000000000001" customHeight="1" x14ac:dyDescent="0.6">
      <c r="A46" s="16">
        <v>2</v>
      </c>
      <c r="B46">
        <v>20219</v>
      </c>
      <c r="C46" t="s">
        <v>70</v>
      </c>
      <c r="D46" s="17">
        <v>45</v>
      </c>
      <c r="E46" s="18">
        <v>5</v>
      </c>
      <c r="F46" s="17">
        <v>49</v>
      </c>
      <c r="G46" s="18">
        <v>4</v>
      </c>
      <c r="H46" s="17">
        <v>51</v>
      </c>
      <c r="I46" s="18">
        <v>5</v>
      </c>
      <c r="J46" s="19">
        <v>4.666666666666667</v>
      </c>
      <c r="K46" s="20">
        <v>25</v>
      </c>
      <c r="L46" s="18">
        <v>4</v>
      </c>
      <c r="M46" s="17">
        <v>24</v>
      </c>
      <c r="N46" s="18">
        <v>5</v>
      </c>
      <c r="O46" s="17">
        <v>29</v>
      </c>
      <c r="P46" s="18">
        <v>4</v>
      </c>
      <c r="Q46" s="21">
        <v>223</v>
      </c>
      <c r="R46" s="22">
        <v>135</v>
      </c>
      <c r="S46" s="23">
        <v>4.625</v>
      </c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1"/>
      <c r="AH46" s="1"/>
      <c r="AI46" s="1"/>
      <c r="AJ46" s="1"/>
      <c r="AK46" s="1"/>
      <c r="AL46" s="1"/>
      <c r="AM46" s="1"/>
    </row>
    <row r="47" spans="1:39" ht="20.100000000000001" customHeight="1" x14ac:dyDescent="0.6">
      <c r="A47" s="16">
        <v>2</v>
      </c>
      <c r="B47">
        <v>20220</v>
      </c>
      <c r="C47" t="s">
        <v>71</v>
      </c>
      <c r="D47" s="17">
        <v>57</v>
      </c>
      <c r="E47" s="18">
        <v>4</v>
      </c>
      <c r="F47" s="17">
        <v>43</v>
      </c>
      <c r="G47" s="18">
        <v>5</v>
      </c>
      <c r="H47" s="17">
        <v>67</v>
      </c>
      <c r="I47" s="18">
        <v>4</v>
      </c>
      <c r="J47" s="19">
        <v>4.333333333333333</v>
      </c>
      <c r="K47" s="20">
        <v>42</v>
      </c>
      <c r="L47" s="18">
        <v>1</v>
      </c>
      <c r="M47" s="17">
        <v>7</v>
      </c>
      <c r="N47" s="18">
        <v>9</v>
      </c>
      <c r="O47" s="17">
        <v>16</v>
      </c>
      <c r="P47" s="18">
        <v>6</v>
      </c>
      <c r="Q47" s="21">
        <v>232</v>
      </c>
      <c r="R47" s="22">
        <v>130</v>
      </c>
      <c r="S47" s="23">
        <v>5.125</v>
      </c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1"/>
      <c r="AH47" s="1"/>
      <c r="AI47" s="1"/>
      <c r="AJ47" s="1"/>
      <c r="AK47" s="1"/>
      <c r="AL47" s="1"/>
      <c r="AM47" s="1"/>
    </row>
    <row r="48" spans="1:39" ht="20.100000000000001" customHeight="1" x14ac:dyDescent="0.6">
      <c r="A48" s="16">
        <v>2</v>
      </c>
      <c r="B48">
        <v>20221</v>
      </c>
      <c r="C48" t="s">
        <v>72</v>
      </c>
      <c r="D48" s="17">
        <v>28</v>
      </c>
      <c r="E48" s="18">
        <v>7</v>
      </c>
      <c r="F48" s="17">
        <v>43</v>
      </c>
      <c r="G48" s="18">
        <v>5</v>
      </c>
      <c r="H48" s="17">
        <v>47</v>
      </c>
      <c r="I48" s="18">
        <v>6</v>
      </c>
      <c r="J48" s="19">
        <v>6</v>
      </c>
      <c r="K48" s="20">
        <v>8</v>
      </c>
      <c r="L48" s="18">
        <v>8</v>
      </c>
      <c r="M48" s="17">
        <v>9</v>
      </c>
      <c r="N48" s="18">
        <v>8</v>
      </c>
      <c r="O48" s="17">
        <v>10</v>
      </c>
      <c r="P48" s="18">
        <v>7</v>
      </c>
      <c r="Q48" s="21">
        <v>145</v>
      </c>
      <c r="R48" s="22">
        <v>223</v>
      </c>
      <c r="S48" s="23">
        <v>6.375</v>
      </c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</row>
    <row r="49" spans="1:39" ht="20.100000000000001" customHeight="1" x14ac:dyDescent="0.6">
      <c r="A49" s="16">
        <v>2</v>
      </c>
      <c r="B49">
        <v>20222</v>
      </c>
      <c r="C49" t="s">
        <v>73</v>
      </c>
      <c r="D49" s="17">
        <v>89</v>
      </c>
      <c r="E49" s="18">
        <v>1</v>
      </c>
      <c r="F49" s="17">
        <v>77</v>
      </c>
      <c r="G49" s="18">
        <v>2</v>
      </c>
      <c r="H49" s="17">
        <v>73</v>
      </c>
      <c r="I49" s="18">
        <v>3</v>
      </c>
      <c r="J49" s="19">
        <v>2</v>
      </c>
      <c r="K49" s="20">
        <v>24</v>
      </c>
      <c r="L49" s="18">
        <v>5</v>
      </c>
      <c r="M49" s="17">
        <v>12</v>
      </c>
      <c r="N49" s="18">
        <v>7</v>
      </c>
      <c r="O49" s="17">
        <v>41</v>
      </c>
      <c r="P49" s="18">
        <v>2</v>
      </c>
      <c r="Q49" s="21">
        <v>316</v>
      </c>
      <c r="R49" s="22">
        <v>41</v>
      </c>
      <c r="S49" s="23">
        <v>2.625</v>
      </c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</row>
    <row r="50" spans="1:39" ht="20.100000000000001" customHeight="1" x14ac:dyDescent="0.6">
      <c r="A50" s="16">
        <v>2</v>
      </c>
      <c r="B50">
        <v>20223</v>
      </c>
      <c r="C50" t="s">
        <v>74</v>
      </c>
      <c r="D50" s="17">
        <v>17</v>
      </c>
      <c r="E50" s="18">
        <v>9</v>
      </c>
      <c r="F50" s="17">
        <v>25</v>
      </c>
      <c r="G50" s="18">
        <v>6</v>
      </c>
      <c r="H50" s="17">
        <v>39</v>
      </c>
      <c r="I50" s="18">
        <v>7</v>
      </c>
      <c r="J50" s="19">
        <v>7.333333333333333</v>
      </c>
      <c r="K50" s="20">
        <v>14</v>
      </c>
      <c r="L50" s="18">
        <v>7</v>
      </c>
      <c r="M50" s="17">
        <v>11</v>
      </c>
      <c r="N50" s="18">
        <v>7</v>
      </c>
      <c r="O50" s="17">
        <v>10</v>
      </c>
      <c r="P50" s="18">
        <v>7</v>
      </c>
      <c r="Q50" s="21">
        <v>116</v>
      </c>
      <c r="R50" s="22">
        <v>240</v>
      </c>
      <c r="S50" s="23">
        <v>7.25</v>
      </c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</row>
    <row r="51" spans="1:39" ht="20.100000000000001" customHeight="1" x14ac:dyDescent="0.6">
      <c r="A51" s="16">
        <v>2</v>
      </c>
      <c r="B51">
        <v>20224</v>
      </c>
      <c r="C51" t="s">
        <v>75</v>
      </c>
      <c r="D51" s="17">
        <v>17</v>
      </c>
      <c r="E51" s="18">
        <v>9</v>
      </c>
      <c r="F51" s="17">
        <v>28</v>
      </c>
      <c r="G51" s="18">
        <v>6</v>
      </c>
      <c r="H51" s="17">
        <v>47</v>
      </c>
      <c r="I51" s="18">
        <v>6</v>
      </c>
      <c r="J51" s="19">
        <v>7</v>
      </c>
      <c r="K51" s="20">
        <v>11</v>
      </c>
      <c r="L51" s="18">
        <v>7</v>
      </c>
      <c r="M51" s="17">
        <v>6</v>
      </c>
      <c r="N51" s="18">
        <v>9</v>
      </c>
      <c r="O51" s="17">
        <v>7</v>
      </c>
      <c r="P51" s="18">
        <v>8</v>
      </c>
      <c r="Q51" s="21">
        <v>116</v>
      </c>
      <c r="R51" s="22">
        <v>240</v>
      </c>
      <c r="S51" s="23">
        <v>7.375</v>
      </c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</row>
    <row r="52" spans="1:39" ht="20.100000000000001" customHeight="1" x14ac:dyDescent="0.6">
      <c r="A52" s="16">
        <v>2</v>
      </c>
      <c r="B52">
        <v>20225</v>
      </c>
      <c r="C52" t="s">
        <v>76</v>
      </c>
      <c r="D52" s="17">
        <v>25</v>
      </c>
      <c r="E52" s="18">
        <v>7</v>
      </c>
      <c r="F52" s="17">
        <v>28</v>
      </c>
      <c r="G52" s="18">
        <v>6</v>
      </c>
      <c r="H52" s="17">
        <v>66</v>
      </c>
      <c r="I52" s="18">
        <v>4</v>
      </c>
      <c r="J52" s="19">
        <v>5.666666666666667</v>
      </c>
      <c r="K52" s="20">
        <v>11</v>
      </c>
      <c r="L52" s="18">
        <v>7</v>
      </c>
      <c r="M52" s="17">
        <v>5</v>
      </c>
      <c r="N52" s="18">
        <v>9</v>
      </c>
      <c r="O52" s="17">
        <v>7</v>
      </c>
      <c r="P52" s="18">
        <v>8</v>
      </c>
      <c r="Q52" s="21">
        <v>142</v>
      </c>
      <c r="R52" s="22">
        <v>225</v>
      </c>
      <c r="S52" s="23">
        <v>6.375</v>
      </c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</row>
    <row r="53" spans="1:39" ht="20.100000000000001" customHeight="1" x14ac:dyDescent="0.6">
      <c r="A53" s="16">
        <v>2</v>
      </c>
      <c r="B53">
        <v>20226</v>
      </c>
      <c r="C53" t="s">
        <v>77</v>
      </c>
      <c r="D53" s="17">
        <v>30</v>
      </c>
      <c r="E53" s="18">
        <v>7</v>
      </c>
      <c r="F53" s="17">
        <v>14</v>
      </c>
      <c r="G53" s="18">
        <v>7</v>
      </c>
      <c r="H53" s="17">
        <v>41</v>
      </c>
      <c r="I53" s="18">
        <v>6</v>
      </c>
      <c r="J53" s="19">
        <v>6.666666666666667</v>
      </c>
      <c r="K53" s="20">
        <v>31</v>
      </c>
      <c r="L53" s="18">
        <v>3</v>
      </c>
      <c r="M53" s="17">
        <v>8</v>
      </c>
      <c r="N53" s="18">
        <v>8</v>
      </c>
      <c r="O53" s="17">
        <v>9</v>
      </c>
      <c r="P53" s="18">
        <v>8</v>
      </c>
      <c r="Q53" s="21">
        <v>133</v>
      </c>
      <c r="R53" s="22">
        <v>229</v>
      </c>
      <c r="S53" s="23">
        <v>7</v>
      </c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</row>
    <row r="54" spans="1:39" ht="20.100000000000001" customHeight="1" x14ac:dyDescent="0.6">
      <c r="A54" s="16">
        <v>3</v>
      </c>
      <c r="B54">
        <v>20301</v>
      </c>
      <c r="C54" t="s">
        <v>78</v>
      </c>
      <c r="D54" s="17">
        <v>80</v>
      </c>
      <c r="E54" s="18">
        <v>2</v>
      </c>
      <c r="F54" s="17">
        <v>67</v>
      </c>
      <c r="G54" s="18">
        <v>3</v>
      </c>
      <c r="H54" s="17">
        <v>75</v>
      </c>
      <c r="I54" s="18">
        <v>3</v>
      </c>
      <c r="J54" s="19">
        <v>2.6666666666666665</v>
      </c>
      <c r="K54" s="20">
        <v>32</v>
      </c>
      <c r="L54" s="18">
        <v>3</v>
      </c>
      <c r="M54" s="17">
        <v>9</v>
      </c>
      <c r="N54" s="18">
        <v>8</v>
      </c>
      <c r="O54" s="17">
        <v>45</v>
      </c>
      <c r="P54" s="18">
        <v>1</v>
      </c>
      <c r="Q54" s="21">
        <v>308</v>
      </c>
      <c r="R54" s="22">
        <v>48</v>
      </c>
      <c r="S54" s="23">
        <v>3.125</v>
      </c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</row>
    <row r="55" spans="1:39" ht="20.100000000000001" customHeight="1" x14ac:dyDescent="0.6">
      <c r="A55" s="16">
        <v>3</v>
      </c>
      <c r="B55">
        <v>20302</v>
      </c>
      <c r="C55" t="s">
        <v>79</v>
      </c>
      <c r="D55" s="17">
        <v>42</v>
      </c>
      <c r="E55" s="18">
        <v>6</v>
      </c>
      <c r="F55" s="17">
        <v>41</v>
      </c>
      <c r="G55" s="18">
        <v>5</v>
      </c>
      <c r="H55" s="17">
        <v>28</v>
      </c>
      <c r="I55" s="18">
        <v>8</v>
      </c>
      <c r="J55" s="19">
        <v>6.333333333333333</v>
      </c>
      <c r="K55" s="20">
        <v>25</v>
      </c>
      <c r="L55" s="18">
        <v>4</v>
      </c>
      <c r="M55" s="17">
        <v>23</v>
      </c>
      <c r="N55" s="18">
        <v>5</v>
      </c>
      <c r="O55" s="17">
        <v>10</v>
      </c>
      <c r="P55" s="18">
        <v>7</v>
      </c>
      <c r="Q55" s="21">
        <v>169</v>
      </c>
      <c r="R55" s="22">
        <v>203</v>
      </c>
      <c r="S55" s="23">
        <v>6.25</v>
      </c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</row>
    <row r="56" spans="1:39" ht="20.100000000000001" customHeight="1" x14ac:dyDescent="0.6">
      <c r="A56" s="16">
        <v>3</v>
      </c>
      <c r="B56">
        <v>20303</v>
      </c>
      <c r="C56" t="s">
        <v>80</v>
      </c>
      <c r="D56" s="17">
        <v>59</v>
      </c>
      <c r="E56" s="18">
        <v>4</v>
      </c>
      <c r="F56" s="17">
        <v>62</v>
      </c>
      <c r="G56" s="18">
        <v>3</v>
      </c>
      <c r="H56" s="17">
        <v>48</v>
      </c>
      <c r="I56" s="18">
        <v>6</v>
      </c>
      <c r="J56" s="19">
        <v>4.333333333333333</v>
      </c>
      <c r="K56" s="20">
        <v>34</v>
      </c>
      <c r="L56" s="18">
        <v>3</v>
      </c>
      <c r="M56" s="17">
        <v>23</v>
      </c>
      <c r="N56" s="18">
        <v>5</v>
      </c>
      <c r="O56" s="17">
        <v>32</v>
      </c>
      <c r="P56" s="18">
        <v>3</v>
      </c>
      <c r="Q56" s="21">
        <v>258</v>
      </c>
      <c r="R56" s="22">
        <v>94</v>
      </c>
      <c r="S56" s="23">
        <v>4.25</v>
      </c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39" ht="20.100000000000001" customHeight="1" x14ac:dyDescent="0.6">
      <c r="A57" s="16">
        <v>3</v>
      </c>
      <c r="B57">
        <v>20304</v>
      </c>
      <c r="C57" t="s">
        <v>53</v>
      </c>
      <c r="D57" s="17">
        <v>27</v>
      </c>
      <c r="E57" s="18">
        <v>7</v>
      </c>
      <c r="F57" s="17">
        <v>34</v>
      </c>
      <c r="G57" s="18">
        <v>5</v>
      </c>
      <c r="H57" s="17">
        <v>67</v>
      </c>
      <c r="I57" s="18">
        <v>4</v>
      </c>
      <c r="J57" s="19">
        <v>5.333333333333333</v>
      </c>
      <c r="K57" s="20">
        <v>17</v>
      </c>
      <c r="L57" s="18">
        <v>6</v>
      </c>
      <c r="M57" s="17">
        <v>19</v>
      </c>
      <c r="N57" s="18">
        <v>6</v>
      </c>
      <c r="O57" s="17">
        <v>26</v>
      </c>
      <c r="P57" s="18">
        <v>4</v>
      </c>
      <c r="Q57" s="21">
        <v>190</v>
      </c>
      <c r="R57" s="22">
        <v>171</v>
      </c>
      <c r="S57" s="23">
        <v>5.25</v>
      </c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39" ht="20.100000000000001" customHeight="1" x14ac:dyDescent="0.6">
      <c r="A58" s="16">
        <v>3</v>
      </c>
      <c r="B58">
        <v>20305</v>
      </c>
      <c r="C58" t="s">
        <v>81</v>
      </c>
      <c r="D58" s="17">
        <v>80</v>
      </c>
      <c r="E58" s="18">
        <v>2</v>
      </c>
      <c r="F58" s="17">
        <v>72</v>
      </c>
      <c r="G58" s="18">
        <v>3</v>
      </c>
      <c r="H58" s="17">
        <v>90</v>
      </c>
      <c r="I58" s="18">
        <v>1</v>
      </c>
      <c r="J58" s="19">
        <v>2</v>
      </c>
      <c r="K58" s="20">
        <v>48</v>
      </c>
      <c r="L58" s="18">
        <v>1</v>
      </c>
      <c r="M58" s="17">
        <v>46</v>
      </c>
      <c r="N58" s="18">
        <v>1</v>
      </c>
      <c r="O58" s="17">
        <v>43</v>
      </c>
      <c r="P58" s="18">
        <v>1</v>
      </c>
      <c r="Q58" s="21">
        <v>379</v>
      </c>
      <c r="R58" s="22">
        <v>7</v>
      </c>
      <c r="S58" s="23">
        <v>1.75</v>
      </c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</row>
    <row r="59" spans="1:39" ht="20.100000000000001" customHeight="1" x14ac:dyDescent="0.6">
      <c r="A59" s="16">
        <v>3</v>
      </c>
      <c r="B59">
        <v>20306</v>
      </c>
      <c r="C59" t="s">
        <v>82</v>
      </c>
      <c r="D59" s="17">
        <v>52</v>
      </c>
      <c r="E59" s="18">
        <v>5</v>
      </c>
      <c r="F59" s="17">
        <v>18</v>
      </c>
      <c r="G59" s="18">
        <v>7</v>
      </c>
      <c r="H59" s="17">
        <v>46</v>
      </c>
      <c r="I59" s="18">
        <v>6</v>
      </c>
      <c r="J59" s="19">
        <v>6</v>
      </c>
      <c r="K59" s="20">
        <v>26</v>
      </c>
      <c r="L59" s="18">
        <v>4</v>
      </c>
      <c r="M59" s="17">
        <v>12</v>
      </c>
      <c r="N59" s="18">
        <v>7</v>
      </c>
      <c r="O59" s="17">
        <v>20</v>
      </c>
      <c r="P59" s="18">
        <v>5</v>
      </c>
      <c r="Q59" s="21">
        <v>174</v>
      </c>
      <c r="R59" s="22">
        <v>196</v>
      </c>
      <c r="S59" s="23">
        <v>6</v>
      </c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</row>
    <row r="60" spans="1:39" ht="20.100000000000001" customHeight="1" x14ac:dyDescent="0.6">
      <c r="A60" s="16">
        <v>3</v>
      </c>
      <c r="B60">
        <v>20307</v>
      </c>
      <c r="C60" t="s">
        <v>83</v>
      </c>
      <c r="D60" s="17">
        <v>37</v>
      </c>
      <c r="E60" s="18">
        <v>6</v>
      </c>
      <c r="F60" s="17">
        <v>28</v>
      </c>
      <c r="G60" s="18">
        <v>6</v>
      </c>
      <c r="H60" s="17">
        <v>38</v>
      </c>
      <c r="I60" s="18">
        <v>7</v>
      </c>
      <c r="J60" s="19">
        <v>6.333333333333333</v>
      </c>
      <c r="K60" s="20">
        <v>45</v>
      </c>
      <c r="L60" s="18">
        <v>1</v>
      </c>
      <c r="M60" s="17">
        <v>24</v>
      </c>
      <c r="N60" s="18">
        <v>5</v>
      </c>
      <c r="O60" s="17">
        <v>20</v>
      </c>
      <c r="P60" s="18">
        <v>5</v>
      </c>
      <c r="Q60" s="21">
        <v>192</v>
      </c>
      <c r="R60" s="22">
        <v>168</v>
      </c>
      <c r="S60" s="23">
        <v>6</v>
      </c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39" ht="20.100000000000001" customHeight="1" x14ac:dyDescent="0.6">
      <c r="A61" s="16">
        <v>3</v>
      </c>
      <c r="B61">
        <v>20308</v>
      </c>
      <c r="C61" t="s">
        <v>84</v>
      </c>
      <c r="D61" s="17">
        <v>49</v>
      </c>
      <c r="E61" s="18">
        <v>5</v>
      </c>
      <c r="F61" s="17">
        <v>60</v>
      </c>
      <c r="G61" s="18">
        <v>4</v>
      </c>
      <c r="H61" s="17">
        <v>76</v>
      </c>
      <c r="I61" s="18">
        <v>3</v>
      </c>
      <c r="J61" s="19">
        <v>4</v>
      </c>
      <c r="K61" s="20">
        <v>34</v>
      </c>
      <c r="L61" s="18">
        <v>3</v>
      </c>
      <c r="M61" s="17">
        <v>16</v>
      </c>
      <c r="N61" s="18">
        <v>6</v>
      </c>
      <c r="O61" s="17">
        <v>21</v>
      </c>
      <c r="P61" s="18">
        <v>5</v>
      </c>
      <c r="Q61" s="21">
        <v>256</v>
      </c>
      <c r="R61" s="22">
        <v>96</v>
      </c>
      <c r="S61" s="23">
        <v>4.375</v>
      </c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39" ht="20.100000000000001" customHeight="1" x14ac:dyDescent="0.6">
      <c r="A62" s="16">
        <v>3</v>
      </c>
      <c r="B62">
        <v>20309</v>
      </c>
      <c r="C62" t="s">
        <v>85</v>
      </c>
      <c r="D62" s="17">
        <v>30</v>
      </c>
      <c r="E62" s="18">
        <v>7</v>
      </c>
      <c r="F62" s="17">
        <v>9</v>
      </c>
      <c r="G62" s="18">
        <v>9</v>
      </c>
      <c r="H62" s="17">
        <v>24</v>
      </c>
      <c r="I62" s="18">
        <v>8</v>
      </c>
      <c r="J62" s="19">
        <v>8</v>
      </c>
      <c r="K62" s="20">
        <v>24</v>
      </c>
      <c r="L62" s="18">
        <v>5</v>
      </c>
      <c r="M62" s="17">
        <v>16</v>
      </c>
      <c r="N62" s="18">
        <v>6</v>
      </c>
      <c r="O62" s="17">
        <v>17</v>
      </c>
      <c r="P62" s="18">
        <v>6</v>
      </c>
      <c r="Q62" s="21">
        <v>120</v>
      </c>
      <c r="R62" s="22">
        <v>237</v>
      </c>
      <c r="S62" s="23">
        <v>7.5</v>
      </c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</row>
    <row r="63" spans="1:39" ht="20.100000000000001" customHeight="1" x14ac:dyDescent="0.6">
      <c r="A63" s="16">
        <v>3</v>
      </c>
      <c r="B63">
        <v>20310</v>
      </c>
      <c r="C63" t="s">
        <v>86</v>
      </c>
      <c r="D63" s="17">
        <v>56</v>
      </c>
      <c r="E63" s="18">
        <v>4</v>
      </c>
      <c r="F63" s="17">
        <v>62</v>
      </c>
      <c r="G63" s="18">
        <v>3</v>
      </c>
      <c r="H63" s="17">
        <v>74</v>
      </c>
      <c r="I63" s="18">
        <v>3</v>
      </c>
      <c r="J63" s="19">
        <v>3.3333333333333335</v>
      </c>
      <c r="K63" s="20">
        <v>23</v>
      </c>
      <c r="L63" s="18">
        <v>5</v>
      </c>
      <c r="M63" s="17">
        <v>28</v>
      </c>
      <c r="N63" s="18">
        <v>4</v>
      </c>
      <c r="O63" s="17">
        <v>12</v>
      </c>
      <c r="P63" s="18">
        <v>7</v>
      </c>
      <c r="Q63" s="21">
        <v>255</v>
      </c>
      <c r="R63" s="22">
        <v>98</v>
      </c>
      <c r="S63" s="23">
        <v>3.875</v>
      </c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</row>
    <row r="64" spans="1:39" ht="20.100000000000001" customHeight="1" x14ac:dyDescent="0.6">
      <c r="A64" s="16">
        <v>3</v>
      </c>
      <c r="B64">
        <v>20311</v>
      </c>
      <c r="C64" t="s">
        <v>87</v>
      </c>
      <c r="D64" s="17">
        <v>81</v>
      </c>
      <c r="E64" s="18">
        <v>2</v>
      </c>
      <c r="F64" s="17">
        <v>76</v>
      </c>
      <c r="G64" s="18">
        <v>2</v>
      </c>
      <c r="H64" s="17">
        <v>77</v>
      </c>
      <c r="I64" s="18">
        <v>3</v>
      </c>
      <c r="J64" s="19">
        <v>2.3333333333333335</v>
      </c>
      <c r="K64" s="20">
        <v>27</v>
      </c>
      <c r="L64" s="18">
        <v>4</v>
      </c>
      <c r="M64" s="17">
        <v>9</v>
      </c>
      <c r="N64" s="18">
        <v>8</v>
      </c>
      <c r="O64" s="17">
        <v>28</v>
      </c>
      <c r="P64" s="18">
        <v>4</v>
      </c>
      <c r="Q64" s="21">
        <v>298</v>
      </c>
      <c r="R64" s="22">
        <v>57</v>
      </c>
      <c r="S64" s="23">
        <v>3.25</v>
      </c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</row>
    <row r="65" spans="1:39" ht="20.100000000000001" customHeight="1" x14ac:dyDescent="0.6">
      <c r="A65" s="16">
        <v>3</v>
      </c>
      <c r="B65">
        <v>20312</v>
      </c>
      <c r="C65" t="s">
        <v>88</v>
      </c>
      <c r="D65" s="17">
        <v>32</v>
      </c>
      <c r="E65" s="18">
        <v>6</v>
      </c>
      <c r="F65" s="17">
        <v>13</v>
      </c>
      <c r="G65" s="18">
        <v>8</v>
      </c>
      <c r="H65" s="17" t="s">
        <v>279</v>
      </c>
      <c r="I65" s="18" t="e">
        <v>#N/A</v>
      </c>
      <c r="J65" s="19"/>
      <c r="K65" s="20" t="s">
        <v>279</v>
      </c>
      <c r="L65" s="18" t="e">
        <v>#N/A</v>
      </c>
      <c r="M65" s="17" t="s">
        <v>279</v>
      </c>
      <c r="N65" s="18" t="e">
        <v>#N/A</v>
      </c>
      <c r="O65" s="17" t="s">
        <v>279</v>
      </c>
      <c r="P65" s="18" t="e">
        <v>#N/A</v>
      </c>
      <c r="Q65" s="21"/>
      <c r="R65" s="22" t="e">
        <v>#N/A</v>
      </c>
      <c r="S65" s="23" t="e">
        <v>#N/A</v>
      </c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1:39" ht="20.100000000000001" customHeight="1" x14ac:dyDescent="0.6">
      <c r="A66" s="16">
        <v>3</v>
      </c>
      <c r="B66">
        <v>20313</v>
      </c>
      <c r="C66" t="s">
        <v>89</v>
      </c>
      <c r="D66" s="17">
        <v>68</v>
      </c>
      <c r="E66" s="18">
        <v>3</v>
      </c>
      <c r="F66" s="17">
        <v>59</v>
      </c>
      <c r="G66" s="18">
        <v>4</v>
      </c>
      <c r="H66" s="17">
        <v>72</v>
      </c>
      <c r="I66" s="18">
        <v>3</v>
      </c>
      <c r="J66" s="19">
        <v>3.3333333333333335</v>
      </c>
      <c r="K66" s="20">
        <v>50</v>
      </c>
      <c r="L66" s="18">
        <v>1</v>
      </c>
      <c r="M66" s="17">
        <v>34</v>
      </c>
      <c r="N66" s="18">
        <v>3</v>
      </c>
      <c r="O66" s="17">
        <v>35</v>
      </c>
      <c r="P66" s="18">
        <v>3</v>
      </c>
      <c r="Q66" s="21">
        <v>318</v>
      </c>
      <c r="R66" s="22">
        <v>39</v>
      </c>
      <c r="S66" s="23">
        <v>3.25</v>
      </c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</row>
    <row r="67" spans="1:39" ht="20.100000000000001" customHeight="1" x14ac:dyDescent="0.6">
      <c r="A67" s="16">
        <v>3</v>
      </c>
      <c r="B67">
        <v>20314</v>
      </c>
      <c r="C67" t="s">
        <v>90</v>
      </c>
      <c r="D67" s="17">
        <v>73</v>
      </c>
      <c r="E67" s="18">
        <v>3</v>
      </c>
      <c r="F67" s="17">
        <v>72</v>
      </c>
      <c r="G67" s="18">
        <v>3</v>
      </c>
      <c r="H67" s="17">
        <v>82</v>
      </c>
      <c r="I67" s="18">
        <v>2</v>
      </c>
      <c r="J67" s="19">
        <v>2.6666666666666665</v>
      </c>
      <c r="K67" s="20">
        <v>40</v>
      </c>
      <c r="L67" s="18">
        <v>1</v>
      </c>
      <c r="M67" s="17">
        <v>41</v>
      </c>
      <c r="N67" s="18">
        <v>2</v>
      </c>
      <c r="O67" s="17">
        <v>36</v>
      </c>
      <c r="P67" s="18">
        <v>3</v>
      </c>
      <c r="Q67" s="21">
        <v>344</v>
      </c>
      <c r="R67" s="22">
        <v>19</v>
      </c>
      <c r="S67" s="23">
        <v>2.625</v>
      </c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</row>
    <row r="68" spans="1:39" ht="20.100000000000001" customHeight="1" x14ac:dyDescent="0.6">
      <c r="A68" s="16">
        <v>3</v>
      </c>
      <c r="B68">
        <v>20315</v>
      </c>
      <c r="C68" t="s">
        <v>91</v>
      </c>
      <c r="D68" s="17">
        <v>52</v>
      </c>
      <c r="E68" s="18">
        <v>5</v>
      </c>
      <c r="F68" s="17">
        <v>43</v>
      </c>
      <c r="G68" s="18">
        <v>5</v>
      </c>
      <c r="H68" s="17">
        <v>57</v>
      </c>
      <c r="I68" s="18">
        <v>5</v>
      </c>
      <c r="J68" s="19">
        <v>5</v>
      </c>
      <c r="K68" s="20">
        <v>26</v>
      </c>
      <c r="L68" s="18">
        <v>4</v>
      </c>
      <c r="M68" s="17">
        <v>8</v>
      </c>
      <c r="N68" s="18">
        <v>8</v>
      </c>
      <c r="O68" s="17">
        <v>21</v>
      </c>
      <c r="P68" s="18">
        <v>5</v>
      </c>
      <c r="Q68" s="21">
        <v>207</v>
      </c>
      <c r="R68" s="22">
        <v>154</v>
      </c>
      <c r="S68" s="23">
        <v>5.375</v>
      </c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</row>
    <row r="69" spans="1:39" ht="20.100000000000001" customHeight="1" x14ac:dyDescent="0.6">
      <c r="A69" s="16">
        <v>3</v>
      </c>
      <c r="B69">
        <v>20316</v>
      </c>
      <c r="C69" t="s">
        <v>92</v>
      </c>
      <c r="D69" s="17">
        <v>24</v>
      </c>
      <c r="E69" s="18">
        <v>7</v>
      </c>
      <c r="F69" s="17">
        <v>52</v>
      </c>
      <c r="G69" s="18">
        <v>4</v>
      </c>
      <c r="H69" s="17">
        <v>63</v>
      </c>
      <c r="I69" s="18">
        <v>4</v>
      </c>
      <c r="J69" s="19">
        <v>5</v>
      </c>
      <c r="K69" s="20">
        <v>21</v>
      </c>
      <c r="L69" s="18">
        <v>5</v>
      </c>
      <c r="M69" s="17">
        <v>9</v>
      </c>
      <c r="N69" s="18">
        <v>8</v>
      </c>
      <c r="O69" s="17">
        <v>18</v>
      </c>
      <c r="P69" s="18">
        <v>5</v>
      </c>
      <c r="Q69" s="21">
        <v>187</v>
      </c>
      <c r="R69" s="22">
        <v>176</v>
      </c>
      <c r="S69" s="23">
        <v>5.375</v>
      </c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</row>
    <row r="70" spans="1:39" ht="20.100000000000001" customHeight="1" x14ac:dyDescent="0.6">
      <c r="A70" s="16">
        <v>3</v>
      </c>
      <c r="B70">
        <v>20317</v>
      </c>
      <c r="C70" t="s">
        <v>93</v>
      </c>
      <c r="D70" s="17">
        <v>29</v>
      </c>
      <c r="E70" s="18">
        <v>7</v>
      </c>
      <c r="F70" s="17">
        <v>16</v>
      </c>
      <c r="G70" s="18">
        <v>7</v>
      </c>
      <c r="H70" s="17">
        <v>67</v>
      </c>
      <c r="I70" s="18">
        <v>4</v>
      </c>
      <c r="J70" s="19">
        <v>6</v>
      </c>
      <c r="K70" s="20">
        <v>26</v>
      </c>
      <c r="L70" s="18">
        <v>4</v>
      </c>
      <c r="M70" s="17">
        <v>20</v>
      </c>
      <c r="N70" s="18">
        <v>5</v>
      </c>
      <c r="O70" s="17">
        <v>21</v>
      </c>
      <c r="P70" s="18">
        <v>5</v>
      </c>
      <c r="Q70" s="21">
        <v>179</v>
      </c>
      <c r="R70" s="22">
        <v>191</v>
      </c>
      <c r="S70" s="23">
        <v>5.75</v>
      </c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</row>
    <row r="71" spans="1:39" ht="20.100000000000001" customHeight="1" x14ac:dyDescent="0.6">
      <c r="A71" s="16">
        <v>3</v>
      </c>
      <c r="B71">
        <v>20318</v>
      </c>
      <c r="C71" t="s">
        <v>94</v>
      </c>
      <c r="D71" s="17">
        <v>84</v>
      </c>
      <c r="E71" s="18">
        <v>2</v>
      </c>
      <c r="F71" s="17">
        <v>39</v>
      </c>
      <c r="G71" s="18">
        <v>5</v>
      </c>
      <c r="H71" s="17">
        <v>63</v>
      </c>
      <c r="I71" s="18">
        <v>4</v>
      </c>
      <c r="J71" s="19">
        <v>3.6666666666666665</v>
      </c>
      <c r="K71" s="20">
        <v>47</v>
      </c>
      <c r="L71" s="18">
        <v>1</v>
      </c>
      <c r="M71" s="17">
        <v>37</v>
      </c>
      <c r="N71" s="18">
        <v>2</v>
      </c>
      <c r="O71" s="17">
        <v>23</v>
      </c>
      <c r="P71" s="18">
        <v>5</v>
      </c>
      <c r="Q71" s="21">
        <v>293</v>
      </c>
      <c r="R71" s="22">
        <v>61</v>
      </c>
      <c r="S71" s="23">
        <v>3.625</v>
      </c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</row>
    <row r="72" spans="1:39" ht="20.100000000000001" customHeight="1" x14ac:dyDescent="0.6">
      <c r="A72" s="16">
        <v>3</v>
      </c>
      <c r="B72">
        <v>20319</v>
      </c>
      <c r="C72" t="s">
        <v>95</v>
      </c>
      <c r="D72" s="17">
        <v>73</v>
      </c>
      <c r="E72" s="18">
        <v>3</v>
      </c>
      <c r="F72" s="17">
        <v>60</v>
      </c>
      <c r="G72" s="18">
        <v>4</v>
      </c>
      <c r="H72" s="17">
        <v>55</v>
      </c>
      <c r="I72" s="18">
        <v>5</v>
      </c>
      <c r="J72" s="19">
        <v>4</v>
      </c>
      <c r="K72" s="20">
        <v>29</v>
      </c>
      <c r="L72" s="18">
        <v>4</v>
      </c>
      <c r="M72" s="17">
        <v>35</v>
      </c>
      <c r="N72" s="18">
        <v>3</v>
      </c>
      <c r="O72" s="17">
        <v>17</v>
      </c>
      <c r="P72" s="18">
        <v>6</v>
      </c>
      <c r="Q72" s="21">
        <v>269</v>
      </c>
      <c r="R72" s="22">
        <v>84</v>
      </c>
      <c r="S72" s="23">
        <v>4.125</v>
      </c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</row>
    <row r="73" spans="1:39" ht="20.100000000000001" customHeight="1" x14ac:dyDescent="0.6">
      <c r="A73" s="16">
        <v>3</v>
      </c>
      <c r="B73">
        <v>20320</v>
      </c>
      <c r="C73" t="s">
        <v>96</v>
      </c>
      <c r="D73" s="17">
        <v>37</v>
      </c>
      <c r="E73" s="18">
        <v>6</v>
      </c>
      <c r="F73" s="17">
        <v>73</v>
      </c>
      <c r="G73" s="18">
        <v>2</v>
      </c>
      <c r="H73" s="17">
        <v>73</v>
      </c>
      <c r="I73" s="18">
        <v>3</v>
      </c>
      <c r="J73" s="19">
        <v>3.6666666666666665</v>
      </c>
      <c r="K73" s="20">
        <v>14</v>
      </c>
      <c r="L73" s="18">
        <v>7</v>
      </c>
      <c r="M73" s="17">
        <v>18</v>
      </c>
      <c r="N73" s="18">
        <v>6</v>
      </c>
      <c r="O73" s="17">
        <v>22</v>
      </c>
      <c r="P73" s="18">
        <v>5</v>
      </c>
      <c r="Q73" s="21">
        <v>237</v>
      </c>
      <c r="R73" s="22">
        <v>120</v>
      </c>
      <c r="S73" s="23">
        <v>4.125</v>
      </c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</row>
    <row r="74" spans="1:39" ht="20.100000000000001" customHeight="1" x14ac:dyDescent="0.6">
      <c r="A74" s="16">
        <v>3</v>
      </c>
      <c r="B74">
        <v>20321</v>
      </c>
      <c r="C74" t="s">
        <v>97</v>
      </c>
      <c r="D74" s="17">
        <v>32</v>
      </c>
      <c r="E74" s="18">
        <v>6</v>
      </c>
      <c r="F74" s="17">
        <v>30</v>
      </c>
      <c r="G74" s="18">
        <v>6</v>
      </c>
      <c r="H74" s="17">
        <v>52</v>
      </c>
      <c r="I74" s="18">
        <v>5</v>
      </c>
      <c r="J74" s="19">
        <v>5.666666666666667</v>
      </c>
      <c r="K74" s="20">
        <v>22</v>
      </c>
      <c r="L74" s="18">
        <v>5</v>
      </c>
      <c r="M74" s="17">
        <v>12</v>
      </c>
      <c r="N74" s="18">
        <v>7</v>
      </c>
      <c r="O74" s="17">
        <v>16</v>
      </c>
      <c r="P74" s="18">
        <v>6</v>
      </c>
      <c r="Q74" s="21">
        <v>164</v>
      </c>
      <c r="R74" s="22">
        <v>209</v>
      </c>
      <c r="S74" s="23">
        <v>5.875</v>
      </c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</row>
    <row r="75" spans="1:39" ht="20.100000000000001" customHeight="1" x14ac:dyDescent="0.6">
      <c r="A75" s="16">
        <v>3</v>
      </c>
      <c r="B75">
        <v>20322</v>
      </c>
      <c r="C75" t="s">
        <v>98</v>
      </c>
      <c r="D75" s="17">
        <v>22</v>
      </c>
      <c r="E75" s="18">
        <v>8</v>
      </c>
      <c r="F75" s="17">
        <v>43</v>
      </c>
      <c r="G75" s="18">
        <v>5</v>
      </c>
      <c r="H75" s="17">
        <v>66</v>
      </c>
      <c r="I75" s="18">
        <v>4</v>
      </c>
      <c r="J75" s="19">
        <v>5.666666666666667</v>
      </c>
      <c r="K75" s="20">
        <v>11</v>
      </c>
      <c r="L75" s="18">
        <v>7</v>
      </c>
      <c r="M75" s="17">
        <v>13</v>
      </c>
      <c r="N75" s="18">
        <v>7</v>
      </c>
      <c r="O75" s="17">
        <v>17</v>
      </c>
      <c r="P75" s="18">
        <v>6</v>
      </c>
      <c r="Q75" s="21">
        <v>172</v>
      </c>
      <c r="R75" s="22">
        <v>198</v>
      </c>
      <c r="S75" s="23">
        <v>5.875</v>
      </c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</row>
    <row r="76" spans="1:39" ht="20.100000000000001" customHeight="1" x14ac:dyDescent="0.6">
      <c r="A76" s="16">
        <v>3</v>
      </c>
      <c r="B76">
        <v>20323</v>
      </c>
      <c r="C76" t="s">
        <v>99</v>
      </c>
      <c r="D76" s="17">
        <v>54</v>
      </c>
      <c r="E76" s="18">
        <v>5</v>
      </c>
      <c r="F76" s="17">
        <v>31</v>
      </c>
      <c r="G76" s="18">
        <v>5</v>
      </c>
      <c r="H76" s="17">
        <v>82</v>
      </c>
      <c r="I76" s="18">
        <v>2</v>
      </c>
      <c r="J76" s="19">
        <v>4</v>
      </c>
      <c r="K76" s="20">
        <v>19</v>
      </c>
      <c r="L76" s="18">
        <v>6</v>
      </c>
      <c r="M76" s="17">
        <v>23</v>
      </c>
      <c r="N76" s="18">
        <v>5</v>
      </c>
      <c r="O76" s="17">
        <v>30</v>
      </c>
      <c r="P76" s="18">
        <v>3</v>
      </c>
      <c r="Q76" s="21">
        <v>239</v>
      </c>
      <c r="R76" s="22">
        <v>117</v>
      </c>
      <c r="S76" s="23">
        <v>4</v>
      </c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</row>
    <row r="77" spans="1:39" ht="20.100000000000001" customHeight="1" x14ac:dyDescent="0.6">
      <c r="A77" s="16">
        <v>3</v>
      </c>
      <c r="B77">
        <v>20324</v>
      </c>
      <c r="C77" t="s">
        <v>100</v>
      </c>
      <c r="D77" s="17">
        <v>73</v>
      </c>
      <c r="E77" s="18">
        <v>3</v>
      </c>
      <c r="F77" s="17">
        <v>65</v>
      </c>
      <c r="G77" s="18">
        <v>3</v>
      </c>
      <c r="H77" s="17">
        <v>87</v>
      </c>
      <c r="I77" s="18">
        <v>2</v>
      </c>
      <c r="J77" s="19">
        <v>2.6666666666666665</v>
      </c>
      <c r="K77" s="20">
        <v>48</v>
      </c>
      <c r="L77" s="18">
        <v>1</v>
      </c>
      <c r="M77" s="17">
        <v>42</v>
      </c>
      <c r="N77" s="18">
        <v>2</v>
      </c>
      <c r="O77" s="17">
        <v>36</v>
      </c>
      <c r="P77" s="18">
        <v>3</v>
      </c>
      <c r="Q77" s="21">
        <v>351</v>
      </c>
      <c r="R77" s="22">
        <v>15</v>
      </c>
      <c r="S77" s="23">
        <v>2.625</v>
      </c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</row>
    <row r="78" spans="1:39" ht="20.100000000000001" customHeight="1" x14ac:dyDescent="0.6">
      <c r="A78" s="16">
        <v>3</v>
      </c>
      <c r="B78">
        <v>20325</v>
      </c>
      <c r="C78" t="s">
        <v>101</v>
      </c>
      <c r="D78" s="17">
        <v>43</v>
      </c>
      <c r="E78" s="18">
        <v>5</v>
      </c>
      <c r="F78" s="17">
        <v>44</v>
      </c>
      <c r="G78" s="18">
        <v>5</v>
      </c>
      <c r="H78" s="17">
        <v>60</v>
      </c>
      <c r="I78" s="18">
        <v>4</v>
      </c>
      <c r="J78" s="19">
        <v>4.666666666666667</v>
      </c>
      <c r="K78" s="20">
        <v>46</v>
      </c>
      <c r="L78" s="18">
        <v>1</v>
      </c>
      <c r="M78" s="17">
        <v>30</v>
      </c>
      <c r="N78" s="18">
        <v>4</v>
      </c>
      <c r="O78" s="17">
        <v>40</v>
      </c>
      <c r="P78" s="18">
        <v>2</v>
      </c>
      <c r="Q78" s="21">
        <v>263</v>
      </c>
      <c r="R78" s="22">
        <v>91</v>
      </c>
      <c r="S78" s="23">
        <v>4.25</v>
      </c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</row>
    <row r="79" spans="1:39" ht="20.100000000000001" customHeight="1" x14ac:dyDescent="0.6">
      <c r="A79" s="16">
        <v>3</v>
      </c>
      <c r="B79">
        <v>20326</v>
      </c>
      <c r="C79" t="s">
        <v>102</v>
      </c>
      <c r="D79" s="17">
        <v>29</v>
      </c>
      <c r="E79" s="18">
        <v>7</v>
      </c>
      <c r="F79" s="17">
        <v>25</v>
      </c>
      <c r="G79" s="18">
        <v>6</v>
      </c>
      <c r="H79" s="17">
        <v>67</v>
      </c>
      <c r="I79" s="18">
        <v>4</v>
      </c>
      <c r="J79" s="19">
        <v>5.666666666666667</v>
      </c>
      <c r="K79" s="20">
        <v>10</v>
      </c>
      <c r="L79" s="18">
        <v>7</v>
      </c>
      <c r="M79" s="17">
        <v>14</v>
      </c>
      <c r="N79" s="18">
        <v>6</v>
      </c>
      <c r="O79" s="17">
        <v>7</v>
      </c>
      <c r="P79" s="18">
        <v>8</v>
      </c>
      <c r="Q79" s="21">
        <v>152</v>
      </c>
      <c r="R79" s="22">
        <v>219</v>
      </c>
      <c r="S79" s="23">
        <v>6</v>
      </c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</row>
    <row r="80" spans="1:39" ht="20.100000000000001" customHeight="1" x14ac:dyDescent="0.6">
      <c r="A80" s="16">
        <v>4</v>
      </c>
      <c r="B80">
        <v>20401</v>
      </c>
      <c r="C80" t="s">
        <v>103</v>
      </c>
      <c r="D80" s="17">
        <v>54</v>
      </c>
      <c r="E80" s="18">
        <v>5</v>
      </c>
      <c r="F80" s="17">
        <v>57</v>
      </c>
      <c r="G80" s="18">
        <v>4</v>
      </c>
      <c r="H80" s="17">
        <v>60</v>
      </c>
      <c r="I80" s="18">
        <v>4</v>
      </c>
      <c r="J80" s="19">
        <v>4.333333333333333</v>
      </c>
      <c r="K80" s="20">
        <v>45</v>
      </c>
      <c r="L80" s="18">
        <v>1</v>
      </c>
      <c r="M80" s="17">
        <v>28</v>
      </c>
      <c r="N80" s="18">
        <v>4</v>
      </c>
      <c r="O80" s="17">
        <v>31</v>
      </c>
      <c r="P80" s="18">
        <v>3</v>
      </c>
      <c r="Q80" s="21">
        <v>275</v>
      </c>
      <c r="R80" s="22">
        <v>77</v>
      </c>
      <c r="S80" s="23">
        <v>4.125</v>
      </c>
      <c r="W80" s="42"/>
      <c r="X80" s="42"/>
      <c r="Y80" s="42"/>
      <c r="Z80" s="42"/>
      <c r="AA80" s="42"/>
      <c r="AB80" s="42"/>
      <c r="AC80" s="42"/>
      <c r="AD80" s="42"/>
      <c r="AE80" s="42"/>
    </row>
    <row r="81" spans="1:31" ht="20.100000000000001" customHeight="1" x14ac:dyDescent="0.6">
      <c r="A81" s="16">
        <v>4</v>
      </c>
      <c r="B81">
        <v>20402</v>
      </c>
      <c r="C81" t="s">
        <v>104</v>
      </c>
      <c r="D81" s="17">
        <v>63</v>
      </c>
      <c r="E81" s="18">
        <v>4</v>
      </c>
      <c r="F81" s="17">
        <v>43</v>
      </c>
      <c r="G81" s="18">
        <v>5</v>
      </c>
      <c r="H81" s="17">
        <v>69</v>
      </c>
      <c r="I81" s="18">
        <v>4</v>
      </c>
      <c r="J81" s="19">
        <v>4.333333333333333</v>
      </c>
      <c r="K81" s="20">
        <v>18</v>
      </c>
      <c r="L81" s="18">
        <v>6</v>
      </c>
      <c r="M81" s="17">
        <v>20</v>
      </c>
      <c r="N81" s="18">
        <v>5</v>
      </c>
      <c r="O81" s="17">
        <v>25</v>
      </c>
      <c r="P81" s="18">
        <v>4</v>
      </c>
      <c r="Q81" s="21">
        <v>238</v>
      </c>
      <c r="R81" s="22">
        <v>119</v>
      </c>
      <c r="S81" s="23">
        <v>4.375</v>
      </c>
      <c r="W81" s="42"/>
      <c r="X81" s="42"/>
      <c r="Y81" s="42"/>
      <c r="Z81" s="42"/>
      <c r="AA81" s="42"/>
      <c r="AB81" s="42"/>
      <c r="AC81" s="42"/>
      <c r="AD81" s="42"/>
      <c r="AE81" s="42"/>
    </row>
    <row r="82" spans="1:31" ht="20.100000000000001" customHeight="1" x14ac:dyDescent="0.6">
      <c r="A82" s="16">
        <v>4</v>
      </c>
      <c r="B82">
        <v>20403</v>
      </c>
      <c r="C82" t="s">
        <v>105</v>
      </c>
      <c r="D82" s="17">
        <v>44</v>
      </c>
      <c r="E82" s="18">
        <v>5</v>
      </c>
      <c r="F82" s="17">
        <v>58</v>
      </c>
      <c r="G82" s="18">
        <v>4</v>
      </c>
      <c r="H82" s="17">
        <v>69</v>
      </c>
      <c r="I82" s="18">
        <v>4</v>
      </c>
      <c r="J82" s="19">
        <v>4.333333333333333</v>
      </c>
      <c r="K82" s="20">
        <v>15</v>
      </c>
      <c r="L82" s="18">
        <v>6</v>
      </c>
      <c r="M82" s="17">
        <v>9</v>
      </c>
      <c r="N82" s="18">
        <v>8</v>
      </c>
      <c r="O82" s="17">
        <v>9</v>
      </c>
      <c r="P82" s="18">
        <v>8</v>
      </c>
      <c r="Q82" s="21">
        <v>204</v>
      </c>
      <c r="R82" s="22">
        <v>159</v>
      </c>
      <c r="S82" s="23">
        <v>5.25</v>
      </c>
      <c r="W82" s="42"/>
      <c r="X82" s="42"/>
      <c r="Y82" s="42"/>
      <c r="Z82" s="42"/>
      <c r="AA82" s="42"/>
      <c r="AB82" s="42"/>
      <c r="AC82" s="42"/>
      <c r="AD82" s="42"/>
      <c r="AE82" s="42"/>
    </row>
    <row r="83" spans="1:31" ht="20.100000000000001" customHeight="1" x14ac:dyDescent="0.6">
      <c r="A83" s="16">
        <v>4</v>
      </c>
      <c r="B83">
        <v>20404</v>
      </c>
      <c r="C83" t="s">
        <v>54</v>
      </c>
      <c r="D83" s="17">
        <v>37</v>
      </c>
      <c r="E83" s="18">
        <v>6</v>
      </c>
      <c r="F83" s="17">
        <v>40</v>
      </c>
      <c r="G83" s="18">
        <v>5</v>
      </c>
      <c r="H83" s="17">
        <v>57</v>
      </c>
      <c r="I83" s="18">
        <v>5</v>
      </c>
      <c r="J83" s="19">
        <v>5.333333333333333</v>
      </c>
      <c r="K83" s="20">
        <v>36</v>
      </c>
      <c r="L83" s="18">
        <v>2</v>
      </c>
      <c r="M83" s="17">
        <v>21</v>
      </c>
      <c r="N83" s="18">
        <v>5</v>
      </c>
      <c r="O83" s="17">
        <v>15</v>
      </c>
      <c r="P83" s="18">
        <v>6</v>
      </c>
      <c r="Q83" s="21">
        <v>206</v>
      </c>
      <c r="R83" s="22">
        <v>156</v>
      </c>
      <c r="S83" s="23">
        <v>5.375</v>
      </c>
      <c r="W83" s="42"/>
      <c r="X83" s="42"/>
      <c r="Y83" s="42"/>
      <c r="Z83" s="42"/>
      <c r="AA83" s="42"/>
      <c r="AB83" s="42"/>
      <c r="AC83" s="42"/>
      <c r="AD83" s="42"/>
      <c r="AE83" s="42"/>
    </row>
    <row r="84" spans="1:31" ht="20.100000000000001" customHeight="1" x14ac:dyDescent="0.6">
      <c r="A84" s="16">
        <v>4</v>
      </c>
      <c r="B84">
        <v>20405</v>
      </c>
      <c r="C84" t="s">
        <v>106</v>
      </c>
      <c r="D84" s="17">
        <v>32</v>
      </c>
      <c r="E84" s="18">
        <v>6</v>
      </c>
      <c r="F84" s="17">
        <v>37</v>
      </c>
      <c r="G84" s="18">
        <v>5</v>
      </c>
      <c r="H84" s="17">
        <v>62</v>
      </c>
      <c r="I84" s="18">
        <v>4</v>
      </c>
      <c r="J84" s="19">
        <v>5</v>
      </c>
      <c r="K84" s="20">
        <v>33</v>
      </c>
      <c r="L84" s="18">
        <v>3</v>
      </c>
      <c r="M84" s="17">
        <v>9</v>
      </c>
      <c r="N84" s="18">
        <v>8</v>
      </c>
      <c r="O84" s="17">
        <v>16</v>
      </c>
      <c r="P84" s="18">
        <v>6</v>
      </c>
      <c r="Q84" s="21">
        <v>189</v>
      </c>
      <c r="R84" s="22">
        <v>174</v>
      </c>
      <c r="S84" s="23">
        <v>5.5</v>
      </c>
      <c r="W84" s="42"/>
      <c r="X84" s="42"/>
      <c r="Y84" s="42"/>
      <c r="Z84" s="42"/>
      <c r="AA84" s="42"/>
      <c r="AB84" s="42"/>
      <c r="AC84" s="42"/>
      <c r="AD84" s="42"/>
      <c r="AE84" s="42"/>
    </row>
    <row r="85" spans="1:31" ht="20.100000000000001" customHeight="1" x14ac:dyDescent="0.6">
      <c r="A85" s="16">
        <v>4</v>
      </c>
      <c r="B85">
        <v>20406</v>
      </c>
      <c r="C85" t="s">
        <v>107</v>
      </c>
      <c r="D85" s="17">
        <v>64</v>
      </c>
      <c r="E85" s="18">
        <v>4</v>
      </c>
      <c r="F85" s="17">
        <v>50</v>
      </c>
      <c r="G85" s="18">
        <v>4</v>
      </c>
      <c r="H85" s="17">
        <v>58</v>
      </c>
      <c r="I85" s="18">
        <v>5</v>
      </c>
      <c r="J85" s="19">
        <v>4.333333333333333</v>
      </c>
      <c r="K85" s="20">
        <v>38</v>
      </c>
      <c r="L85" s="18">
        <v>2</v>
      </c>
      <c r="M85" s="17">
        <v>20</v>
      </c>
      <c r="N85" s="18">
        <v>5</v>
      </c>
      <c r="O85" s="17">
        <v>41</v>
      </c>
      <c r="P85" s="18">
        <v>2</v>
      </c>
      <c r="Q85" s="21">
        <v>271</v>
      </c>
      <c r="R85" s="22">
        <v>83</v>
      </c>
      <c r="S85" s="23">
        <v>4.125</v>
      </c>
      <c r="W85" s="42"/>
      <c r="X85" s="42"/>
      <c r="Y85" s="42"/>
      <c r="Z85" s="42"/>
      <c r="AA85" s="42"/>
      <c r="AB85" s="42"/>
      <c r="AC85" s="42"/>
      <c r="AD85" s="42"/>
      <c r="AE85" s="42"/>
    </row>
    <row r="86" spans="1:31" ht="20.100000000000001" customHeight="1" x14ac:dyDescent="0.6">
      <c r="A86" s="16">
        <v>4</v>
      </c>
      <c r="B86">
        <v>20407</v>
      </c>
      <c r="C86" t="s">
        <v>108</v>
      </c>
      <c r="D86" s="17">
        <v>44</v>
      </c>
      <c r="E86" s="18">
        <v>5</v>
      </c>
      <c r="F86" s="17">
        <v>53</v>
      </c>
      <c r="G86" s="18">
        <v>4</v>
      </c>
      <c r="H86" s="17">
        <v>69</v>
      </c>
      <c r="I86" s="18">
        <v>4</v>
      </c>
      <c r="J86" s="19">
        <v>4.333333333333333</v>
      </c>
      <c r="K86" s="20">
        <v>27</v>
      </c>
      <c r="L86" s="18">
        <v>4</v>
      </c>
      <c r="M86" s="17">
        <v>22</v>
      </c>
      <c r="N86" s="18">
        <v>5</v>
      </c>
      <c r="O86" s="17">
        <v>24</v>
      </c>
      <c r="P86" s="18">
        <v>4</v>
      </c>
      <c r="Q86" s="21">
        <v>239</v>
      </c>
      <c r="R86" s="22">
        <v>117</v>
      </c>
      <c r="S86" s="23">
        <v>4.375</v>
      </c>
      <c r="W86" s="42"/>
      <c r="X86" s="42"/>
      <c r="Y86" s="42"/>
      <c r="Z86" s="42"/>
      <c r="AA86" s="42"/>
      <c r="AB86" s="42"/>
      <c r="AC86" s="42"/>
      <c r="AD86" s="42"/>
      <c r="AE86" s="42"/>
    </row>
    <row r="87" spans="1:31" ht="20.100000000000001" customHeight="1" x14ac:dyDescent="0.6">
      <c r="A87" s="16">
        <v>4</v>
      </c>
      <c r="B87">
        <v>20408</v>
      </c>
      <c r="C87" t="s">
        <v>109</v>
      </c>
      <c r="D87" s="17">
        <v>21</v>
      </c>
      <c r="E87" s="18">
        <v>8</v>
      </c>
      <c r="F87" s="17">
        <v>23</v>
      </c>
      <c r="G87" s="18">
        <v>6</v>
      </c>
      <c r="H87" s="17">
        <v>47</v>
      </c>
      <c r="I87" s="18">
        <v>6</v>
      </c>
      <c r="J87" s="19">
        <v>6.666666666666667</v>
      </c>
      <c r="K87" s="20">
        <v>12</v>
      </c>
      <c r="L87" s="18">
        <v>7</v>
      </c>
      <c r="M87" s="17">
        <v>10</v>
      </c>
      <c r="N87" s="18">
        <v>7</v>
      </c>
      <c r="O87" s="17">
        <v>4</v>
      </c>
      <c r="P87" s="18">
        <v>9</v>
      </c>
      <c r="Q87" s="21">
        <v>117</v>
      </c>
      <c r="R87" s="22">
        <v>239</v>
      </c>
      <c r="S87" s="23">
        <v>7</v>
      </c>
      <c r="W87" s="42"/>
      <c r="X87" s="42"/>
      <c r="Y87" s="42"/>
      <c r="Z87" s="42"/>
      <c r="AA87" s="42"/>
      <c r="AB87" s="42"/>
      <c r="AC87" s="42"/>
      <c r="AD87" s="42"/>
      <c r="AE87" s="42"/>
    </row>
    <row r="88" spans="1:31" ht="20.100000000000001" customHeight="1" x14ac:dyDescent="0.6">
      <c r="A88" s="16">
        <v>4</v>
      </c>
      <c r="B88">
        <v>20409</v>
      </c>
      <c r="C88" t="s">
        <v>110</v>
      </c>
      <c r="D88" s="17">
        <v>25</v>
      </c>
      <c r="E88" s="18">
        <v>7</v>
      </c>
      <c r="F88" s="17">
        <v>29</v>
      </c>
      <c r="G88" s="18">
        <v>6</v>
      </c>
      <c r="H88" s="17">
        <v>58</v>
      </c>
      <c r="I88" s="18">
        <v>5</v>
      </c>
      <c r="J88" s="19">
        <v>6</v>
      </c>
      <c r="K88" s="20">
        <v>23</v>
      </c>
      <c r="L88" s="18">
        <v>5</v>
      </c>
      <c r="M88" s="17">
        <v>6</v>
      </c>
      <c r="N88" s="18">
        <v>9</v>
      </c>
      <c r="O88" s="17">
        <v>3</v>
      </c>
      <c r="P88" s="18">
        <v>9</v>
      </c>
      <c r="Q88" s="21">
        <v>144</v>
      </c>
      <c r="R88" s="22">
        <v>224</v>
      </c>
      <c r="S88" s="23">
        <v>6.75</v>
      </c>
      <c r="W88" s="42"/>
      <c r="X88" s="42"/>
      <c r="Y88" s="42"/>
      <c r="Z88" s="42"/>
      <c r="AA88" s="42"/>
      <c r="AB88" s="42"/>
      <c r="AC88" s="42"/>
      <c r="AD88" s="42"/>
      <c r="AE88" s="42"/>
    </row>
    <row r="89" spans="1:31" ht="20.100000000000001" customHeight="1" x14ac:dyDescent="0.6">
      <c r="A89" s="16">
        <v>4</v>
      </c>
      <c r="B89">
        <v>20410</v>
      </c>
      <c r="C89" t="s">
        <v>111</v>
      </c>
      <c r="D89" s="17">
        <v>72</v>
      </c>
      <c r="E89" s="18">
        <v>3</v>
      </c>
      <c r="F89" s="17">
        <v>74</v>
      </c>
      <c r="G89" s="18">
        <v>2</v>
      </c>
      <c r="H89" s="17">
        <v>70</v>
      </c>
      <c r="I89" s="18">
        <v>3</v>
      </c>
      <c r="J89" s="19">
        <v>2.6666666666666665</v>
      </c>
      <c r="K89" s="20">
        <v>50</v>
      </c>
      <c r="L89" s="18">
        <v>1</v>
      </c>
      <c r="M89" s="17">
        <v>44</v>
      </c>
      <c r="N89" s="18">
        <v>1</v>
      </c>
      <c r="O89" s="17">
        <v>43</v>
      </c>
      <c r="P89" s="18">
        <v>1</v>
      </c>
      <c r="Q89" s="21">
        <v>353</v>
      </c>
      <c r="R89" s="22">
        <v>14</v>
      </c>
      <c r="S89" s="23">
        <v>2.25</v>
      </c>
      <c r="W89" s="42"/>
      <c r="X89" s="42"/>
      <c r="Y89" s="42"/>
      <c r="Z89" s="42"/>
      <c r="AA89" s="42"/>
      <c r="AB89" s="42"/>
      <c r="AC89" s="42"/>
      <c r="AD89" s="42"/>
      <c r="AE89" s="42"/>
    </row>
    <row r="90" spans="1:31" ht="20.100000000000001" customHeight="1" x14ac:dyDescent="0.6">
      <c r="A90" s="16">
        <v>4</v>
      </c>
      <c r="B90">
        <v>20411</v>
      </c>
      <c r="C90" t="s">
        <v>112</v>
      </c>
      <c r="D90" s="17">
        <v>49</v>
      </c>
      <c r="E90" s="18">
        <v>5</v>
      </c>
      <c r="F90" s="17">
        <v>20</v>
      </c>
      <c r="G90" s="18">
        <v>6</v>
      </c>
      <c r="H90" s="17">
        <v>60</v>
      </c>
      <c r="I90" s="18">
        <v>4</v>
      </c>
      <c r="J90" s="19">
        <v>5</v>
      </c>
      <c r="K90" s="20">
        <v>33</v>
      </c>
      <c r="L90" s="18">
        <v>3</v>
      </c>
      <c r="M90" s="17">
        <v>30</v>
      </c>
      <c r="N90" s="18">
        <v>4</v>
      </c>
      <c r="O90" s="17">
        <v>8</v>
      </c>
      <c r="P90" s="18">
        <v>8</v>
      </c>
      <c r="Q90" s="21">
        <v>200</v>
      </c>
      <c r="R90" s="22">
        <v>163</v>
      </c>
      <c r="S90" s="23">
        <v>5.25</v>
      </c>
      <c r="W90" s="42"/>
      <c r="X90" s="42"/>
      <c r="Y90" s="42"/>
      <c r="Z90" s="42"/>
      <c r="AA90" s="42"/>
      <c r="AB90" s="42"/>
      <c r="AC90" s="42"/>
      <c r="AD90" s="42"/>
      <c r="AE90" s="42"/>
    </row>
    <row r="91" spans="1:31" ht="20.100000000000001" customHeight="1" x14ac:dyDescent="0.6">
      <c r="A91" s="16">
        <v>4</v>
      </c>
      <c r="B91">
        <v>20412</v>
      </c>
      <c r="C91" t="s">
        <v>113</v>
      </c>
      <c r="D91" s="17">
        <v>17</v>
      </c>
      <c r="E91" s="18">
        <v>9</v>
      </c>
      <c r="F91" s="17">
        <v>18</v>
      </c>
      <c r="G91" s="18">
        <v>7</v>
      </c>
      <c r="H91" s="17">
        <v>11</v>
      </c>
      <c r="I91" s="18">
        <v>9</v>
      </c>
      <c r="J91" s="19">
        <v>8.3333333333333339</v>
      </c>
      <c r="K91" s="20">
        <v>12</v>
      </c>
      <c r="L91" s="18">
        <v>7</v>
      </c>
      <c r="M91" s="17">
        <v>19</v>
      </c>
      <c r="N91" s="18">
        <v>6</v>
      </c>
      <c r="O91" s="17">
        <v>10</v>
      </c>
      <c r="P91" s="18">
        <v>7</v>
      </c>
      <c r="Q91" s="21">
        <v>87</v>
      </c>
      <c r="R91" s="22">
        <v>251</v>
      </c>
      <c r="S91" s="23">
        <v>7.875</v>
      </c>
      <c r="W91" s="42"/>
      <c r="X91" s="42"/>
      <c r="Y91" s="42"/>
      <c r="Z91" s="42"/>
      <c r="AA91" s="42"/>
      <c r="AB91" s="42"/>
      <c r="AC91" s="42"/>
      <c r="AD91" s="42"/>
      <c r="AE91" s="42"/>
    </row>
    <row r="92" spans="1:31" ht="20.100000000000001" customHeight="1" x14ac:dyDescent="0.6">
      <c r="A92" s="16">
        <v>4</v>
      </c>
      <c r="B92">
        <v>20413</v>
      </c>
      <c r="C92" t="s">
        <v>114</v>
      </c>
      <c r="D92" s="17">
        <v>46</v>
      </c>
      <c r="E92" s="18">
        <v>5</v>
      </c>
      <c r="F92" s="17">
        <v>55</v>
      </c>
      <c r="G92" s="18">
        <v>4</v>
      </c>
      <c r="H92" s="17">
        <v>55</v>
      </c>
      <c r="I92" s="18">
        <v>5</v>
      </c>
      <c r="J92" s="19">
        <v>4.666666666666667</v>
      </c>
      <c r="K92" s="20">
        <v>10</v>
      </c>
      <c r="L92" s="18">
        <v>7</v>
      </c>
      <c r="M92" s="17">
        <v>4</v>
      </c>
      <c r="N92" s="18">
        <v>9</v>
      </c>
      <c r="O92" s="17">
        <v>14</v>
      </c>
      <c r="P92" s="18">
        <v>6</v>
      </c>
      <c r="Q92" s="21">
        <v>184</v>
      </c>
      <c r="R92" s="22">
        <v>184</v>
      </c>
      <c r="S92" s="23">
        <v>5.375</v>
      </c>
    </row>
    <row r="93" spans="1:31" ht="20.100000000000001" customHeight="1" x14ac:dyDescent="0.6">
      <c r="A93" s="16">
        <v>4</v>
      </c>
      <c r="B93">
        <v>20414</v>
      </c>
      <c r="C93" t="s">
        <v>115</v>
      </c>
      <c r="D93" s="17">
        <v>59</v>
      </c>
      <c r="E93" s="18">
        <v>4</v>
      </c>
      <c r="F93" s="17">
        <v>47</v>
      </c>
      <c r="G93" s="18">
        <v>5</v>
      </c>
      <c r="H93" s="17">
        <v>50</v>
      </c>
      <c r="I93" s="18">
        <v>5</v>
      </c>
      <c r="J93" s="19">
        <v>4.666666666666667</v>
      </c>
      <c r="K93" s="20">
        <v>36</v>
      </c>
      <c r="L93" s="18">
        <v>2</v>
      </c>
      <c r="M93" s="17">
        <v>14</v>
      </c>
      <c r="N93" s="18">
        <v>6</v>
      </c>
      <c r="O93" s="17">
        <v>31</v>
      </c>
      <c r="P93" s="18">
        <v>3</v>
      </c>
      <c r="Q93" s="21">
        <v>237</v>
      </c>
      <c r="R93" s="22">
        <v>120</v>
      </c>
      <c r="S93" s="23">
        <v>4.625</v>
      </c>
    </row>
    <row r="94" spans="1:31" ht="20.100000000000001" customHeight="1" x14ac:dyDescent="0.6">
      <c r="A94" s="16">
        <v>4</v>
      </c>
      <c r="B94">
        <v>20415</v>
      </c>
      <c r="C94" t="s">
        <v>116</v>
      </c>
      <c r="D94" s="17">
        <v>24</v>
      </c>
      <c r="E94" s="18">
        <v>7</v>
      </c>
      <c r="F94" s="17">
        <v>30</v>
      </c>
      <c r="G94" s="18">
        <v>6</v>
      </c>
      <c r="H94" s="17">
        <v>46</v>
      </c>
      <c r="I94" s="18">
        <v>6</v>
      </c>
      <c r="J94" s="19">
        <v>6.333333333333333</v>
      </c>
      <c r="K94" s="20">
        <v>24</v>
      </c>
      <c r="L94" s="18">
        <v>5</v>
      </c>
      <c r="M94" s="17">
        <v>22</v>
      </c>
      <c r="N94" s="18">
        <v>5</v>
      </c>
      <c r="O94" s="17">
        <v>14</v>
      </c>
      <c r="P94" s="18">
        <v>6</v>
      </c>
      <c r="Q94" s="21">
        <v>160</v>
      </c>
      <c r="R94" s="22">
        <v>210</v>
      </c>
      <c r="S94" s="23">
        <v>6.125</v>
      </c>
    </row>
    <row r="95" spans="1:31" ht="20.100000000000001" customHeight="1" x14ac:dyDescent="0.6">
      <c r="A95" s="16">
        <v>4</v>
      </c>
      <c r="B95">
        <v>20416</v>
      </c>
      <c r="C95" t="s">
        <v>117</v>
      </c>
      <c r="D95" s="17">
        <v>53</v>
      </c>
      <c r="E95" s="18">
        <v>5</v>
      </c>
      <c r="F95" s="17">
        <v>64</v>
      </c>
      <c r="G95" s="18">
        <v>3</v>
      </c>
      <c r="H95" s="17">
        <v>73</v>
      </c>
      <c r="I95" s="18">
        <v>3</v>
      </c>
      <c r="J95" s="19">
        <v>3.6666666666666665</v>
      </c>
      <c r="K95" s="20">
        <v>42</v>
      </c>
      <c r="L95" s="18">
        <v>1</v>
      </c>
      <c r="M95" s="17">
        <v>37</v>
      </c>
      <c r="N95" s="18">
        <v>2</v>
      </c>
      <c r="O95" s="17">
        <v>38</v>
      </c>
      <c r="P95" s="18">
        <v>2</v>
      </c>
      <c r="Q95" s="21">
        <v>307</v>
      </c>
      <c r="R95" s="22">
        <v>50</v>
      </c>
      <c r="S95" s="23">
        <v>3.25</v>
      </c>
    </row>
    <row r="96" spans="1:31" ht="20.100000000000001" customHeight="1" x14ac:dyDescent="0.6">
      <c r="A96" s="16">
        <v>4</v>
      </c>
      <c r="B96">
        <v>20417</v>
      </c>
      <c r="C96" t="s">
        <v>118</v>
      </c>
      <c r="D96" s="17">
        <v>38</v>
      </c>
      <c r="E96" s="18">
        <v>6</v>
      </c>
      <c r="F96" s="17">
        <v>18</v>
      </c>
      <c r="G96" s="18">
        <v>7</v>
      </c>
      <c r="H96" s="17">
        <v>64</v>
      </c>
      <c r="I96" s="18">
        <v>4</v>
      </c>
      <c r="J96" s="19">
        <v>5.666666666666667</v>
      </c>
      <c r="K96" s="20">
        <v>31</v>
      </c>
      <c r="L96" s="18">
        <v>3</v>
      </c>
      <c r="M96" s="17">
        <v>26</v>
      </c>
      <c r="N96" s="18">
        <v>4</v>
      </c>
      <c r="O96" s="17">
        <v>28</v>
      </c>
      <c r="P96" s="18">
        <v>4</v>
      </c>
      <c r="Q96" s="21">
        <v>205</v>
      </c>
      <c r="R96" s="22">
        <v>157</v>
      </c>
      <c r="S96" s="23">
        <v>5.25</v>
      </c>
    </row>
    <row r="97" spans="1:19" ht="20.100000000000001" customHeight="1" x14ac:dyDescent="0.6">
      <c r="A97" s="16">
        <v>4</v>
      </c>
      <c r="B97">
        <v>20418</v>
      </c>
      <c r="C97" t="s">
        <v>119</v>
      </c>
      <c r="D97" s="17">
        <v>64</v>
      </c>
      <c r="E97" s="18">
        <v>4</v>
      </c>
      <c r="F97" s="17">
        <v>50</v>
      </c>
      <c r="G97" s="18">
        <v>4</v>
      </c>
      <c r="H97" s="17">
        <v>75</v>
      </c>
      <c r="I97" s="18">
        <v>3</v>
      </c>
      <c r="J97" s="19">
        <v>3.6666666666666665</v>
      </c>
      <c r="K97" s="20">
        <v>29</v>
      </c>
      <c r="L97" s="18">
        <v>4</v>
      </c>
      <c r="M97" s="17">
        <v>30</v>
      </c>
      <c r="N97" s="18">
        <v>4</v>
      </c>
      <c r="O97" s="17">
        <v>37</v>
      </c>
      <c r="P97" s="18">
        <v>2</v>
      </c>
      <c r="Q97" s="21">
        <v>285</v>
      </c>
      <c r="R97" s="22">
        <v>68</v>
      </c>
      <c r="S97" s="23">
        <v>3.5</v>
      </c>
    </row>
    <row r="98" spans="1:19" ht="20.100000000000001" customHeight="1" x14ac:dyDescent="0.6">
      <c r="A98" s="16">
        <v>4</v>
      </c>
      <c r="B98">
        <v>20419</v>
      </c>
      <c r="C98" t="s">
        <v>120</v>
      </c>
      <c r="D98" s="17">
        <v>46</v>
      </c>
      <c r="E98" s="18">
        <v>5</v>
      </c>
      <c r="F98" s="17">
        <v>73</v>
      </c>
      <c r="G98" s="18">
        <v>2</v>
      </c>
      <c r="H98" s="17">
        <v>61</v>
      </c>
      <c r="I98" s="18">
        <v>4</v>
      </c>
      <c r="J98" s="19">
        <v>3.6666666666666665</v>
      </c>
      <c r="K98" s="20">
        <v>47</v>
      </c>
      <c r="L98" s="18">
        <v>1</v>
      </c>
      <c r="M98" s="17">
        <v>21</v>
      </c>
      <c r="N98" s="18">
        <v>5</v>
      </c>
      <c r="O98" s="17">
        <v>35</v>
      </c>
      <c r="P98" s="18">
        <v>3</v>
      </c>
      <c r="Q98" s="21">
        <v>283</v>
      </c>
      <c r="R98" s="22">
        <v>73</v>
      </c>
      <c r="S98" s="23">
        <v>3.75</v>
      </c>
    </row>
    <row r="99" spans="1:19" ht="20.100000000000001" customHeight="1" x14ac:dyDescent="0.6">
      <c r="A99" s="16">
        <v>4</v>
      </c>
      <c r="B99">
        <v>20420</v>
      </c>
      <c r="C99" t="s">
        <v>121</v>
      </c>
      <c r="D99" s="17">
        <v>63</v>
      </c>
      <c r="E99" s="18">
        <v>4</v>
      </c>
      <c r="F99" s="17">
        <v>72</v>
      </c>
      <c r="G99" s="18">
        <v>3</v>
      </c>
      <c r="H99" s="17">
        <v>73</v>
      </c>
      <c r="I99" s="18">
        <v>3</v>
      </c>
      <c r="J99" s="19">
        <v>3.3333333333333335</v>
      </c>
      <c r="K99" s="20">
        <v>45</v>
      </c>
      <c r="L99" s="18">
        <v>1</v>
      </c>
      <c r="M99" s="17">
        <v>40</v>
      </c>
      <c r="N99" s="18">
        <v>2</v>
      </c>
      <c r="O99" s="17">
        <v>42</v>
      </c>
      <c r="P99" s="18">
        <v>2</v>
      </c>
      <c r="Q99" s="21">
        <v>335</v>
      </c>
      <c r="R99" s="22">
        <v>26</v>
      </c>
      <c r="S99" s="23">
        <v>3</v>
      </c>
    </row>
    <row r="100" spans="1:19" ht="20.100000000000001" customHeight="1" x14ac:dyDescent="0.6">
      <c r="A100" s="16">
        <v>4</v>
      </c>
      <c r="B100">
        <v>20421</v>
      </c>
      <c r="C100" t="s">
        <v>122</v>
      </c>
      <c r="D100" s="17">
        <v>97</v>
      </c>
      <c r="E100" s="18">
        <v>1</v>
      </c>
      <c r="F100" s="17">
        <v>96</v>
      </c>
      <c r="G100" s="18">
        <v>1</v>
      </c>
      <c r="H100" s="17">
        <v>77</v>
      </c>
      <c r="I100" s="18">
        <v>3</v>
      </c>
      <c r="J100" s="19">
        <v>1.6666666666666667</v>
      </c>
      <c r="K100" s="20">
        <v>47</v>
      </c>
      <c r="L100" s="18">
        <v>1</v>
      </c>
      <c r="M100" s="17">
        <v>39</v>
      </c>
      <c r="N100" s="18">
        <v>2</v>
      </c>
      <c r="O100" s="17">
        <v>33</v>
      </c>
      <c r="P100" s="18">
        <v>3</v>
      </c>
      <c r="Q100" s="21">
        <v>389</v>
      </c>
      <c r="R100" s="22">
        <v>4</v>
      </c>
      <c r="S100" s="23">
        <v>1.875</v>
      </c>
    </row>
    <row r="101" spans="1:19" ht="20.100000000000001" customHeight="1" x14ac:dyDescent="0.6">
      <c r="A101" s="16">
        <v>4</v>
      </c>
      <c r="B101">
        <v>20422</v>
      </c>
      <c r="C101" t="s">
        <v>123</v>
      </c>
      <c r="D101" s="17">
        <v>45</v>
      </c>
      <c r="E101" s="18">
        <v>5</v>
      </c>
      <c r="F101" s="17">
        <v>42</v>
      </c>
      <c r="G101" s="18">
        <v>5</v>
      </c>
      <c r="H101" s="17">
        <v>74</v>
      </c>
      <c r="I101" s="18">
        <v>3</v>
      </c>
      <c r="J101" s="19">
        <v>4.333333333333333</v>
      </c>
      <c r="K101" s="20">
        <v>22</v>
      </c>
      <c r="L101" s="18">
        <v>5</v>
      </c>
      <c r="M101" s="17">
        <v>24</v>
      </c>
      <c r="N101" s="18">
        <v>5</v>
      </c>
      <c r="O101" s="17">
        <v>24</v>
      </c>
      <c r="P101" s="18">
        <v>4</v>
      </c>
      <c r="Q101" s="21">
        <v>231</v>
      </c>
      <c r="R101" s="22">
        <v>131</v>
      </c>
      <c r="S101" s="23">
        <v>4.375</v>
      </c>
    </row>
    <row r="102" spans="1:19" ht="20.100000000000001" customHeight="1" x14ac:dyDescent="0.6">
      <c r="A102" s="16">
        <v>4</v>
      </c>
      <c r="B102">
        <v>20423</v>
      </c>
      <c r="C102" t="s">
        <v>124</v>
      </c>
      <c r="D102" s="17">
        <v>72</v>
      </c>
      <c r="E102" s="18">
        <v>3</v>
      </c>
      <c r="F102" s="17">
        <v>66</v>
      </c>
      <c r="G102" s="18">
        <v>3</v>
      </c>
      <c r="H102" s="17">
        <v>73</v>
      </c>
      <c r="I102" s="18">
        <v>3</v>
      </c>
      <c r="J102" s="19">
        <v>3</v>
      </c>
      <c r="K102" s="20">
        <v>50</v>
      </c>
      <c r="L102" s="18">
        <v>1</v>
      </c>
      <c r="M102" s="17">
        <v>35</v>
      </c>
      <c r="N102" s="18">
        <v>3</v>
      </c>
      <c r="O102" s="17">
        <v>43</v>
      </c>
      <c r="P102" s="18">
        <v>1</v>
      </c>
      <c r="Q102" s="21">
        <v>339</v>
      </c>
      <c r="R102" s="22">
        <v>25</v>
      </c>
      <c r="S102" s="23">
        <v>2.75</v>
      </c>
    </row>
    <row r="103" spans="1:19" ht="20.100000000000001" customHeight="1" x14ac:dyDescent="0.6">
      <c r="A103" s="16">
        <v>4</v>
      </c>
      <c r="B103">
        <v>20424</v>
      </c>
      <c r="C103" t="s">
        <v>125</v>
      </c>
      <c r="D103" s="17">
        <v>43</v>
      </c>
      <c r="E103" s="18">
        <v>5</v>
      </c>
      <c r="F103" s="17">
        <v>74</v>
      </c>
      <c r="G103" s="18">
        <v>2</v>
      </c>
      <c r="H103" s="17">
        <v>32</v>
      </c>
      <c r="I103" s="18">
        <v>7</v>
      </c>
      <c r="J103" s="19">
        <v>4.666666666666667</v>
      </c>
      <c r="K103" s="20">
        <v>9</v>
      </c>
      <c r="L103" s="18">
        <v>8</v>
      </c>
      <c r="M103" s="17">
        <v>9</v>
      </c>
      <c r="N103" s="18">
        <v>8</v>
      </c>
      <c r="O103" s="17">
        <v>21</v>
      </c>
      <c r="P103" s="18">
        <v>5</v>
      </c>
      <c r="Q103" s="21">
        <v>188</v>
      </c>
      <c r="R103" s="22">
        <v>175</v>
      </c>
      <c r="S103" s="23">
        <v>5.125</v>
      </c>
    </row>
    <row r="104" spans="1:19" ht="20.100000000000001" customHeight="1" x14ac:dyDescent="0.6">
      <c r="A104" s="16">
        <v>4</v>
      </c>
      <c r="B104">
        <v>20425</v>
      </c>
      <c r="C104" t="s">
        <v>126</v>
      </c>
      <c r="D104" s="17">
        <v>28</v>
      </c>
      <c r="E104" s="18">
        <v>7</v>
      </c>
      <c r="F104" s="17">
        <v>12</v>
      </c>
      <c r="G104" s="18">
        <v>8</v>
      </c>
      <c r="H104" s="17">
        <v>17</v>
      </c>
      <c r="I104" s="18">
        <v>9</v>
      </c>
      <c r="J104" s="19">
        <v>8</v>
      </c>
      <c r="K104" s="20">
        <v>10</v>
      </c>
      <c r="L104" s="18">
        <v>7</v>
      </c>
      <c r="M104" s="17">
        <v>6</v>
      </c>
      <c r="N104" s="18">
        <v>9</v>
      </c>
      <c r="O104" s="17">
        <v>7</v>
      </c>
      <c r="P104" s="18">
        <v>8</v>
      </c>
      <c r="Q104" s="21">
        <v>80</v>
      </c>
      <c r="R104" s="22">
        <v>253</v>
      </c>
      <c r="S104" s="23">
        <v>8.125</v>
      </c>
    </row>
    <row r="105" spans="1:19" ht="20.100000000000001" customHeight="1" x14ac:dyDescent="0.6">
      <c r="A105" s="16">
        <v>4</v>
      </c>
      <c r="B105">
        <v>20426</v>
      </c>
      <c r="C105" t="s">
        <v>127</v>
      </c>
      <c r="D105" s="17">
        <v>39</v>
      </c>
      <c r="E105" s="18">
        <v>6</v>
      </c>
      <c r="F105" s="17">
        <v>61</v>
      </c>
      <c r="G105" s="18">
        <v>3</v>
      </c>
      <c r="H105" s="17">
        <v>13</v>
      </c>
      <c r="I105" s="18">
        <v>9</v>
      </c>
      <c r="J105" s="19">
        <v>6</v>
      </c>
      <c r="K105" s="20">
        <v>39</v>
      </c>
      <c r="L105" s="18">
        <v>2</v>
      </c>
      <c r="M105" s="17">
        <v>9</v>
      </c>
      <c r="N105" s="18">
        <v>8</v>
      </c>
      <c r="O105" s="17">
        <v>6</v>
      </c>
      <c r="P105" s="18">
        <v>9</v>
      </c>
      <c r="Q105" s="21">
        <v>167</v>
      </c>
      <c r="R105" s="22">
        <v>205</v>
      </c>
      <c r="S105" s="23">
        <v>6.625</v>
      </c>
    </row>
    <row r="106" spans="1:19" ht="20.100000000000001" customHeight="1" x14ac:dyDescent="0.6">
      <c r="A106" s="16">
        <v>4</v>
      </c>
      <c r="B106">
        <v>20427</v>
      </c>
      <c r="C106" t="s">
        <v>128</v>
      </c>
      <c r="D106" s="17">
        <v>83</v>
      </c>
      <c r="E106" s="18">
        <v>2</v>
      </c>
      <c r="F106" s="17">
        <v>53</v>
      </c>
      <c r="G106" s="18">
        <v>4</v>
      </c>
      <c r="H106" s="17">
        <v>69</v>
      </c>
      <c r="I106" s="18">
        <v>4</v>
      </c>
      <c r="J106" s="19">
        <v>3.3333333333333335</v>
      </c>
      <c r="K106" s="20">
        <v>37</v>
      </c>
      <c r="L106" s="18">
        <v>2</v>
      </c>
      <c r="M106" s="17">
        <v>37</v>
      </c>
      <c r="N106" s="18">
        <v>2</v>
      </c>
      <c r="O106" s="17">
        <v>38</v>
      </c>
      <c r="P106" s="18">
        <v>2</v>
      </c>
      <c r="Q106" s="21">
        <v>317</v>
      </c>
      <c r="R106" s="22">
        <v>40</v>
      </c>
      <c r="S106" s="23">
        <v>3</v>
      </c>
    </row>
    <row r="107" spans="1:19" ht="20.100000000000001" customHeight="1" x14ac:dyDescent="0.6">
      <c r="A107" s="16">
        <v>5</v>
      </c>
      <c r="B107">
        <v>20501</v>
      </c>
      <c r="C107" t="s">
        <v>129</v>
      </c>
      <c r="D107" s="17">
        <v>73</v>
      </c>
      <c r="E107" s="18">
        <v>3</v>
      </c>
      <c r="F107" s="17">
        <v>40</v>
      </c>
      <c r="G107" s="18">
        <v>5</v>
      </c>
      <c r="H107" s="17">
        <v>78</v>
      </c>
      <c r="I107" s="18">
        <v>3</v>
      </c>
      <c r="J107" s="19">
        <v>3.6666666666666665</v>
      </c>
      <c r="K107" s="20">
        <v>38</v>
      </c>
      <c r="L107" s="18">
        <v>2</v>
      </c>
      <c r="M107" s="17">
        <v>34</v>
      </c>
      <c r="N107" s="18">
        <v>3</v>
      </c>
      <c r="O107" s="17">
        <v>13</v>
      </c>
      <c r="P107" s="18">
        <v>7</v>
      </c>
      <c r="Q107" s="21">
        <v>276</v>
      </c>
      <c r="R107" s="22">
        <v>76</v>
      </c>
      <c r="S107" s="23">
        <v>4</v>
      </c>
    </row>
    <row r="108" spans="1:19" ht="20.100000000000001" customHeight="1" x14ac:dyDescent="0.6">
      <c r="A108" s="16">
        <v>5</v>
      </c>
      <c r="B108">
        <v>20502</v>
      </c>
      <c r="C108" t="s">
        <v>130</v>
      </c>
      <c r="D108" s="17">
        <v>55</v>
      </c>
      <c r="E108" s="18">
        <v>5</v>
      </c>
      <c r="F108" s="17">
        <v>69</v>
      </c>
      <c r="G108" s="18">
        <v>3</v>
      </c>
      <c r="H108" s="17">
        <v>76</v>
      </c>
      <c r="I108" s="18">
        <v>3</v>
      </c>
      <c r="J108" s="19">
        <v>3.6666666666666665</v>
      </c>
      <c r="K108" s="20">
        <v>25</v>
      </c>
      <c r="L108" s="18">
        <v>4</v>
      </c>
      <c r="M108" s="17">
        <v>24</v>
      </c>
      <c r="N108" s="18">
        <v>5</v>
      </c>
      <c r="O108" s="17">
        <v>23</v>
      </c>
      <c r="P108" s="18">
        <v>5</v>
      </c>
      <c r="Q108" s="21">
        <v>272</v>
      </c>
      <c r="R108" s="22">
        <v>81</v>
      </c>
      <c r="S108" s="23">
        <v>4</v>
      </c>
    </row>
    <row r="109" spans="1:19" ht="20.100000000000001" customHeight="1" x14ac:dyDescent="0.6">
      <c r="A109" s="16">
        <v>5</v>
      </c>
      <c r="B109">
        <v>20503</v>
      </c>
      <c r="C109" t="s">
        <v>131</v>
      </c>
      <c r="D109" s="17">
        <v>67</v>
      </c>
      <c r="E109" s="18">
        <v>4</v>
      </c>
      <c r="F109" s="17">
        <v>51</v>
      </c>
      <c r="G109" s="18">
        <v>4</v>
      </c>
      <c r="H109" s="17">
        <v>65</v>
      </c>
      <c r="I109" s="18">
        <v>4</v>
      </c>
      <c r="J109" s="19">
        <v>4</v>
      </c>
      <c r="K109" s="20">
        <v>50</v>
      </c>
      <c r="L109" s="18">
        <v>1</v>
      </c>
      <c r="M109" s="17">
        <v>30</v>
      </c>
      <c r="N109" s="18">
        <v>4</v>
      </c>
      <c r="O109" s="17">
        <v>21</v>
      </c>
      <c r="P109" s="18">
        <v>5</v>
      </c>
      <c r="Q109" s="21">
        <v>284</v>
      </c>
      <c r="R109" s="22">
        <v>71</v>
      </c>
      <c r="S109" s="23">
        <v>4.125</v>
      </c>
    </row>
    <row r="110" spans="1:19" ht="20.100000000000001" customHeight="1" x14ac:dyDescent="0.6">
      <c r="A110" s="16">
        <v>5</v>
      </c>
      <c r="B110">
        <v>20504</v>
      </c>
      <c r="C110" t="s">
        <v>132</v>
      </c>
      <c r="D110" s="17">
        <v>33</v>
      </c>
      <c r="E110" s="18">
        <v>6</v>
      </c>
      <c r="F110" s="17">
        <v>16</v>
      </c>
      <c r="G110" s="18">
        <v>7</v>
      </c>
      <c r="H110" s="17">
        <v>63</v>
      </c>
      <c r="I110" s="18">
        <v>4</v>
      </c>
      <c r="J110" s="19">
        <v>5.666666666666667</v>
      </c>
      <c r="K110" s="20">
        <v>17</v>
      </c>
      <c r="L110" s="18">
        <v>6</v>
      </c>
      <c r="M110" s="17">
        <v>10</v>
      </c>
      <c r="N110" s="18">
        <v>7</v>
      </c>
      <c r="O110" s="17">
        <v>9</v>
      </c>
      <c r="P110" s="18">
        <v>8</v>
      </c>
      <c r="Q110" s="21">
        <v>148</v>
      </c>
      <c r="R110" s="22">
        <v>222</v>
      </c>
      <c r="S110" s="23">
        <v>6.125</v>
      </c>
    </row>
    <row r="111" spans="1:19" ht="20.100000000000001" customHeight="1" x14ac:dyDescent="0.6">
      <c r="A111" s="16">
        <v>5</v>
      </c>
      <c r="B111">
        <v>20505</v>
      </c>
      <c r="C111" t="s">
        <v>133</v>
      </c>
      <c r="D111" s="17">
        <v>18</v>
      </c>
      <c r="E111" s="18">
        <v>8</v>
      </c>
      <c r="F111" s="17">
        <v>52</v>
      </c>
      <c r="G111" s="18">
        <v>4</v>
      </c>
      <c r="H111" s="17">
        <v>59</v>
      </c>
      <c r="I111" s="18">
        <v>5</v>
      </c>
      <c r="J111" s="19">
        <v>5.666666666666667</v>
      </c>
      <c r="K111" s="20">
        <v>35</v>
      </c>
      <c r="L111" s="18">
        <v>2</v>
      </c>
      <c r="M111" s="17">
        <v>13</v>
      </c>
      <c r="N111" s="18">
        <v>7</v>
      </c>
      <c r="O111" s="17">
        <v>30</v>
      </c>
      <c r="P111" s="18">
        <v>3</v>
      </c>
      <c r="Q111" s="21">
        <v>207</v>
      </c>
      <c r="R111" s="22">
        <v>154</v>
      </c>
      <c r="S111" s="23">
        <v>5.5</v>
      </c>
    </row>
    <row r="112" spans="1:19" ht="20.100000000000001" customHeight="1" x14ac:dyDescent="0.6">
      <c r="A112" s="16">
        <v>5</v>
      </c>
      <c r="B112">
        <v>20506</v>
      </c>
      <c r="C112" t="s">
        <v>134</v>
      </c>
      <c r="D112" s="17">
        <v>43</v>
      </c>
      <c r="E112" s="18">
        <v>5</v>
      </c>
      <c r="F112" s="17">
        <v>15</v>
      </c>
      <c r="G112" s="18">
        <v>7</v>
      </c>
      <c r="H112" s="17">
        <v>44</v>
      </c>
      <c r="I112" s="18">
        <v>6</v>
      </c>
      <c r="J112" s="19">
        <v>6</v>
      </c>
      <c r="K112" s="20">
        <v>32</v>
      </c>
      <c r="L112" s="18">
        <v>3</v>
      </c>
      <c r="M112" s="17">
        <v>25</v>
      </c>
      <c r="N112" s="18">
        <v>4</v>
      </c>
      <c r="O112" s="17">
        <v>28</v>
      </c>
      <c r="P112" s="18">
        <v>4</v>
      </c>
      <c r="Q112" s="21">
        <v>187</v>
      </c>
      <c r="R112" s="22">
        <v>176</v>
      </c>
      <c r="S112" s="23">
        <v>5.5</v>
      </c>
    </row>
    <row r="113" spans="1:19" ht="20.100000000000001" customHeight="1" x14ac:dyDescent="0.6">
      <c r="A113" s="16">
        <v>5</v>
      </c>
      <c r="B113">
        <v>20507</v>
      </c>
      <c r="C113" t="s">
        <v>135</v>
      </c>
      <c r="D113" s="17">
        <v>78</v>
      </c>
      <c r="E113" s="18">
        <v>3</v>
      </c>
      <c r="F113" s="17">
        <v>54</v>
      </c>
      <c r="G113" s="18">
        <v>4</v>
      </c>
      <c r="H113" s="17">
        <v>95</v>
      </c>
      <c r="I113" s="18">
        <v>1</v>
      </c>
      <c r="J113" s="19">
        <v>2.6666666666666665</v>
      </c>
      <c r="K113" s="20">
        <v>50</v>
      </c>
      <c r="L113" s="18">
        <v>1</v>
      </c>
      <c r="M113" s="17">
        <v>37</v>
      </c>
      <c r="N113" s="18">
        <v>2</v>
      </c>
      <c r="O113" s="17">
        <v>43</v>
      </c>
      <c r="P113" s="18">
        <v>1</v>
      </c>
      <c r="Q113" s="21">
        <v>357</v>
      </c>
      <c r="R113" s="22">
        <v>12</v>
      </c>
      <c r="S113" s="23">
        <v>2.375</v>
      </c>
    </row>
    <row r="114" spans="1:19" ht="20.100000000000001" customHeight="1" x14ac:dyDescent="0.6">
      <c r="A114" s="16">
        <v>5</v>
      </c>
      <c r="B114">
        <v>20508</v>
      </c>
      <c r="C114" t="s">
        <v>136</v>
      </c>
      <c r="D114" s="17">
        <v>36</v>
      </c>
      <c r="E114" s="18">
        <v>6</v>
      </c>
      <c r="F114" s="17">
        <v>30</v>
      </c>
      <c r="G114" s="18">
        <v>6</v>
      </c>
      <c r="H114" s="17">
        <v>60</v>
      </c>
      <c r="I114" s="18">
        <v>4</v>
      </c>
      <c r="J114" s="19">
        <v>5.333333333333333</v>
      </c>
      <c r="K114" s="20">
        <v>50</v>
      </c>
      <c r="L114" s="18">
        <v>1</v>
      </c>
      <c r="M114" s="17">
        <v>9</v>
      </c>
      <c r="N114" s="18">
        <v>8</v>
      </c>
      <c r="O114" s="17">
        <v>28</v>
      </c>
      <c r="P114" s="18">
        <v>4</v>
      </c>
      <c r="Q114" s="21">
        <v>213</v>
      </c>
      <c r="R114" s="22">
        <v>149</v>
      </c>
      <c r="S114" s="23">
        <v>5.5</v>
      </c>
    </row>
    <row r="115" spans="1:19" ht="20.100000000000001" customHeight="1" x14ac:dyDescent="0.6">
      <c r="A115" s="16">
        <v>5</v>
      </c>
      <c r="B115">
        <v>20509</v>
      </c>
      <c r="C115" t="s">
        <v>137</v>
      </c>
      <c r="D115" s="17">
        <v>90</v>
      </c>
      <c r="E115" s="18">
        <v>1</v>
      </c>
      <c r="F115" s="17">
        <v>47</v>
      </c>
      <c r="G115" s="18">
        <v>5</v>
      </c>
      <c r="H115" s="17">
        <v>80</v>
      </c>
      <c r="I115" s="18">
        <v>2</v>
      </c>
      <c r="J115" s="19">
        <v>2.6666666666666665</v>
      </c>
      <c r="K115" s="20">
        <v>47</v>
      </c>
      <c r="L115" s="18">
        <v>1</v>
      </c>
      <c r="M115" s="17">
        <v>40</v>
      </c>
      <c r="N115" s="18">
        <v>2</v>
      </c>
      <c r="O115" s="17">
        <v>30</v>
      </c>
      <c r="P115" s="18">
        <v>3</v>
      </c>
      <c r="Q115" s="21">
        <v>334</v>
      </c>
      <c r="R115" s="22">
        <v>28</v>
      </c>
      <c r="S115" s="23">
        <v>2.625</v>
      </c>
    </row>
    <row r="116" spans="1:19" ht="20.100000000000001" customHeight="1" x14ac:dyDescent="0.6">
      <c r="A116" s="16">
        <v>5</v>
      </c>
      <c r="B116">
        <v>20510</v>
      </c>
      <c r="C116" t="s">
        <v>138</v>
      </c>
      <c r="D116" s="17">
        <v>25</v>
      </c>
      <c r="E116" s="18">
        <v>7</v>
      </c>
      <c r="F116" s="17">
        <v>18</v>
      </c>
      <c r="G116" s="18">
        <v>7</v>
      </c>
      <c r="H116" s="17">
        <v>20</v>
      </c>
      <c r="I116" s="18">
        <v>8</v>
      </c>
      <c r="J116" s="19">
        <v>7.333333333333333</v>
      </c>
      <c r="K116" s="20">
        <v>10</v>
      </c>
      <c r="L116" s="18">
        <v>7</v>
      </c>
      <c r="M116" s="17">
        <v>6</v>
      </c>
      <c r="N116" s="18">
        <v>9</v>
      </c>
      <c r="O116" s="17">
        <v>31</v>
      </c>
      <c r="P116" s="18">
        <v>3</v>
      </c>
      <c r="Q116" s="21">
        <v>110</v>
      </c>
      <c r="R116" s="22">
        <v>243</v>
      </c>
      <c r="S116" s="23">
        <v>7</v>
      </c>
    </row>
    <row r="117" spans="1:19" ht="20.100000000000001" customHeight="1" x14ac:dyDescent="0.6">
      <c r="A117" s="16">
        <v>5</v>
      </c>
      <c r="B117">
        <v>20511</v>
      </c>
      <c r="C117" t="s">
        <v>139</v>
      </c>
      <c r="D117" s="17">
        <v>24</v>
      </c>
      <c r="E117" s="18">
        <v>7</v>
      </c>
      <c r="F117" s="17">
        <v>40</v>
      </c>
      <c r="G117" s="18">
        <v>5</v>
      </c>
      <c r="H117" s="17">
        <v>69</v>
      </c>
      <c r="I117" s="18">
        <v>4</v>
      </c>
      <c r="J117" s="19">
        <v>5.333333333333333</v>
      </c>
      <c r="K117" s="20">
        <v>18</v>
      </c>
      <c r="L117" s="18">
        <v>6</v>
      </c>
      <c r="M117" s="17">
        <v>20</v>
      </c>
      <c r="N117" s="18">
        <v>5</v>
      </c>
      <c r="O117" s="17">
        <v>25</v>
      </c>
      <c r="P117" s="18">
        <v>4</v>
      </c>
      <c r="Q117" s="21">
        <v>196</v>
      </c>
      <c r="R117" s="22">
        <v>165</v>
      </c>
      <c r="S117" s="23">
        <v>5.125</v>
      </c>
    </row>
    <row r="118" spans="1:19" ht="20.100000000000001" customHeight="1" x14ac:dyDescent="0.6">
      <c r="A118" s="16">
        <v>5</v>
      </c>
      <c r="B118">
        <v>20512</v>
      </c>
      <c r="C118" t="s">
        <v>140</v>
      </c>
      <c r="D118" s="17">
        <v>44</v>
      </c>
      <c r="E118" s="18">
        <v>5</v>
      </c>
      <c r="F118" s="17">
        <v>21</v>
      </c>
      <c r="G118" s="18">
        <v>6</v>
      </c>
      <c r="H118" s="17">
        <v>57</v>
      </c>
      <c r="I118" s="18">
        <v>5</v>
      </c>
      <c r="J118" s="19">
        <v>5.333333333333333</v>
      </c>
      <c r="K118" s="20">
        <v>19</v>
      </c>
      <c r="L118" s="18">
        <v>6</v>
      </c>
      <c r="M118" s="17">
        <v>19</v>
      </c>
      <c r="N118" s="18">
        <v>6</v>
      </c>
      <c r="O118" s="17">
        <v>23</v>
      </c>
      <c r="P118" s="18">
        <v>5</v>
      </c>
      <c r="Q118" s="21">
        <v>183</v>
      </c>
      <c r="R118" s="22">
        <v>186</v>
      </c>
      <c r="S118" s="23">
        <v>5.375</v>
      </c>
    </row>
    <row r="119" spans="1:19" ht="20.100000000000001" customHeight="1" x14ac:dyDescent="0.6">
      <c r="A119" s="16">
        <v>5</v>
      </c>
      <c r="B119">
        <v>20513</v>
      </c>
      <c r="C119" t="s">
        <v>141</v>
      </c>
      <c r="D119" s="17">
        <v>51</v>
      </c>
      <c r="E119" s="18">
        <v>5</v>
      </c>
      <c r="F119" s="17">
        <v>36</v>
      </c>
      <c r="G119" s="18">
        <v>5</v>
      </c>
      <c r="H119" s="17">
        <v>56</v>
      </c>
      <c r="I119" s="18">
        <v>5</v>
      </c>
      <c r="J119" s="19">
        <v>5</v>
      </c>
      <c r="K119" s="20">
        <v>16</v>
      </c>
      <c r="L119" s="18">
        <v>6</v>
      </c>
      <c r="M119" s="17">
        <v>5</v>
      </c>
      <c r="N119" s="18">
        <v>9</v>
      </c>
      <c r="O119" s="17">
        <v>26</v>
      </c>
      <c r="P119" s="18">
        <v>4</v>
      </c>
      <c r="Q119" s="21">
        <v>190</v>
      </c>
      <c r="R119" s="22">
        <v>171</v>
      </c>
      <c r="S119" s="23">
        <v>5.375</v>
      </c>
    </row>
    <row r="120" spans="1:19" ht="20.100000000000001" customHeight="1" x14ac:dyDescent="0.6">
      <c r="A120" s="16">
        <v>5</v>
      </c>
      <c r="B120">
        <v>20514</v>
      </c>
      <c r="C120" t="s">
        <v>142</v>
      </c>
      <c r="D120" s="17">
        <v>62</v>
      </c>
      <c r="E120" s="18">
        <v>4</v>
      </c>
      <c r="F120" s="17">
        <v>59</v>
      </c>
      <c r="G120" s="18">
        <v>4</v>
      </c>
      <c r="H120" s="17">
        <v>72</v>
      </c>
      <c r="I120" s="18">
        <v>3</v>
      </c>
      <c r="J120" s="19">
        <v>3.6666666666666665</v>
      </c>
      <c r="K120" s="20">
        <v>39</v>
      </c>
      <c r="L120" s="18">
        <v>2</v>
      </c>
      <c r="M120" s="17">
        <v>25</v>
      </c>
      <c r="N120" s="18">
        <v>4</v>
      </c>
      <c r="O120" s="17">
        <v>28</v>
      </c>
      <c r="P120" s="18">
        <v>4</v>
      </c>
      <c r="Q120" s="21">
        <v>285</v>
      </c>
      <c r="R120" s="22">
        <v>68</v>
      </c>
      <c r="S120" s="23">
        <v>3.75</v>
      </c>
    </row>
    <row r="121" spans="1:19" ht="20.100000000000001" customHeight="1" x14ac:dyDescent="0.6">
      <c r="A121" s="16">
        <v>5</v>
      </c>
      <c r="B121">
        <v>20515</v>
      </c>
      <c r="C121" t="s">
        <v>143</v>
      </c>
      <c r="D121" s="17">
        <v>21</v>
      </c>
      <c r="E121" s="18">
        <v>8</v>
      </c>
      <c r="F121" s="17">
        <v>47</v>
      </c>
      <c r="G121" s="18">
        <v>5</v>
      </c>
      <c r="H121" s="17">
        <v>42</v>
      </c>
      <c r="I121" s="18">
        <v>6</v>
      </c>
      <c r="J121" s="19">
        <v>6.333333333333333</v>
      </c>
      <c r="K121" s="20">
        <v>35</v>
      </c>
      <c r="L121" s="18">
        <v>2</v>
      </c>
      <c r="M121" s="17">
        <v>12</v>
      </c>
      <c r="N121" s="18">
        <v>7</v>
      </c>
      <c r="O121" s="17">
        <v>20</v>
      </c>
      <c r="P121" s="18">
        <v>5</v>
      </c>
      <c r="Q121" s="21">
        <v>177</v>
      </c>
      <c r="R121" s="22">
        <v>194</v>
      </c>
      <c r="S121" s="23">
        <v>6.25</v>
      </c>
    </row>
    <row r="122" spans="1:19" ht="20.100000000000001" customHeight="1" x14ac:dyDescent="0.6">
      <c r="A122" s="16">
        <v>5</v>
      </c>
      <c r="B122">
        <v>20516</v>
      </c>
      <c r="C122" t="s">
        <v>144</v>
      </c>
      <c r="D122" s="17">
        <v>39</v>
      </c>
      <c r="E122" s="18">
        <v>6</v>
      </c>
      <c r="F122" s="17">
        <v>35</v>
      </c>
      <c r="G122" s="18">
        <v>5</v>
      </c>
      <c r="H122" s="17">
        <v>68</v>
      </c>
      <c r="I122" s="18">
        <v>4</v>
      </c>
      <c r="J122" s="19">
        <v>5</v>
      </c>
      <c r="K122" s="20">
        <v>13</v>
      </c>
      <c r="L122" s="18">
        <v>7</v>
      </c>
      <c r="M122" s="17">
        <v>22</v>
      </c>
      <c r="N122" s="18">
        <v>5</v>
      </c>
      <c r="O122" s="17">
        <v>19</v>
      </c>
      <c r="P122" s="18">
        <v>5</v>
      </c>
      <c r="Q122" s="21">
        <v>196</v>
      </c>
      <c r="R122" s="22">
        <v>165</v>
      </c>
      <c r="S122" s="23">
        <v>5</v>
      </c>
    </row>
    <row r="123" spans="1:19" ht="20.100000000000001" customHeight="1" x14ac:dyDescent="0.6">
      <c r="A123" s="16">
        <v>5</v>
      </c>
      <c r="B123">
        <v>20517</v>
      </c>
      <c r="C123" t="s">
        <v>145</v>
      </c>
      <c r="D123" s="17">
        <v>36</v>
      </c>
      <c r="E123" s="18">
        <v>6</v>
      </c>
      <c r="F123" s="17">
        <v>48</v>
      </c>
      <c r="G123" s="18">
        <v>4</v>
      </c>
      <c r="H123" s="17">
        <v>58</v>
      </c>
      <c r="I123" s="18">
        <v>5</v>
      </c>
      <c r="J123" s="19">
        <v>5</v>
      </c>
      <c r="K123" s="20">
        <v>33</v>
      </c>
      <c r="L123" s="18">
        <v>3</v>
      </c>
      <c r="M123" s="17">
        <v>18</v>
      </c>
      <c r="N123" s="18">
        <v>6</v>
      </c>
      <c r="O123" s="17">
        <v>21</v>
      </c>
      <c r="P123" s="18">
        <v>5</v>
      </c>
      <c r="Q123" s="21">
        <v>214</v>
      </c>
      <c r="R123" s="22">
        <v>145</v>
      </c>
      <c r="S123" s="23">
        <v>5.125</v>
      </c>
    </row>
    <row r="124" spans="1:19" ht="20.100000000000001" customHeight="1" x14ac:dyDescent="0.6">
      <c r="A124" s="16">
        <v>5</v>
      </c>
      <c r="B124">
        <v>20518</v>
      </c>
      <c r="C124" t="s">
        <v>146</v>
      </c>
      <c r="D124" s="17">
        <v>44</v>
      </c>
      <c r="E124" s="18">
        <v>5</v>
      </c>
      <c r="F124" s="17">
        <v>58</v>
      </c>
      <c r="G124" s="18">
        <v>4</v>
      </c>
      <c r="H124" s="17">
        <v>70</v>
      </c>
      <c r="I124" s="18">
        <v>3</v>
      </c>
      <c r="J124" s="19">
        <v>4</v>
      </c>
      <c r="K124" s="20">
        <v>20</v>
      </c>
      <c r="L124" s="18">
        <v>5</v>
      </c>
      <c r="M124" s="17">
        <v>25</v>
      </c>
      <c r="N124" s="18">
        <v>4</v>
      </c>
      <c r="O124" s="17">
        <v>19</v>
      </c>
      <c r="P124" s="18">
        <v>5</v>
      </c>
      <c r="Q124" s="21">
        <v>236</v>
      </c>
      <c r="R124" s="22">
        <v>122</v>
      </c>
      <c r="S124" s="23">
        <v>4.125</v>
      </c>
    </row>
    <row r="125" spans="1:19" ht="20.100000000000001" customHeight="1" x14ac:dyDescent="0.6">
      <c r="A125" s="16">
        <v>5</v>
      </c>
      <c r="B125">
        <v>20519</v>
      </c>
      <c r="C125" t="s">
        <v>147</v>
      </c>
      <c r="D125" s="17">
        <v>18</v>
      </c>
      <c r="E125" s="18">
        <v>8</v>
      </c>
      <c r="F125" s="17">
        <v>13</v>
      </c>
      <c r="G125" s="18">
        <v>8</v>
      </c>
      <c r="H125" s="17">
        <v>64</v>
      </c>
      <c r="I125" s="18">
        <v>4</v>
      </c>
      <c r="J125" s="19">
        <v>6.666666666666667</v>
      </c>
      <c r="K125" s="20">
        <v>9</v>
      </c>
      <c r="L125" s="18">
        <v>8</v>
      </c>
      <c r="M125" s="17">
        <v>1</v>
      </c>
      <c r="N125" s="18">
        <v>9</v>
      </c>
      <c r="O125" s="17">
        <v>13</v>
      </c>
      <c r="P125" s="18">
        <v>7</v>
      </c>
      <c r="Q125" s="21">
        <v>118</v>
      </c>
      <c r="R125" s="22">
        <v>238</v>
      </c>
      <c r="S125" s="23">
        <v>7</v>
      </c>
    </row>
    <row r="126" spans="1:19" ht="20.100000000000001" customHeight="1" x14ac:dyDescent="0.6">
      <c r="A126" s="16">
        <v>5</v>
      </c>
      <c r="B126">
        <v>20520</v>
      </c>
      <c r="C126" t="s">
        <v>148</v>
      </c>
      <c r="D126" s="17">
        <v>18</v>
      </c>
      <c r="E126" s="18">
        <v>8</v>
      </c>
      <c r="F126" s="17">
        <v>54</v>
      </c>
      <c r="G126" s="18">
        <v>4</v>
      </c>
      <c r="H126" s="17">
        <v>36</v>
      </c>
      <c r="I126" s="18">
        <v>7</v>
      </c>
      <c r="J126" s="19">
        <v>6.333333333333333</v>
      </c>
      <c r="K126" s="20">
        <v>23</v>
      </c>
      <c r="L126" s="18">
        <v>5</v>
      </c>
      <c r="M126" s="17">
        <v>8</v>
      </c>
      <c r="N126" s="18">
        <v>8</v>
      </c>
      <c r="O126" s="17">
        <v>20</v>
      </c>
      <c r="P126" s="18">
        <v>5</v>
      </c>
      <c r="Q126" s="21">
        <v>159</v>
      </c>
      <c r="R126" s="22">
        <v>211</v>
      </c>
      <c r="S126" s="23">
        <v>6.375</v>
      </c>
    </row>
    <row r="127" spans="1:19" ht="20.100000000000001" customHeight="1" x14ac:dyDescent="0.6">
      <c r="A127" s="16">
        <v>5</v>
      </c>
      <c r="B127">
        <v>20521</v>
      </c>
      <c r="C127" t="s">
        <v>149</v>
      </c>
      <c r="D127" s="17">
        <v>26</v>
      </c>
      <c r="E127" s="18">
        <v>7</v>
      </c>
      <c r="F127" s="17">
        <v>61</v>
      </c>
      <c r="G127" s="18">
        <v>3</v>
      </c>
      <c r="H127" s="17">
        <v>38</v>
      </c>
      <c r="I127" s="18">
        <v>7</v>
      </c>
      <c r="J127" s="19">
        <v>5.666666666666667</v>
      </c>
      <c r="K127" s="20">
        <v>16</v>
      </c>
      <c r="L127" s="18">
        <v>6</v>
      </c>
      <c r="M127" s="17">
        <v>2</v>
      </c>
      <c r="N127" s="18">
        <v>9</v>
      </c>
      <c r="O127" s="17">
        <v>28</v>
      </c>
      <c r="P127" s="18">
        <v>4</v>
      </c>
      <c r="Q127" s="21">
        <v>171</v>
      </c>
      <c r="R127" s="22">
        <v>199</v>
      </c>
      <c r="S127" s="23">
        <v>5.875</v>
      </c>
    </row>
    <row r="128" spans="1:19" ht="20.100000000000001" customHeight="1" x14ac:dyDescent="0.6">
      <c r="A128" s="16">
        <v>5</v>
      </c>
      <c r="B128">
        <v>20522</v>
      </c>
      <c r="C128" t="s">
        <v>150</v>
      </c>
      <c r="D128" s="17">
        <v>29</v>
      </c>
      <c r="E128" s="18">
        <v>7</v>
      </c>
      <c r="F128" s="17">
        <v>47</v>
      </c>
      <c r="G128" s="18">
        <v>5</v>
      </c>
      <c r="H128" s="17">
        <v>49</v>
      </c>
      <c r="I128" s="18">
        <v>6</v>
      </c>
      <c r="J128" s="19">
        <v>6</v>
      </c>
      <c r="K128" s="20">
        <v>30</v>
      </c>
      <c r="L128" s="18">
        <v>3</v>
      </c>
      <c r="M128" s="17">
        <v>22</v>
      </c>
      <c r="N128" s="18">
        <v>5</v>
      </c>
      <c r="O128" s="17">
        <v>14</v>
      </c>
      <c r="P128" s="18">
        <v>6</v>
      </c>
      <c r="Q128" s="21">
        <v>191</v>
      </c>
      <c r="R128" s="22">
        <v>170</v>
      </c>
      <c r="S128" s="23">
        <v>5.875</v>
      </c>
    </row>
    <row r="129" spans="1:39" ht="20.100000000000001" customHeight="1" x14ac:dyDescent="0.6">
      <c r="A129" s="16">
        <v>5</v>
      </c>
      <c r="B129">
        <v>20523</v>
      </c>
      <c r="C129" t="s">
        <v>151</v>
      </c>
      <c r="D129" s="17">
        <v>54</v>
      </c>
      <c r="E129" s="18">
        <v>5</v>
      </c>
      <c r="F129" s="17">
        <v>76</v>
      </c>
      <c r="G129" s="18">
        <v>2</v>
      </c>
      <c r="H129" s="17">
        <v>76</v>
      </c>
      <c r="I129" s="18">
        <v>3</v>
      </c>
      <c r="J129" s="19">
        <v>3.3333333333333335</v>
      </c>
      <c r="K129" s="20">
        <v>48</v>
      </c>
      <c r="L129" s="18">
        <v>1</v>
      </c>
      <c r="M129" s="17">
        <v>47</v>
      </c>
      <c r="N129" s="18">
        <v>1</v>
      </c>
      <c r="O129" s="17">
        <v>34</v>
      </c>
      <c r="P129" s="18">
        <v>3</v>
      </c>
      <c r="Q129" s="21">
        <v>335</v>
      </c>
      <c r="R129" s="22">
        <v>26</v>
      </c>
      <c r="S129" s="23">
        <v>3</v>
      </c>
    </row>
    <row r="130" spans="1:39" ht="20.100000000000001" customHeight="1" x14ac:dyDescent="0.6">
      <c r="A130" s="16">
        <v>5</v>
      </c>
      <c r="B130">
        <v>20524</v>
      </c>
      <c r="C130" t="s">
        <v>152</v>
      </c>
      <c r="D130" s="17">
        <v>76</v>
      </c>
      <c r="E130" s="18">
        <v>3</v>
      </c>
      <c r="F130" s="17">
        <v>68</v>
      </c>
      <c r="G130" s="18">
        <v>3</v>
      </c>
      <c r="H130" s="17">
        <v>86</v>
      </c>
      <c r="I130" s="18">
        <v>2</v>
      </c>
      <c r="J130" s="19">
        <v>2.6666666666666665</v>
      </c>
      <c r="K130" s="20">
        <v>45</v>
      </c>
      <c r="L130" s="18">
        <v>1</v>
      </c>
      <c r="M130" s="17">
        <v>37</v>
      </c>
      <c r="N130" s="18">
        <v>2</v>
      </c>
      <c r="O130" s="17">
        <v>31</v>
      </c>
      <c r="P130" s="18">
        <v>3</v>
      </c>
      <c r="Q130" s="21">
        <v>343</v>
      </c>
      <c r="R130" s="22">
        <v>20</v>
      </c>
      <c r="S130" s="23">
        <v>2.625</v>
      </c>
    </row>
    <row r="131" spans="1:39" ht="20.100000000000001" customHeight="1" x14ac:dyDescent="0.6">
      <c r="A131" s="16">
        <v>5</v>
      </c>
      <c r="B131">
        <v>20525</v>
      </c>
      <c r="C131" t="s">
        <v>153</v>
      </c>
      <c r="D131" s="17">
        <v>74</v>
      </c>
      <c r="E131" s="18">
        <v>3</v>
      </c>
      <c r="F131" s="17">
        <v>76</v>
      </c>
      <c r="G131" s="18">
        <v>2</v>
      </c>
      <c r="H131" s="17">
        <v>67</v>
      </c>
      <c r="I131" s="18">
        <v>4</v>
      </c>
      <c r="J131" s="19">
        <v>3</v>
      </c>
      <c r="K131" s="20">
        <v>35</v>
      </c>
      <c r="L131" s="18">
        <v>2</v>
      </c>
      <c r="M131" s="17">
        <v>29</v>
      </c>
      <c r="N131" s="18">
        <v>4</v>
      </c>
      <c r="O131" s="17">
        <v>49</v>
      </c>
      <c r="P131" s="18">
        <v>1</v>
      </c>
      <c r="Q131" s="21">
        <v>330</v>
      </c>
      <c r="R131" s="22">
        <v>31</v>
      </c>
      <c r="S131" s="23">
        <v>2.875</v>
      </c>
    </row>
    <row r="132" spans="1:39" ht="20.100000000000001" customHeight="1" x14ac:dyDescent="0.6">
      <c r="A132" s="16">
        <v>5</v>
      </c>
      <c r="B132">
        <v>20526</v>
      </c>
      <c r="C132" t="s">
        <v>154</v>
      </c>
      <c r="D132" s="17">
        <v>60</v>
      </c>
      <c r="E132" s="18">
        <v>4</v>
      </c>
      <c r="F132" s="17">
        <v>63</v>
      </c>
      <c r="G132" s="18">
        <v>3</v>
      </c>
      <c r="H132" s="17">
        <v>60</v>
      </c>
      <c r="I132" s="18">
        <v>4</v>
      </c>
      <c r="J132" s="19">
        <v>3.6666666666666665</v>
      </c>
      <c r="K132" s="20">
        <v>29</v>
      </c>
      <c r="L132" s="18">
        <v>4</v>
      </c>
      <c r="M132" s="17">
        <v>26</v>
      </c>
      <c r="N132" s="18">
        <v>4</v>
      </c>
      <c r="O132" s="17">
        <v>18</v>
      </c>
      <c r="P132" s="18">
        <v>5</v>
      </c>
      <c r="Q132" s="21">
        <v>256</v>
      </c>
      <c r="R132" s="22">
        <v>96</v>
      </c>
      <c r="S132" s="23">
        <v>3.875</v>
      </c>
    </row>
    <row r="133" spans="1:39" ht="20.100000000000001" customHeight="1" x14ac:dyDescent="0.6">
      <c r="A133" s="16">
        <v>5</v>
      </c>
      <c r="B133">
        <v>20527</v>
      </c>
      <c r="C133" t="s">
        <v>155</v>
      </c>
      <c r="D133" s="17">
        <v>43</v>
      </c>
      <c r="E133" s="18">
        <v>5</v>
      </c>
      <c r="F133" s="17">
        <v>41</v>
      </c>
      <c r="G133" s="18">
        <v>5</v>
      </c>
      <c r="H133" s="17">
        <v>66</v>
      </c>
      <c r="I133" s="18">
        <v>4</v>
      </c>
      <c r="J133" s="19">
        <v>4.666666666666667</v>
      </c>
      <c r="K133" s="20">
        <v>25</v>
      </c>
      <c r="L133" s="18">
        <v>4</v>
      </c>
      <c r="M133" s="17">
        <v>28</v>
      </c>
      <c r="N133" s="18">
        <v>4</v>
      </c>
      <c r="O133" s="17">
        <v>19</v>
      </c>
      <c r="P133" s="18">
        <v>5</v>
      </c>
      <c r="Q133" s="21">
        <v>222</v>
      </c>
      <c r="R133" s="22">
        <v>137</v>
      </c>
      <c r="S133" s="23">
        <v>4.625</v>
      </c>
    </row>
    <row r="134" spans="1:39" ht="20.100000000000001" customHeight="1" x14ac:dyDescent="0.6">
      <c r="A134" s="16">
        <v>6</v>
      </c>
      <c r="B134">
        <v>20601</v>
      </c>
      <c r="C134" t="s">
        <v>156</v>
      </c>
      <c r="D134" s="17">
        <v>77</v>
      </c>
      <c r="E134" s="18">
        <v>3</v>
      </c>
      <c r="F134" s="17">
        <v>68</v>
      </c>
      <c r="G134" s="18">
        <v>3</v>
      </c>
      <c r="H134" s="17">
        <v>66</v>
      </c>
      <c r="I134" s="18">
        <v>4</v>
      </c>
      <c r="J134" s="19">
        <v>3.3333333333333335</v>
      </c>
      <c r="K134" s="20">
        <v>31</v>
      </c>
      <c r="L134" s="18">
        <v>3</v>
      </c>
      <c r="M134" s="17">
        <v>20</v>
      </c>
      <c r="N134" s="18">
        <v>5</v>
      </c>
      <c r="O134" s="17">
        <v>27</v>
      </c>
      <c r="P134" s="18">
        <v>4</v>
      </c>
      <c r="Q134" s="21">
        <v>289</v>
      </c>
      <c r="R134" s="22">
        <v>64</v>
      </c>
      <c r="S134" s="23">
        <v>3.625</v>
      </c>
    </row>
    <row r="135" spans="1:39" ht="20.100000000000001" customHeight="1" x14ac:dyDescent="0.6">
      <c r="A135" s="16">
        <v>6</v>
      </c>
      <c r="B135">
        <v>20602</v>
      </c>
      <c r="C135" t="s">
        <v>157</v>
      </c>
      <c r="D135" s="17">
        <v>55</v>
      </c>
      <c r="E135" s="18">
        <v>5</v>
      </c>
      <c r="F135" s="17">
        <v>47</v>
      </c>
      <c r="G135" s="18">
        <v>5</v>
      </c>
      <c r="H135" s="17">
        <v>55</v>
      </c>
      <c r="I135" s="18">
        <v>5</v>
      </c>
      <c r="J135" s="19">
        <v>5</v>
      </c>
      <c r="K135" s="20">
        <v>24</v>
      </c>
      <c r="L135" s="18">
        <v>5</v>
      </c>
      <c r="M135" s="17">
        <v>24</v>
      </c>
      <c r="N135" s="18">
        <v>5</v>
      </c>
      <c r="O135" s="17">
        <v>18</v>
      </c>
      <c r="P135" s="18">
        <v>5</v>
      </c>
      <c r="Q135" s="21">
        <v>223</v>
      </c>
      <c r="R135" s="22">
        <v>135</v>
      </c>
      <c r="S135" s="23">
        <v>5</v>
      </c>
    </row>
    <row r="136" spans="1:39" ht="20.100000000000001" customHeight="1" x14ac:dyDescent="0.6">
      <c r="A136" s="16">
        <v>6</v>
      </c>
      <c r="B136">
        <v>20603</v>
      </c>
      <c r="C136" t="s">
        <v>158</v>
      </c>
      <c r="D136" s="17">
        <v>19</v>
      </c>
      <c r="E136" s="18">
        <v>8</v>
      </c>
      <c r="F136" s="17">
        <v>16</v>
      </c>
      <c r="G136" s="18">
        <v>7</v>
      </c>
      <c r="H136" s="17">
        <v>56</v>
      </c>
      <c r="I136" s="18">
        <v>5</v>
      </c>
      <c r="J136" s="19">
        <v>6.666666666666667</v>
      </c>
      <c r="K136" s="20">
        <v>12</v>
      </c>
      <c r="L136" s="18">
        <v>7</v>
      </c>
      <c r="M136" s="17">
        <v>12</v>
      </c>
      <c r="N136" s="18">
        <v>7</v>
      </c>
      <c r="O136" s="17">
        <v>7</v>
      </c>
      <c r="P136" s="18">
        <v>8</v>
      </c>
      <c r="Q136" s="21">
        <v>122</v>
      </c>
      <c r="R136" s="22">
        <v>235</v>
      </c>
      <c r="S136" s="23">
        <v>6.875</v>
      </c>
    </row>
    <row r="137" spans="1:39" ht="20.100000000000001" customHeight="1" x14ac:dyDescent="0.6">
      <c r="A137" s="16">
        <v>6</v>
      </c>
      <c r="B137">
        <v>20604</v>
      </c>
      <c r="C137" t="s">
        <v>159</v>
      </c>
      <c r="D137" s="17">
        <v>51</v>
      </c>
      <c r="E137" s="18">
        <v>5</v>
      </c>
      <c r="F137" s="17">
        <v>62</v>
      </c>
      <c r="G137" s="18">
        <v>3</v>
      </c>
      <c r="H137" s="17">
        <v>58</v>
      </c>
      <c r="I137" s="18">
        <v>5</v>
      </c>
      <c r="J137" s="19">
        <v>4.333333333333333</v>
      </c>
      <c r="K137" s="20">
        <v>36</v>
      </c>
      <c r="L137" s="18">
        <v>2</v>
      </c>
      <c r="M137" s="17">
        <v>30</v>
      </c>
      <c r="N137" s="18">
        <v>4</v>
      </c>
      <c r="O137" s="17">
        <v>21</v>
      </c>
      <c r="P137" s="18">
        <v>5</v>
      </c>
      <c r="Q137" s="21">
        <v>258</v>
      </c>
      <c r="R137" s="22">
        <v>94</v>
      </c>
      <c r="S137" s="23">
        <v>4.375</v>
      </c>
      <c r="AF137" s="42"/>
      <c r="AG137" s="42"/>
      <c r="AH137" s="42"/>
      <c r="AI137" s="42"/>
      <c r="AJ137" s="42"/>
      <c r="AK137" s="42"/>
      <c r="AL137" s="42"/>
      <c r="AM137" s="42"/>
    </row>
    <row r="138" spans="1:39" ht="20.100000000000001" customHeight="1" x14ac:dyDescent="0.6">
      <c r="A138" s="16">
        <v>6</v>
      </c>
      <c r="B138">
        <v>20605</v>
      </c>
      <c r="C138" t="s">
        <v>160</v>
      </c>
      <c r="D138" s="17">
        <v>80</v>
      </c>
      <c r="E138" s="18">
        <v>2</v>
      </c>
      <c r="F138" s="17">
        <v>73</v>
      </c>
      <c r="G138" s="18">
        <v>2</v>
      </c>
      <c r="H138" s="17">
        <v>70</v>
      </c>
      <c r="I138" s="18">
        <v>3</v>
      </c>
      <c r="J138" s="19">
        <v>2.3333333333333335</v>
      </c>
      <c r="K138" s="20">
        <v>44</v>
      </c>
      <c r="L138" s="18">
        <v>1</v>
      </c>
      <c r="M138" s="17">
        <v>41</v>
      </c>
      <c r="N138" s="18">
        <v>2</v>
      </c>
      <c r="O138" s="17">
        <v>34</v>
      </c>
      <c r="P138" s="18">
        <v>3</v>
      </c>
      <c r="Q138" s="21">
        <v>342</v>
      </c>
      <c r="R138" s="22">
        <v>23</v>
      </c>
      <c r="S138" s="23">
        <v>2.375</v>
      </c>
      <c r="U138" s="42"/>
      <c r="V138" s="42"/>
      <c r="AF138" s="42"/>
      <c r="AG138" s="42"/>
      <c r="AH138" s="42"/>
      <c r="AI138" s="42"/>
      <c r="AJ138" s="42"/>
      <c r="AK138" s="42"/>
      <c r="AL138" s="42"/>
      <c r="AM138" s="42"/>
    </row>
    <row r="139" spans="1:39" ht="20.100000000000001" customHeight="1" x14ac:dyDescent="0.6">
      <c r="A139" s="16">
        <v>6</v>
      </c>
      <c r="B139">
        <v>20606</v>
      </c>
      <c r="C139" t="s">
        <v>161</v>
      </c>
      <c r="D139" s="17">
        <v>60</v>
      </c>
      <c r="E139" s="18">
        <v>4</v>
      </c>
      <c r="F139" s="17">
        <v>43</v>
      </c>
      <c r="G139" s="18">
        <v>5</v>
      </c>
      <c r="H139" s="17">
        <v>55</v>
      </c>
      <c r="I139" s="18">
        <v>5</v>
      </c>
      <c r="J139" s="19">
        <v>4.666666666666667</v>
      </c>
      <c r="K139" s="20">
        <v>35</v>
      </c>
      <c r="L139" s="18">
        <v>2</v>
      </c>
      <c r="M139" s="17">
        <v>19</v>
      </c>
      <c r="N139" s="18">
        <v>6</v>
      </c>
      <c r="O139" s="17">
        <v>23</v>
      </c>
      <c r="P139" s="18">
        <v>5</v>
      </c>
      <c r="Q139" s="21">
        <v>235</v>
      </c>
      <c r="R139" s="22">
        <v>123</v>
      </c>
      <c r="S139" s="23">
        <v>4.875</v>
      </c>
      <c r="U139" s="42"/>
      <c r="V139" s="42"/>
      <c r="AF139" s="42"/>
      <c r="AG139" s="42"/>
      <c r="AH139" s="42"/>
      <c r="AI139" s="42"/>
      <c r="AJ139" s="42"/>
      <c r="AK139" s="42"/>
      <c r="AL139" s="42"/>
      <c r="AM139" s="42"/>
    </row>
    <row r="140" spans="1:39" ht="20.100000000000001" customHeight="1" x14ac:dyDescent="0.6">
      <c r="A140" s="16">
        <v>6</v>
      </c>
      <c r="B140">
        <v>20607</v>
      </c>
      <c r="C140" t="s">
        <v>162</v>
      </c>
      <c r="D140" s="17">
        <v>41</v>
      </c>
      <c r="E140" s="18">
        <v>6</v>
      </c>
      <c r="F140" s="17">
        <v>19</v>
      </c>
      <c r="G140" s="18">
        <v>7</v>
      </c>
      <c r="H140" s="17">
        <v>54</v>
      </c>
      <c r="I140" s="18">
        <v>5</v>
      </c>
      <c r="J140" s="19">
        <v>6</v>
      </c>
      <c r="K140" s="20">
        <v>13</v>
      </c>
      <c r="L140" s="18">
        <v>7</v>
      </c>
      <c r="M140" s="17">
        <v>7</v>
      </c>
      <c r="N140" s="18">
        <v>9</v>
      </c>
      <c r="O140" s="17">
        <v>25</v>
      </c>
      <c r="P140" s="18">
        <v>4</v>
      </c>
      <c r="Q140" s="21">
        <v>159</v>
      </c>
      <c r="R140" s="22">
        <v>211</v>
      </c>
      <c r="S140" s="23">
        <v>6.125</v>
      </c>
      <c r="U140" s="42"/>
      <c r="V140" s="42"/>
      <c r="AF140" s="42"/>
      <c r="AG140" s="42"/>
      <c r="AH140" s="42"/>
      <c r="AI140" s="42"/>
      <c r="AJ140" s="42"/>
      <c r="AK140" s="42"/>
      <c r="AL140" s="42"/>
      <c r="AM140" s="42"/>
    </row>
    <row r="141" spans="1:39" ht="20.100000000000001" customHeight="1" x14ac:dyDescent="0.6">
      <c r="A141" s="16">
        <v>6</v>
      </c>
      <c r="B141">
        <v>20608</v>
      </c>
      <c r="C141" t="s">
        <v>163</v>
      </c>
      <c r="D141" s="17">
        <v>57</v>
      </c>
      <c r="E141" s="18">
        <v>4</v>
      </c>
      <c r="F141" s="17">
        <v>53</v>
      </c>
      <c r="G141" s="18">
        <v>4</v>
      </c>
      <c r="H141" s="17">
        <v>66</v>
      </c>
      <c r="I141" s="18">
        <v>4</v>
      </c>
      <c r="J141" s="19">
        <v>4</v>
      </c>
      <c r="K141" s="20">
        <v>22</v>
      </c>
      <c r="L141" s="18">
        <v>5</v>
      </c>
      <c r="M141" s="17">
        <v>25</v>
      </c>
      <c r="N141" s="18">
        <v>4</v>
      </c>
      <c r="O141" s="17">
        <v>25</v>
      </c>
      <c r="P141" s="18">
        <v>4</v>
      </c>
      <c r="Q141" s="21">
        <v>248</v>
      </c>
      <c r="R141" s="22">
        <v>108</v>
      </c>
      <c r="S141" s="23">
        <v>4</v>
      </c>
      <c r="U141" s="42"/>
      <c r="V141" s="42"/>
      <c r="AF141" s="42"/>
      <c r="AG141" s="42"/>
      <c r="AH141" s="42"/>
      <c r="AI141" s="42"/>
      <c r="AJ141" s="42"/>
      <c r="AK141" s="42"/>
      <c r="AL141" s="42"/>
      <c r="AM141" s="42"/>
    </row>
    <row r="142" spans="1:39" ht="20.100000000000001" customHeight="1" x14ac:dyDescent="0.6">
      <c r="A142" s="16">
        <v>6</v>
      </c>
      <c r="B142">
        <v>20609</v>
      </c>
      <c r="C142" t="s">
        <v>164</v>
      </c>
      <c r="D142" s="17">
        <v>70</v>
      </c>
      <c r="E142" s="18">
        <v>3</v>
      </c>
      <c r="F142" s="17">
        <v>60</v>
      </c>
      <c r="G142" s="18">
        <v>4</v>
      </c>
      <c r="H142" s="17">
        <v>78</v>
      </c>
      <c r="I142" s="18">
        <v>3</v>
      </c>
      <c r="J142" s="19">
        <v>3.3333333333333335</v>
      </c>
      <c r="K142" s="20">
        <v>34</v>
      </c>
      <c r="L142" s="18">
        <v>3</v>
      </c>
      <c r="M142" s="17">
        <v>36</v>
      </c>
      <c r="N142" s="18">
        <v>3</v>
      </c>
      <c r="O142" s="17">
        <v>29</v>
      </c>
      <c r="P142" s="18">
        <v>4</v>
      </c>
      <c r="Q142" s="21">
        <v>307</v>
      </c>
      <c r="R142" s="22">
        <v>50</v>
      </c>
      <c r="S142" s="23">
        <v>3.375</v>
      </c>
      <c r="U142" s="42"/>
      <c r="V142" s="42"/>
      <c r="AF142" s="42"/>
      <c r="AG142" s="42"/>
      <c r="AH142" s="42"/>
      <c r="AI142" s="42"/>
      <c r="AJ142" s="42"/>
      <c r="AK142" s="42"/>
      <c r="AL142" s="42"/>
      <c r="AM142" s="42"/>
    </row>
    <row r="143" spans="1:39" ht="20.100000000000001" customHeight="1" x14ac:dyDescent="0.6">
      <c r="A143" s="16">
        <v>6</v>
      </c>
      <c r="B143">
        <v>20610</v>
      </c>
      <c r="C143" t="s">
        <v>165</v>
      </c>
      <c r="D143" s="17">
        <v>57</v>
      </c>
      <c r="E143" s="18">
        <v>4</v>
      </c>
      <c r="F143" s="17">
        <v>31</v>
      </c>
      <c r="G143" s="18">
        <v>5</v>
      </c>
      <c r="H143" s="17">
        <v>35</v>
      </c>
      <c r="I143" s="18">
        <v>7</v>
      </c>
      <c r="J143" s="19">
        <v>5.333333333333333</v>
      </c>
      <c r="K143" s="20">
        <v>12</v>
      </c>
      <c r="L143" s="18">
        <v>7</v>
      </c>
      <c r="M143" s="17">
        <v>25</v>
      </c>
      <c r="N143" s="18">
        <v>4</v>
      </c>
      <c r="O143" s="17">
        <v>25</v>
      </c>
      <c r="P143" s="18">
        <v>4</v>
      </c>
      <c r="Q143" s="21">
        <v>185</v>
      </c>
      <c r="R143" s="22">
        <v>182</v>
      </c>
      <c r="S143" s="23">
        <v>5</v>
      </c>
      <c r="U143" s="42"/>
      <c r="V143" s="42"/>
      <c r="AF143" s="42"/>
      <c r="AG143" s="42"/>
      <c r="AH143" s="42"/>
      <c r="AI143" s="42"/>
      <c r="AJ143" s="42"/>
      <c r="AK143" s="42"/>
      <c r="AL143" s="42"/>
      <c r="AM143" s="42"/>
    </row>
    <row r="144" spans="1:39" ht="20.100000000000001" customHeight="1" x14ac:dyDescent="0.6">
      <c r="A144" s="16">
        <v>6</v>
      </c>
      <c r="B144">
        <v>20611</v>
      </c>
      <c r="C144" t="s">
        <v>166</v>
      </c>
      <c r="D144" s="17">
        <v>64</v>
      </c>
      <c r="E144" s="18">
        <v>4</v>
      </c>
      <c r="F144" s="17">
        <v>48</v>
      </c>
      <c r="G144" s="18">
        <v>4</v>
      </c>
      <c r="H144" s="17">
        <v>60</v>
      </c>
      <c r="I144" s="18">
        <v>4</v>
      </c>
      <c r="J144" s="19">
        <v>4</v>
      </c>
      <c r="K144" s="20">
        <v>32</v>
      </c>
      <c r="L144" s="18">
        <v>3</v>
      </c>
      <c r="M144" s="17">
        <v>40</v>
      </c>
      <c r="N144" s="18">
        <v>2</v>
      </c>
      <c r="O144" s="17">
        <v>18</v>
      </c>
      <c r="P144" s="18">
        <v>5</v>
      </c>
      <c r="Q144" s="21">
        <v>262</v>
      </c>
      <c r="R144" s="22">
        <v>92</v>
      </c>
      <c r="S144" s="23">
        <v>3.875</v>
      </c>
      <c r="U144" s="42"/>
      <c r="V144" s="42"/>
      <c r="AF144" s="42"/>
      <c r="AG144" s="42"/>
      <c r="AH144" s="42"/>
      <c r="AI144" s="42"/>
      <c r="AJ144" s="42"/>
      <c r="AK144" s="42"/>
      <c r="AL144" s="42"/>
      <c r="AM144" s="42"/>
    </row>
    <row r="145" spans="1:39" ht="20.100000000000001" customHeight="1" x14ac:dyDescent="0.6">
      <c r="A145" s="16">
        <v>6</v>
      </c>
      <c r="B145">
        <v>20612</v>
      </c>
      <c r="C145" t="s">
        <v>167</v>
      </c>
      <c r="D145" s="17">
        <v>83</v>
      </c>
      <c r="E145" s="18">
        <v>2</v>
      </c>
      <c r="F145" s="17">
        <v>47</v>
      </c>
      <c r="G145" s="18">
        <v>5</v>
      </c>
      <c r="H145" s="17">
        <v>79</v>
      </c>
      <c r="I145" s="18">
        <v>3</v>
      </c>
      <c r="J145" s="19">
        <v>3.3333333333333335</v>
      </c>
      <c r="K145" s="20">
        <v>29</v>
      </c>
      <c r="L145" s="18">
        <v>4</v>
      </c>
      <c r="M145" s="17">
        <v>40</v>
      </c>
      <c r="N145" s="18">
        <v>2</v>
      </c>
      <c r="O145" s="17">
        <v>29</v>
      </c>
      <c r="P145" s="18">
        <v>4</v>
      </c>
      <c r="Q145" s="21">
        <v>307</v>
      </c>
      <c r="R145" s="22">
        <v>50</v>
      </c>
      <c r="S145" s="23">
        <v>3.25</v>
      </c>
      <c r="U145" s="42"/>
      <c r="V145" s="42"/>
      <c r="AF145" s="42"/>
      <c r="AG145" s="42"/>
      <c r="AH145" s="42"/>
      <c r="AI145" s="42"/>
      <c r="AJ145" s="42"/>
      <c r="AK145" s="42"/>
      <c r="AL145" s="42"/>
      <c r="AM145" s="42"/>
    </row>
    <row r="146" spans="1:39" ht="20.100000000000001" customHeight="1" x14ac:dyDescent="0.6">
      <c r="A146" s="16">
        <v>6</v>
      </c>
      <c r="B146">
        <v>20613</v>
      </c>
      <c r="C146" t="s">
        <v>168</v>
      </c>
      <c r="D146" s="17">
        <v>68</v>
      </c>
      <c r="E146" s="18">
        <v>3</v>
      </c>
      <c r="F146" s="17">
        <v>61</v>
      </c>
      <c r="G146" s="18">
        <v>3</v>
      </c>
      <c r="H146" s="17">
        <v>82</v>
      </c>
      <c r="I146" s="18">
        <v>2</v>
      </c>
      <c r="J146" s="19">
        <v>2.6666666666666665</v>
      </c>
      <c r="K146" s="20">
        <v>35</v>
      </c>
      <c r="L146" s="18">
        <v>2</v>
      </c>
      <c r="M146" s="17">
        <v>29</v>
      </c>
      <c r="N146" s="18">
        <v>4</v>
      </c>
      <c r="O146" s="17">
        <v>39</v>
      </c>
      <c r="P146" s="18">
        <v>2</v>
      </c>
      <c r="Q146" s="21">
        <v>314</v>
      </c>
      <c r="R146" s="22">
        <v>44</v>
      </c>
      <c r="S146" s="23">
        <v>2.75</v>
      </c>
      <c r="U146" s="42"/>
      <c r="V146" s="42"/>
      <c r="AF146" s="42"/>
      <c r="AG146" s="42"/>
      <c r="AH146" s="42"/>
      <c r="AI146" s="42"/>
      <c r="AJ146" s="42"/>
      <c r="AK146" s="42"/>
      <c r="AL146" s="42"/>
      <c r="AM146" s="42"/>
    </row>
    <row r="147" spans="1:39" ht="20.100000000000001" customHeight="1" x14ac:dyDescent="0.6">
      <c r="A147" s="16">
        <v>6</v>
      </c>
      <c r="B147">
        <v>20614</v>
      </c>
      <c r="C147" t="s">
        <v>169</v>
      </c>
      <c r="D147" s="17">
        <v>45</v>
      </c>
      <c r="E147" s="18">
        <v>5</v>
      </c>
      <c r="F147" s="17">
        <v>8</v>
      </c>
      <c r="G147" s="18">
        <v>9</v>
      </c>
      <c r="H147" s="17">
        <v>34</v>
      </c>
      <c r="I147" s="18">
        <v>7</v>
      </c>
      <c r="J147" s="19">
        <v>7</v>
      </c>
      <c r="K147" s="20">
        <v>15</v>
      </c>
      <c r="L147" s="18">
        <v>6</v>
      </c>
      <c r="M147" s="17">
        <v>10</v>
      </c>
      <c r="N147" s="18">
        <v>7</v>
      </c>
      <c r="O147" s="17">
        <v>18</v>
      </c>
      <c r="P147" s="18">
        <v>5</v>
      </c>
      <c r="Q147" s="21">
        <v>130</v>
      </c>
      <c r="R147" s="22">
        <v>231</v>
      </c>
      <c r="S147" s="23">
        <v>6.75</v>
      </c>
      <c r="U147" s="42"/>
      <c r="V147" s="42"/>
      <c r="AF147" s="42"/>
      <c r="AG147" s="42"/>
      <c r="AH147" s="42"/>
      <c r="AI147" s="42"/>
      <c r="AJ147" s="42"/>
      <c r="AK147" s="42"/>
      <c r="AL147" s="42"/>
      <c r="AM147" s="42"/>
    </row>
    <row r="148" spans="1:39" ht="20.100000000000001" customHeight="1" x14ac:dyDescent="0.6">
      <c r="A148" s="16">
        <v>6</v>
      </c>
      <c r="B148">
        <v>20615</v>
      </c>
      <c r="C148" t="s">
        <v>170</v>
      </c>
      <c r="D148" s="17">
        <v>33</v>
      </c>
      <c r="E148" s="18">
        <v>6</v>
      </c>
      <c r="F148" s="17">
        <v>5</v>
      </c>
      <c r="G148" s="18">
        <v>9</v>
      </c>
      <c r="H148" s="17">
        <v>21</v>
      </c>
      <c r="I148" s="18">
        <v>8</v>
      </c>
      <c r="J148" s="19">
        <v>7.666666666666667</v>
      </c>
      <c r="K148" s="20">
        <v>9</v>
      </c>
      <c r="L148" s="18">
        <v>8</v>
      </c>
      <c r="M148" s="17">
        <v>6</v>
      </c>
      <c r="N148" s="18">
        <v>9</v>
      </c>
      <c r="O148" s="17">
        <v>2</v>
      </c>
      <c r="P148" s="18">
        <v>9</v>
      </c>
      <c r="Q148" s="21">
        <v>76</v>
      </c>
      <c r="R148" s="22">
        <v>254</v>
      </c>
      <c r="S148" s="23">
        <v>8</v>
      </c>
      <c r="U148" s="42"/>
      <c r="V148" s="42"/>
      <c r="AF148" s="42"/>
      <c r="AG148" s="42"/>
      <c r="AH148" s="42"/>
      <c r="AI148" s="42"/>
      <c r="AJ148" s="42"/>
      <c r="AK148" s="42"/>
      <c r="AL148" s="42"/>
      <c r="AM148" s="42"/>
    </row>
    <row r="149" spans="1:39" ht="20.100000000000001" customHeight="1" x14ac:dyDescent="0.6">
      <c r="A149" s="16">
        <v>6</v>
      </c>
      <c r="B149">
        <v>20616</v>
      </c>
      <c r="C149" t="s">
        <v>171</v>
      </c>
      <c r="D149" s="17">
        <v>61</v>
      </c>
      <c r="E149" s="18">
        <v>4</v>
      </c>
      <c r="F149" s="17">
        <v>47</v>
      </c>
      <c r="G149" s="18">
        <v>5</v>
      </c>
      <c r="H149" s="17">
        <v>67</v>
      </c>
      <c r="I149" s="18">
        <v>4</v>
      </c>
      <c r="J149" s="19">
        <v>4.333333333333333</v>
      </c>
      <c r="K149" s="20">
        <v>27</v>
      </c>
      <c r="L149" s="18">
        <v>4</v>
      </c>
      <c r="M149" s="17">
        <v>24</v>
      </c>
      <c r="N149" s="18">
        <v>5</v>
      </c>
      <c r="O149" s="17">
        <v>25</v>
      </c>
      <c r="P149" s="18">
        <v>4</v>
      </c>
      <c r="Q149" s="21">
        <v>251</v>
      </c>
      <c r="R149" s="22">
        <v>102</v>
      </c>
      <c r="S149" s="23">
        <v>4.375</v>
      </c>
      <c r="U149" s="42"/>
      <c r="V149" s="42"/>
      <c r="AF149" s="42"/>
      <c r="AG149" s="42"/>
      <c r="AH149" s="42"/>
      <c r="AI149" s="42"/>
      <c r="AJ149" s="42"/>
      <c r="AK149" s="42"/>
      <c r="AL149" s="42"/>
      <c r="AM149" s="42"/>
    </row>
    <row r="150" spans="1:39" ht="20.100000000000001" customHeight="1" x14ac:dyDescent="0.6">
      <c r="A150" s="16">
        <v>6</v>
      </c>
      <c r="B150">
        <v>20617</v>
      </c>
      <c r="C150" t="s">
        <v>172</v>
      </c>
      <c r="D150" s="17">
        <v>22</v>
      </c>
      <c r="E150" s="18">
        <v>8</v>
      </c>
      <c r="F150" s="17">
        <v>19</v>
      </c>
      <c r="G150" s="18">
        <v>7</v>
      </c>
      <c r="H150" s="17">
        <v>26</v>
      </c>
      <c r="I150" s="18">
        <v>8</v>
      </c>
      <c r="J150" s="19">
        <v>7.666666666666667</v>
      </c>
      <c r="K150" s="20">
        <v>12</v>
      </c>
      <c r="L150" s="18">
        <v>7</v>
      </c>
      <c r="M150" s="17">
        <v>20</v>
      </c>
      <c r="N150" s="18">
        <v>5</v>
      </c>
      <c r="O150" s="17">
        <v>13</v>
      </c>
      <c r="P150" s="18">
        <v>7</v>
      </c>
      <c r="Q150" s="21">
        <v>112</v>
      </c>
      <c r="R150" s="22">
        <v>242</v>
      </c>
      <c r="S150" s="23">
        <v>7.25</v>
      </c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</row>
    <row r="151" spans="1:39" ht="20.100000000000001" customHeight="1" x14ac:dyDescent="0.6">
      <c r="A151" s="16">
        <v>6</v>
      </c>
      <c r="B151">
        <v>20618</v>
      </c>
      <c r="C151" t="s">
        <v>173</v>
      </c>
      <c r="D151" s="17">
        <v>43</v>
      </c>
      <c r="E151" s="18">
        <v>5</v>
      </c>
      <c r="F151" s="17">
        <v>8</v>
      </c>
      <c r="G151" s="18">
        <v>9</v>
      </c>
      <c r="H151" s="17">
        <v>41</v>
      </c>
      <c r="I151" s="18">
        <v>6</v>
      </c>
      <c r="J151" s="19">
        <v>6.666666666666667</v>
      </c>
      <c r="K151" s="20">
        <v>32</v>
      </c>
      <c r="L151" s="18">
        <v>3</v>
      </c>
      <c r="M151" s="17">
        <v>22</v>
      </c>
      <c r="N151" s="18">
        <v>5</v>
      </c>
      <c r="O151" s="17">
        <v>24</v>
      </c>
      <c r="P151" s="18">
        <v>4</v>
      </c>
      <c r="Q151" s="21">
        <v>170</v>
      </c>
      <c r="R151" s="22">
        <v>201</v>
      </c>
      <c r="S151" s="23">
        <v>6.125</v>
      </c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</row>
    <row r="152" spans="1:39" ht="20.100000000000001" customHeight="1" x14ac:dyDescent="0.6">
      <c r="A152" s="16">
        <v>6</v>
      </c>
      <c r="B152">
        <v>20619</v>
      </c>
      <c r="C152" t="s">
        <v>174</v>
      </c>
      <c r="D152" s="17">
        <v>52</v>
      </c>
      <c r="E152" s="18">
        <v>5</v>
      </c>
      <c r="F152" s="17">
        <v>47</v>
      </c>
      <c r="G152" s="18">
        <v>5</v>
      </c>
      <c r="H152" s="17">
        <v>74</v>
      </c>
      <c r="I152" s="18">
        <v>3</v>
      </c>
      <c r="J152" s="19">
        <v>4.333333333333333</v>
      </c>
      <c r="K152" s="20">
        <v>21</v>
      </c>
      <c r="L152" s="18">
        <v>5</v>
      </c>
      <c r="M152" s="17">
        <v>5</v>
      </c>
      <c r="N152" s="18">
        <v>9</v>
      </c>
      <c r="O152" s="17">
        <v>2</v>
      </c>
      <c r="P152" s="18">
        <v>9</v>
      </c>
      <c r="Q152" s="21">
        <v>201</v>
      </c>
      <c r="R152" s="22">
        <v>161</v>
      </c>
      <c r="S152" s="23">
        <v>5.5</v>
      </c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</row>
    <row r="153" spans="1:39" ht="20.100000000000001" customHeight="1" x14ac:dyDescent="0.6">
      <c r="A153" s="16">
        <v>6</v>
      </c>
      <c r="B153">
        <v>20620</v>
      </c>
      <c r="C153" t="s">
        <v>175</v>
      </c>
      <c r="D153" s="17">
        <v>18</v>
      </c>
      <c r="E153" s="18">
        <v>8</v>
      </c>
      <c r="F153" s="17">
        <v>18</v>
      </c>
      <c r="G153" s="18">
        <v>7</v>
      </c>
      <c r="H153" s="17">
        <v>44</v>
      </c>
      <c r="I153" s="18">
        <v>6</v>
      </c>
      <c r="J153" s="19">
        <v>7</v>
      </c>
      <c r="K153" s="20">
        <v>12</v>
      </c>
      <c r="L153" s="18">
        <v>7</v>
      </c>
      <c r="M153" s="17">
        <v>11</v>
      </c>
      <c r="N153" s="18">
        <v>7</v>
      </c>
      <c r="O153" s="17">
        <v>7</v>
      </c>
      <c r="P153" s="18">
        <v>8</v>
      </c>
      <c r="Q153" s="21">
        <v>110</v>
      </c>
      <c r="R153" s="22">
        <v>243</v>
      </c>
      <c r="S153" s="23">
        <v>7.125</v>
      </c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</row>
    <row r="154" spans="1:39" ht="20.100000000000001" customHeight="1" x14ac:dyDescent="0.6">
      <c r="A154" s="16">
        <v>6</v>
      </c>
      <c r="B154">
        <v>20621</v>
      </c>
      <c r="C154" t="s">
        <v>176</v>
      </c>
      <c r="D154" s="17">
        <v>54</v>
      </c>
      <c r="E154" s="18">
        <v>5</v>
      </c>
      <c r="F154" s="17">
        <v>32</v>
      </c>
      <c r="G154" s="18">
        <v>5</v>
      </c>
      <c r="H154" s="17">
        <v>55</v>
      </c>
      <c r="I154" s="18">
        <v>5</v>
      </c>
      <c r="J154" s="19">
        <v>5</v>
      </c>
      <c r="K154" s="20">
        <v>16</v>
      </c>
      <c r="L154" s="18">
        <v>6</v>
      </c>
      <c r="M154" s="17">
        <v>18</v>
      </c>
      <c r="N154" s="18">
        <v>6</v>
      </c>
      <c r="O154" s="17">
        <v>26</v>
      </c>
      <c r="P154" s="18">
        <v>4</v>
      </c>
      <c r="Q154" s="21">
        <v>201</v>
      </c>
      <c r="R154" s="22">
        <v>161</v>
      </c>
      <c r="S154" s="23">
        <v>5</v>
      </c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</row>
    <row r="155" spans="1:39" ht="20.100000000000001" customHeight="1" x14ac:dyDescent="0.6">
      <c r="A155" s="16">
        <v>6</v>
      </c>
      <c r="B155">
        <v>20622</v>
      </c>
      <c r="C155" t="s">
        <v>177</v>
      </c>
      <c r="D155" s="17">
        <v>58</v>
      </c>
      <c r="E155" s="18">
        <v>4</v>
      </c>
      <c r="F155" s="17">
        <v>31</v>
      </c>
      <c r="G155" s="18">
        <v>5</v>
      </c>
      <c r="H155" s="17">
        <v>68</v>
      </c>
      <c r="I155" s="18">
        <v>4</v>
      </c>
      <c r="J155" s="19">
        <v>4.333333333333333</v>
      </c>
      <c r="K155" s="20">
        <v>30</v>
      </c>
      <c r="L155" s="18">
        <v>3</v>
      </c>
      <c r="M155" s="17">
        <v>23</v>
      </c>
      <c r="N155" s="18">
        <v>5</v>
      </c>
      <c r="O155" s="17">
        <v>19</v>
      </c>
      <c r="P155" s="18">
        <v>5</v>
      </c>
      <c r="Q155" s="21">
        <v>229</v>
      </c>
      <c r="R155" s="22">
        <v>132</v>
      </c>
      <c r="S155" s="23">
        <v>4.5</v>
      </c>
      <c r="W155" s="42"/>
      <c r="X155" s="42"/>
      <c r="Y155" s="42"/>
      <c r="Z155" s="42"/>
      <c r="AA155" s="42"/>
      <c r="AB155" s="42"/>
      <c r="AC155" s="42"/>
      <c r="AD155" s="42"/>
      <c r="AE155" s="42"/>
    </row>
    <row r="156" spans="1:39" ht="20.100000000000001" customHeight="1" x14ac:dyDescent="0.6">
      <c r="A156" s="16">
        <v>6</v>
      </c>
      <c r="B156">
        <v>20623</v>
      </c>
      <c r="C156" t="s">
        <v>178</v>
      </c>
      <c r="D156" s="17">
        <v>69</v>
      </c>
      <c r="E156" s="18">
        <v>3</v>
      </c>
      <c r="F156" s="17">
        <v>64</v>
      </c>
      <c r="G156" s="18">
        <v>3</v>
      </c>
      <c r="H156" s="17">
        <v>72</v>
      </c>
      <c r="I156" s="18">
        <v>3</v>
      </c>
      <c r="J156" s="19">
        <v>3</v>
      </c>
      <c r="K156" s="20">
        <v>41</v>
      </c>
      <c r="L156" s="18">
        <v>1</v>
      </c>
      <c r="M156" s="17">
        <v>45</v>
      </c>
      <c r="N156" s="18">
        <v>1</v>
      </c>
      <c r="O156" s="17">
        <v>35</v>
      </c>
      <c r="P156" s="18">
        <v>3</v>
      </c>
      <c r="Q156" s="21">
        <v>326</v>
      </c>
      <c r="R156" s="22">
        <v>35</v>
      </c>
      <c r="S156" s="23">
        <v>2.75</v>
      </c>
      <c r="W156" s="42"/>
      <c r="X156" s="42"/>
      <c r="Y156" s="42"/>
      <c r="Z156" s="42"/>
      <c r="AA156" s="42"/>
      <c r="AB156" s="42"/>
      <c r="AC156" s="42"/>
      <c r="AD156" s="42"/>
      <c r="AE156" s="42"/>
    </row>
    <row r="157" spans="1:39" ht="20.100000000000001" customHeight="1" x14ac:dyDescent="0.6">
      <c r="A157" s="16">
        <v>6</v>
      </c>
      <c r="B157">
        <v>20624</v>
      </c>
      <c r="C157" t="s">
        <v>179</v>
      </c>
      <c r="D157" s="17">
        <v>72</v>
      </c>
      <c r="E157" s="18">
        <v>3</v>
      </c>
      <c r="F157" s="17">
        <v>40</v>
      </c>
      <c r="G157" s="18">
        <v>5</v>
      </c>
      <c r="H157" s="17">
        <v>80</v>
      </c>
      <c r="I157" s="18">
        <v>2</v>
      </c>
      <c r="J157" s="19">
        <v>3.3333333333333335</v>
      </c>
      <c r="K157" s="20">
        <v>28</v>
      </c>
      <c r="L157" s="18">
        <v>4</v>
      </c>
      <c r="M157" s="17">
        <v>35</v>
      </c>
      <c r="N157" s="18">
        <v>3</v>
      </c>
      <c r="O157" s="17">
        <v>37</v>
      </c>
      <c r="P157" s="18">
        <v>2</v>
      </c>
      <c r="Q157" s="21">
        <v>292</v>
      </c>
      <c r="R157" s="22">
        <v>62</v>
      </c>
      <c r="S157" s="23">
        <v>3.125</v>
      </c>
      <c r="W157" s="42"/>
      <c r="X157" s="42"/>
      <c r="Y157" s="42"/>
      <c r="Z157" s="42"/>
      <c r="AA157" s="42"/>
      <c r="AB157" s="42"/>
      <c r="AC157" s="42"/>
      <c r="AD157" s="42"/>
      <c r="AE157" s="42"/>
    </row>
    <row r="158" spans="1:39" ht="20.100000000000001" customHeight="1" x14ac:dyDescent="0.6">
      <c r="A158" s="16">
        <v>6</v>
      </c>
      <c r="B158">
        <v>20625</v>
      </c>
      <c r="C158" t="s">
        <v>180</v>
      </c>
      <c r="D158" s="17">
        <v>92</v>
      </c>
      <c r="E158" s="18">
        <v>1</v>
      </c>
      <c r="F158" s="17">
        <v>84</v>
      </c>
      <c r="G158" s="18">
        <v>1</v>
      </c>
      <c r="H158" s="17">
        <v>80</v>
      </c>
      <c r="I158" s="18">
        <v>2</v>
      </c>
      <c r="J158" s="19">
        <v>1.3333333333333333</v>
      </c>
      <c r="K158" s="20">
        <v>50</v>
      </c>
      <c r="L158" s="18">
        <v>1</v>
      </c>
      <c r="M158" s="17">
        <v>44</v>
      </c>
      <c r="N158" s="18">
        <v>1</v>
      </c>
      <c r="O158" s="17">
        <v>40</v>
      </c>
      <c r="P158" s="18">
        <v>2</v>
      </c>
      <c r="Q158" s="21">
        <v>390</v>
      </c>
      <c r="R158" s="22">
        <v>2</v>
      </c>
      <c r="S158" s="23">
        <v>1.375</v>
      </c>
      <c r="W158" s="42"/>
      <c r="X158" s="42"/>
      <c r="Y158" s="42"/>
      <c r="Z158" s="42"/>
      <c r="AA158" s="42"/>
      <c r="AB158" s="42"/>
      <c r="AC158" s="42"/>
      <c r="AD158" s="42"/>
      <c r="AE158" s="42"/>
    </row>
    <row r="159" spans="1:39" ht="20.100000000000001" customHeight="1" x14ac:dyDescent="0.6">
      <c r="A159" s="16">
        <v>7</v>
      </c>
      <c r="B159">
        <v>20701</v>
      </c>
      <c r="C159" t="s">
        <v>181</v>
      </c>
      <c r="D159" s="17">
        <v>45</v>
      </c>
      <c r="E159" s="18">
        <v>5</v>
      </c>
      <c r="F159" s="17">
        <v>32</v>
      </c>
      <c r="G159" s="18">
        <v>5</v>
      </c>
      <c r="H159" s="17">
        <v>45</v>
      </c>
      <c r="I159" s="18">
        <v>6</v>
      </c>
      <c r="J159" s="19">
        <v>5.333333333333333</v>
      </c>
      <c r="K159" s="20">
        <v>23</v>
      </c>
      <c r="L159" s="18">
        <v>5</v>
      </c>
      <c r="M159" s="17">
        <v>11</v>
      </c>
      <c r="N159" s="18">
        <v>7</v>
      </c>
      <c r="O159" s="17">
        <v>11</v>
      </c>
      <c r="P159" s="18">
        <v>7</v>
      </c>
      <c r="Q159" s="21">
        <v>167</v>
      </c>
      <c r="R159" s="22">
        <v>205</v>
      </c>
      <c r="S159" s="23">
        <v>5.75</v>
      </c>
      <c r="W159" s="42"/>
      <c r="X159" s="42"/>
      <c r="Y159" s="42"/>
      <c r="Z159" s="42"/>
      <c r="AA159" s="42"/>
      <c r="AB159" s="42"/>
      <c r="AC159" s="42"/>
      <c r="AD159" s="42"/>
      <c r="AE159" s="42"/>
    </row>
    <row r="160" spans="1:39" ht="20.100000000000001" customHeight="1" x14ac:dyDescent="0.6">
      <c r="A160" s="16">
        <v>7</v>
      </c>
      <c r="B160">
        <v>20702</v>
      </c>
      <c r="C160" t="s">
        <v>182</v>
      </c>
      <c r="D160" s="17">
        <v>53</v>
      </c>
      <c r="E160" s="18">
        <v>5</v>
      </c>
      <c r="F160" s="17">
        <v>13</v>
      </c>
      <c r="G160" s="18">
        <v>8</v>
      </c>
      <c r="H160" s="17">
        <v>46</v>
      </c>
      <c r="I160" s="18">
        <v>6</v>
      </c>
      <c r="J160" s="19">
        <v>6.333333333333333</v>
      </c>
      <c r="K160" s="20">
        <v>36</v>
      </c>
      <c r="L160" s="18">
        <v>2</v>
      </c>
      <c r="M160" s="17">
        <v>21</v>
      </c>
      <c r="N160" s="18">
        <v>5</v>
      </c>
      <c r="O160" s="17">
        <v>17</v>
      </c>
      <c r="P160" s="18">
        <v>6</v>
      </c>
      <c r="Q160" s="21">
        <v>186</v>
      </c>
      <c r="R160" s="22">
        <v>180</v>
      </c>
      <c r="S160" s="23">
        <v>6.125</v>
      </c>
      <c r="W160" s="42"/>
      <c r="X160" s="42"/>
      <c r="Y160" s="42"/>
      <c r="Z160" s="42"/>
      <c r="AA160" s="42"/>
      <c r="AB160" s="42"/>
      <c r="AC160" s="42"/>
      <c r="AD160" s="42"/>
      <c r="AE160" s="42"/>
    </row>
    <row r="161" spans="1:31" ht="20.100000000000001" customHeight="1" x14ac:dyDescent="0.6">
      <c r="A161" s="16">
        <v>7</v>
      </c>
      <c r="B161">
        <v>20703</v>
      </c>
      <c r="C161" t="s">
        <v>183</v>
      </c>
      <c r="D161" s="17">
        <v>44</v>
      </c>
      <c r="E161" s="18">
        <v>5</v>
      </c>
      <c r="F161" s="17">
        <v>24</v>
      </c>
      <c r="G161" s="18">
        <v>6</v>
      </c>
      <c r="H161" s="17">
        <v>32</v>
      </c>
      <c r="I161" s="18">
        <v>7</v>
      </c>
      <c r="J161" s="19">
        <v>6</v>
      </c>
      <c r="K161" s="20">
        <v>20</v>
      </c>
      <c r="L161" s="18">
        <v>5</v>
      </c>
      <c r="M161" s="17">
        <v>21</v>
      </c>
      <c r="N161" s="18">
        <v>5</v>
      </c>
      <c r="O161" s="17">
        <v>18</v>
      </c>
      <c r="P161" s="18">
        <v>5</v>
      </c>
      <c r="Q161" s="21">
        <v>159</v>
      </c>
      <c r="R161" s="22">
        <v>211</v>
      </c>
      <c r="S161" s="23">
        <v>5.75</v>
      </c>
      <c r="W161" s="42"/>
      <c r="X161" s="42"/>
      <c r="Y161" s="42"/>
      <c r="Z161" s="42"/>
      <c r="AA161" s="42"/>
      <c r="AB161" s="42"/>
      <c r="AC161" s="42"/>
      <c r="AD161" s="42"/>
      <c r="AE161" s="42"/>
    </row>
    <row r="162" spans="1:31" ht="20.100000000000001" customHeight="1" x14ac:dyDescent="0.6">
      <c r="A162" s="16">
        <v>7</v>
      </c>
      <c r="B162">
        <v>20704</v>
      </c>
      <c r="C162" t="s">
        <v>184</v>
      </c>
      <c r="D162" s="17">
        <v>53</v>
      </c>
      <c r="E162" s="18">
        <v>5</v>
      </c>
      <c r="F162" s="17">
        <v>19</v>
      </c>
      <c r="G162" s="18">
        <v>7</v>
      </c>
      <c r="H162" s="17">
        <v>58</v>
      </c>
      <c r="I162" s="18">
        <v>5</v>
      </c>
      <c r="J162" s="19">
        <v>5.666666666666667</v>
      </c>
      <c r="K162" s="20">
        <v>26</v>
      </c>
      <c r="L162" s="18">
        <v>4</v>
      </c>
      <c r="M162" s="17">
        <v>26</v>
      </c>
      <c r="N162" s="18">
        <v>4</v>
      </c>
      <c r="O162" s="17">
        <v>28</v>
      </c>
      <c r="P162" s="18">
        <v>4</v>
      </c>
      <c r="Q162" s="21">
        <v>210</v>
      </c>
      <c r="R162" s="22">
        <v>152</v>
      </c>
      <c r="S162" s="23">
        <v>5.25</v>
      </c>
      <c r="W162" s="42"/>
      <c r="X162" s="42"/>
      <c r="Y162" s="42"/>
      <c r="Z162" s="42"/>
      <c r="AA162" s="42"/>
      <c r="AB162" s="42"/>
      <c r="AC162" s="42"/>
      <c r="AD162" s="42"/>
      <c r="AE162" s="42"/>
    </row>
    <row r="163" spans="1:31" ht="20.100000000000001" customHeight="1" x14ac:dyDescent="0.6">
      <c r="A163" s="16">
        <v>7</v>
      </c>
      <c r="B163">
        <v>20705</v>
      </c>
      <c r="C163" t="s">
        <v>185</v>
      </c>
      <c r="D163" s="17">
        <v>74</v>
      </c>
      <c r="E163" s="18">
        <v>3</v>
      </c>
      <c r="F163" s="17">
        <v>73</v>
      </c>
      <c r="G163" s="18">
        <v>2</v>
      </c>
      <c r="H163" s="17">
        <v>80</v>
      </c>
      <c r="I163" s="18">
        <v>2</v>
      </c>
      <c r="J163" s="19">
        <v>2.3333333333333335</v>
      </c>
      <c r="K163" s="20">
        <v>48</v>
      </c>
      <c r="L163" s="18">
        <v>1</v>
      </c>
      <c r="M163" s="17">
        <v>45</v>
      </c>
      <c r="N163" s="18">
        <v>1</v>
      </c>
      <c r="O163" s="17">
        <v>38</v>
      </c>
      <c r="P163" s="18">
        <v>2</v>
      </c>
      <c r="Q163" s="21">
        <v>358</v>
      </c>
      <c r="R163" s="22">
        <v>11</v>
      </c>
      <c r="S163" s="23">
        <v>2.125</v>
      </c>
      <c r="W163" s="42"/>
      <c r="X163" s="42"/>
      <c r="Y163" s="42"/>
      <c r="Z163" s="42"/>
      <c r="AA163" s="42"/>
      <c r="AB163" s="42"/>
      <c r="AC163" s="42"/>
      <c r="AD163" s="42"/>
      <c r="AE163" s="42"/>
    </row>
    <row r="164" spans="1:31" ht="20.100000000000001" customHeight="1" x14ac:dyDescent="0.6">
      <c r="A164" s="16">
        <v>7</v>
      </c>
      <c r="B164">
        <v>20706</v>
      </c>
      <c r="C164" t="s">
        <v>186</v>
      </c>
      <c r="D164" s="17">
        <v>67</v>
      </c>
      <c r="E164" s="18">
        <v>4</v>
      </c>
      <c r="F164" s="17">
        <v>48</v>
      </c>
      <c r="G164" s="18">
        <v>4</v>
      </c>
      <c r="H164" s="17">
        <v>63</v>
      </c>
      <c r="I164" s="18">
        <v>4</v>
      </c>
      <c r="J164" s="19">
        <v>4</v>
      </c>
      <c r="K164" s="20">
        <v>44</v>
      </c>
      <c r="L164" s="18">
        <v>1</v>
      </c>
      <c r="M164" s="17">
        <v>24</v>
      </c>
      <c r="N164" s="18">
        <v>5</v>
      </c>
      <c r="O164" s="17">
        <v>27</v>
      </c>
      <c r="P164" s="18">
        <v>4</v>
      </c>
      <c r="Q164" s="21">
        <v>273</v>
      </c>
      <c r="R164" s="22">
        <v>80</v>
      </c>
      <c r="S164" s="23">
        <v>4.125</v>
      </c>
      <c r="W164" s="42"/>
      <c r="X164" s="42"/>
      <c r="Y164" s="42"/>
      <c r="Z164" s="42"/>
      <c r="AA164" s="42"/>
      <c r="AB164" s="42"/>
      <c r="AC164" s="42"/>
      <c r="AD164" s="42"/>
      <c r="AE164" s="42"/>
    </row>
    <row r="165" spans="1:31" ht="20.100000000000001" customHeight="1" x14ac:dyDescent="0.6">
      <c r="A165" s="16">
        <v>7</v>
      </c>
      <c r="B165">
        <v>20707</v>
      </c>
      <c r="C165" t="s">
        <v>187</v>
      </c>
      <c r="D165" s="17">
        <v>43</v>
      </c>
      <c r="E165" s="18">
        <v>5</v>
      </c>
      <c r="F165" s="17">
        <v>50</v>
      </c>
      <c r="G165" s="18">
        <v>4</v>
      </c>
      <c r="H165" s="17">
        <v>59</v>
      </c>
      <c r="I165" s="18">
        <v>5</v>
      </c>
      <c r="J165" s="19">
        <v>4.666666666666667</v>
      </c>
      <c r="K165" s="20">
        <v>47</v>
      </c>
      <c r="L165" s="18">
        <v>1</v>
      </c>
      <c r="M165" s="17">
        <v>35</v>
      </c>
      <c r="N165" s="18">
        <v>3</v>
      </c>
      <c r="O165" s="17">
        <v>26</v>
      </c>
      <c r="P165" s="18">
        <v>4</v>
      </c>
      <c r="Q165" s="21">
        <v>260</v>
      </c>
      <c r="R165" s="22">
        <v>93</v>
      </c>
      <c r="S165" s="23">
        <v>4.375</v>
      </c>
      <c r="W165" s="42"/>
      <c r="X165" s="42"/>
      <c r="Y165" s="42"/>
      <c r="Z165" s="42"/>
      <c r="AA165" s="42"/>
      <c r="AB165" s="42"/>
      <c r="AC165" s="42"/>
      <c r="AD165" s="42"/>
      <c r="AE165" s="42"/>
    </row>
    <row r="166" spans="1:31" s="2" customFormat="1" ht="20.100000000000001" customHeight="1" x14ac:dyDescent="0.6">
      <c r="A166" s="16">
        <v>7</v>
      </c>
      <c r="B166">
        <v>20708</v>
      </c>
      <c r="C166" t="s">
        <v>188</v>
      </c>
      <c r="D166" s="17">
        <v>55</v>
      </c>
      <c r="E166" s="18">
        <v>5</v>
      </c>
      <c r="F166" s="17">
        <v>21</v>
      </c>
      <c r="G166" s="18">
        <v>6</v>
      </c>
      <c r="H166" s="17">
        <v>37</v>
      </c>
      <c r="I166" s="18">
        <v>7</v>
      </c>
      <c r="J166" s="19">
        <v>6</v>
      </c>
      <c r="K166" s="20">
        <v>20</v>
      </c>
      <c r="L166" s="18">
        <v>5</v>
      </c>
      <c r="M166" s="17">
        <v>9</v>
      </c>
      <c r="N166" s="18">
        <v>8</v>
      </c>
      <c r="O166" s="17">
        <v>9</v>
      </c>
      <c r="P166" s="18">
        <v>8</v>
      </c>
      <c r="Q166" s="21">
        <v>151</v>
      </c>
      <c r="R166" s="22">
        <v>220</v>
      </c>
      <c r="S166" s="23">
        <v>6.5</v>
      </c>
      <c r="T166" s="1"/>
    </row>
    <row r="167" spans="1:31" s="2" customFormat="1" ht="20.100000000000001" customHeight="1" x14ac:dyDescent="0.6">
      <c r="A167" s="16">
        <v>7</v>
      </c>
      <c r="B167">
        <v>20709</v>
      </c>
      <c r="C167" t="s">
        <v>189</v>
      </c>
      <c r="D167" s="17">
        <v>44</v>
      </c>
      <c r="E167" s="18">
        <v>5</v>
      </c>
      <c r="F167" s="17">
        <v>51</v>
      </c>
      <c r="G167" s="18">
        <v>4</v>
      </c>
      <c r="H167" s="17">
        <v>45</v>
      </c>
      <c r="I167" s="18">
        <v>6</v>
      </c>
      <c r="J167" s="19">
        <v>5</v>
      </c>
      <c r="K167" s="20">
        <v>19</v>
      </c>
      <c r="L167" s="18">
        <v>6</v>
      </c>
      <c r="M167" s="17">
        <v>29</v>
      </c>
      <c r="N167" s="18">
        <v>4</v>
      </c>
      <c r="O167" s="17">
        <v>23</v>
      </c>
      <c r="P167" s="18">
        <v>5</v>
      </c>
      <c r="Q167" s="21">
        <v>211</v>
      </c>
      <c r="R167" s="22">
        <v>151</v>
      </c>
      <c r="S167" s="23">
        <v>4.875</v>
      </c>
      <c r="T167" s="1"/>
    </row>
    <row r="168" spans="1:31" s="2" customFormat="1" ht="20.100000000000001" customHeight="1" x14ac:dyDescent="0.6">
      <c r="A168" s="16">
        <v>7</v>
      </c>
      <c r="B168">
        <v>20710</v>
      </c>
      <c r="C168" t="s">
        <v>190</v>
      </c>
      <c r="D168" s="17">
        <v>96</v>
      </c>
      <c r="E168" s="18">
        <v>1</v>
      </c>
      <c r="F168" s="17">
        <v>77</v>
      </c>
      <c r="G168" s="18">
        <v>2</v>
      </c>
      <c r="H168" s="17">
        <v>83</v>
      </c>
      <c r="I168" s="18">
        <v>2</v>
      </c>
      <c r="J168" s="19">
        <v>1.6666666666666667</v>
      </c>
      <c r="K168" s="20">
        <v>45</v>
      </c>
      <c r="L168" s="18">
        <v>1</v>
      </c>
      <c r="M168" s="17">
        <v>42</v>
      </c>
      <c r="N168" s="18">
        <v>2</v>
      </c>
      <c r="O168" s="17">
        <v>42</v>
      </c>
      <c r="P168" s="18">
        <v>2</v>
      </c>
      <c r="Q168" s="21">
        <v>385</v>
      </c>
      <c r="R168" s="22">
        <v>5</v>
      </c>
      <c r="S168" s="23">
        <v>1.75</v>
      </c>
      <c r="T168" s="1"/>
    </row>
    <row r="169" spans="1:31" s="2" customFormat="1" ht="20.100000000000001" customHeight="1" x14ac:dyDescent="0.6">
      <c r="A169" s="16">
        <v>7</v>
      </c>
      <c r="B169">
        <v>20711</v>
      </c>
      <c r="C169" t="s">
        <v>191</v>
      </c>
      <c r="D169" s="17">
        <v>54</v>
      </c>
      <c r="E169" s="18">
        <v>5</v>
      </c>
      <c r="F169" s="17">
        <v>54</v>
      </c>
      <c r="G169" s="18">
        <v>4</v>
      </c>
      <c r="H169" s="17">
        <v>59</v>
      </c>
      <c r="I169" s="18">
        <v>5</v>
      </c>
      <c r="J169" s="19">
        <v>4.666666666666667</v>
      </c>
      <c r="K169" s="20">
        <v>39</v>
      </c>
      <c r="L169" s="18">
        <v>2</v>
      </c>
      <c r="M169" s="17">
        <v>24</v>
      </c>
      <c r="N169" s="18">
        <v>5</v>
      </c>
      <c r="O169" s="17">
        <v>21</v>
      </c>
      <c r="P169" s="18">
        <v>5</v>
      </c>
      <c r="Q169" s="21">
        <v>251</v>
      </c>
      <c r="R169" s="22">
        <v>102</v>
      </c>
      <c r="S169" s="23">
        <v>4.75</v>
      </c>
      <c r="T169" s="1"/>
    </row>
    <row r="170" spans="1:31" s="2" customFormat="1" ht="20.100000000000001" customHeight="1" x14ac:dyDescent="0.6">
      <c r="A170" s="16">
        <v>7</v>
      </c>
      <c r="B170">
        <v>20712</v>
      </c>
      <c r="C170" t="s">
        <v>192</v>
      </c>
      <c r="D170" s="17">
        <v>31</v>
      </c>
      <c r="E170" s="18">
        <v>7</v>
      </c>
      <c r="F170" s="17">
        <v>38</v>
      </c>
      <c r="G170" s="18">
        <v>5</v>
      </c>
      <c r="H170" s="17">
        <v>63</v>
      </c>
      <c r="I170" s="18">
        <v>4</v>
      </c>
      <c r="J170" s="19">
        <v>5.333333333333333</v>
      </c>
      <c r="K170" s="20">
        <v>20</v>
      </c>
      <c r="L170" s="18">
        <v>5</v>
      </c>
      <c r="M170" s="17">
        <v>32</v>
      </c>
      <c r="N170" s="18">
        <v>3</v>
      </c>
      <c r="O170" s="17">
        <v>30</v>
      </c>
      <c r="P170" s="18">
        <v>3</v>
      </c>
      <c r="Q170" s="21">
        <v>214</v>
      </c>
      <c r="R170" s="22">
        <v>145</v>
      </c>
      <c r="S170" s="23">
        <v>4.75</v>
      </c>
      <c r="T170" s="1"/>
    </row>
    <row r="171" spans="1:31" s="2" customFormat="1" ht="20.100000000000001" customHeight="1" x14ac:dyDescent="0.6">
      <c r="A171" s="16">
        <v>7</v>
      </c>
      <c r="B171">
        <v>20713</v>
      </c>
      <c r="C171" t="s">
        <v>193</v>
      </c>
      <c r="D171" s="17">
        <v>28</v>
      </c>
      <c r="E171" s="18">
        <v>7</v>
      </c>
      <c r="F171" s="17">
        <v>27</v>
      </c>
      <c r="G171" s="18">
        <v>6</v>
      </c>
      <c r="H171" s="17">
        <v>61</v>
      </c>
      <c r="I171" s="18">
        <v>4</v>
      </c>
      <c r="J171" s="19">
        <v>5.666666666666667</v>
      </c>
      <c r="K171" s="20">
        <v>22</v>
      </c>
      <c r="L171" s="18">
        <v>5</v>
      </c>
      <c r="M171" s="17">
        <v>23</v>
      </c>
      <c r="N171" s="18">
        <v>5</v>
      </c>
      <c r="O171" s="17">
        <v>14</v>
      </c>
      <c r="P171" s="18">
        <v>6</v>
      </c>
      <c r="Q171" s="21">
        <v>175</v>
      </c>
      <c r="R171" s="22">
        <v>195</v>
      </c>
      <c r="S171" s="23">
        <v>5.625</v>
      </c>
      <c r="T171" s="1"/>
    </row>
    <row r="172" spans="1:31" s="2" customFormat="1" ht="20.100000000000001" customHeight="1" x14ac:dyDescent="0.6">
      <c r="A172" s="16">
        <v>7</v>
      </c>
      <c r="B172">
        <v>20714</v>
      </c>
      <c r="C172" t="s">
        <v>194</v>
      </c>
      <c r="D172" s="17">
        <v>20</v>
      </c>
      <c r="E172" s="18">
        <v>8</v>
      </c>
      <c r="F172" s="17">
        <v>16</v>
      </c>
      <c r="G172" s="18">
        <v>7</v>
      </c>
      <c r="H172" s="17">
        <v>39</v>
      </c>
      <c r="I172" s="18">
        <v>7</v>
      </c>
      <c r="J172" s="19">
        <v>7.333333333333333</v>
      </c>
      <c r="K172" s="20">
        <v>12</v>
      </c>
      <c r="L172" s="18">
        <v>7</v>
      </c>
      <c r="M172" s="17">
        <v>12</v>
      </c>
      <c r="N172" s="18">
        <v>7</v>
      </c>
      <c r="O172" s="17">
        <v>7</v>
      </c>
      <c r="P172" s="18">
        <v>8</v>
      </c>
      <c r="Q172" s="21">
        <v>106</v>
      </c>
      <c r="R172" s="22">
        <v>246</v>
      </c>
      <c r="S172" s="23">
        <v>7.375</v>
      </c>
      <c r="T172" s="1"/>
    </row>
    <row r="173" spans="1:31" s="2" customFormat="1" ht="20.100000000000001" customHeight="1" x14ac:dyDescent="0.6">
      <c r="A173" s="16">
        <v>7</v>
      </c>
      <c r="B173">
        <v>20715</v>
      </c>
      <c r="C173" t="s">
        <v>195</v>
      </c>
      <c r="D173" s="17">
        <v>73</v>
      </c>
      <c r="E173" s="18">
        <v>3</v>
      </c>
      <c r="F173" s="17">
        <v>65</v>
      </c>
      <c r="G173" s="18">
        <v>3</v>
      </c>
      <c r="H173" s="17">
        <v>90</v>
      </c>
      <c r="I173" s="18">
        <v>1</v>
      </c>
      <c r="J173" s="19">
        <v>2.3333333333333335</v>
      </c>
      <c r="K173" s="20">
        <v>41</v>
      </c>
      <c r="L173" s="18">
        <v>1</v>
      </c>
      <c r="M173" s="17">
        <v>20</v>
      </c>
      <c r="N173" s="18">
        <v>5</v>
      </c>
      <c r="O173" s="17">
        <v>35</v>
      </c>
      <c r="P173" s="18">
        <v>3</v>
      </c>
      <c r="Q173" s="21">
        <v>324</v>
      </c>
      <c r="R173" s="22">
        <v>37</v>
      </c>
      <c r="S173" s="23">
        <v>2.75</v>
      </c>
      <c r="T173" s="1"/>
    </row>
    <row r="174" spans="1:31" s="2" customFormat="1" ht="20.100000000000001" customHeight="1" x14ac:dyDescent="0.6">
      <c r="A174" s="16">
        <v>7</v>
      </c>
      <c r="B174">
        <v>20716</v>
      </c>
      <c r="C174" t="s">
        <v>196</v>
      </c>
      <c r="D174" s="17">
        <v>79</v>
      </c>
      <c r="E174" s="18">
        <v>2</v>
      </c>
      <c r="F174" s="17">
        <v>50</v>
      </c>
      <c r="G174" s="18">
        <v>4</v>
      </c>
      <c r="H174" s="17">
        <v>74</v>
      </c>
      <c r="I174" s="18">
        <v>3</v>
      </c>
      <c r="J174" s="19">
        <v>3</v>
      </c>
      <c r="K174" s="20">
        <v>29</v>
      </c>
      <c r="L174" s="18">
        <v>4</v>
      </c>
      <c r="M174" s="17">
        <v>40</v>
      </c>
      <c r="N174" s="18">
        <v>2</v>
      </c>
      <c r="O174" s="17">
        <v>38</v>
      </c>
      <c r="P174" s="18">
        <v>2</v>
      </c>
      <c r="Q174" s="21">
        <v>310</v>
      </c>
      <c r="R174" s="22">
        <v>46</v>
      </c>
      <c r="S174" s="23">
        <v>2.75</v>
      </c>
      <c r="T174" s="1"/>
    </row>
    <row r="175" spans="1:31" s="2" customFormat="1" ht="20.100000000000001" customHeight="1" x14ac:dyDescent="0.6">
      <c r="A175" s="16">
        <v>7</v>
      </c>
      <c r="B175">
        <v>20717</v>
      </c>
      <c r="C175" t="s">
        <v>197</v>
      </c>
      <c r="D175" s="17">
        <v>46</v>
      </c>
      <c r="E175" s="18">
        <v>5</v>
      </c>
      <c r="F175" s="17">
        <v>48</v>
      </c>
      <c r="G175" s="18">
        <v>4</v>
      </c>
      <c r="H175" s="17">
        <v>71</v>
      </c>
      <c r="I175" s="18">
        <v>3</v>
      </c>
      <c r="J175" s="19">
        <v>4</v>
      </c>
      <c r="K175" s="20">
        <v>32</v>
      </c>
      <c r="L175" s="18">
        <v>3</v>
      </c>
      <c r="M175" s="17">
        <v>24</v>
      </c>
      <c r="N175" s="18">
        <v>5</v>
      </c>
      <c r="O175" s="17">
        <v>20</v>
      </c>
      <c r="P175" s="18">
        <v>5</v>
      </c>
      <c r="Q175" s="21">
        <v>241</v>
      </c>
      <c r="R175" s="22">
        <v>112</v>
      </c>
      <c r="S175" s="23">
        <v>4.25</v>
      </c>
      <c r="T175" s="1"/>
    </row>
    <row r="176" spans="1:31" ht="20.100000000000001" customHeight="1" x14ac:dyDescent="0.6">
      <c r="A176" s="16">
        <v>7</v>
      </c>
      <c r="B176">
        <v>20718</v>
      </c>
      <c r="C176" t="s">
        <v>198</v>
      </c>
      <c r="D176" s="17">
        <v>49</v>
      </c>
      <c r="E176" s="18">
        <v>5</v>
      </c>
      <c r="F176" s="17">
        <v>40</v>
      </c>
      <c r="G176" s="18">
        <v>5</v>
      </c>
      <c r="H176" s="17">
        <v>66</v>
      </c>
      <c r="I176" s="18">
        <v>4</v>
      </c>
      <c r="J176" s="19">
        <v>4.666666666666667</v>
      </c>
      <c r="K176" s="20">
        <v>39</v>
      </c>
      <c r="L176" s="18">
        <v>2</v>
      </c>
      <c r="M176" s="17">
        <v>24</v>
      </c>
      <c r="N176" s="18">
        <v>5</v>
      </c>
      <c r="O176" s="17">
        <v>23</v>
      </c>
      <c r="P176" s="18">
        <v>5</v>
      </c>
      <c r="Q176" s="21">
        <v>241</v>
      </c>
      <c r="R176" s="22">
        <v>112</v>
      </c>
      <c r="S176" s="23">
        <v>4.75</v>
      </c>
    </row>
    <row r="177" spans="1:19" ht="20.100000000000001" customHeight="1" x14ac:dyDescent="0.6">
      <c r="A177" s="16">
        <v>7</v>
      </c>
      <c r="B177">
        <v>20719</v>
      </c>
      <c r="C177" t="s">
        <v>199</v>
      </c>
      <c r="D177" s="17">
        <v>57</v>
      </c>
      <c r="E177" s="18">
        <v>4</v>
      </c>
      <c r="F177" s="17">
        <v>62</v>
      </c>
      <c r="G177" s="18">
        <v>3</v>
      </c>
      <c r="H177" s="17">
        <v>72</v>
      </c>
      <c r="I177" s="18">
        <v>3</v>
      </c>
      <c r="J177" s="19">
        <v>3.3333333333333335</v>
      </c>
      <c r="K177" s="20">
        <v>27</v>
      </c>
      <c r="L177" s="18">
        <v>4</v>
      </c>
      <c r="M177" s="17">
        <v>26</v>
      </c>
      <c r="N177" s="18">
        <v>4</v>
      </c>
      <c r="O177" s="17">
        <v>25</v>
      </c>
      <c r="P177" s="18">
        <v>4</v>
      </c>
      <c r="Q177" s="21">
        <v>269</v>
      </c>
      <c r="R177" s="22">
        <v>84</v>
      </c>
      <c r="S177" s="23">
        <v>3.5</v>
      </c>
    </row>
    <row r="178" spans="1:19" ht="20.100000000000001" customHeight="1" x14ac:dyDescent="0.6">
      <c r="A178" s="16">
        <v>7</v>
      </c>
      <c r="B178">
        <v>20720</v>
      </c>
      <c r="C178" t="s">
        <v>200</v>
      </c>
      <c r="D178" s="17">
        <v>46</v>
      </c>
      <c r="E178" s="18">
        <v>5</v>
      </c>
      <c r="F178" s="17">
        <v>39</v>
      </c>
      <c r="G178" s="18">
        <v>5</v>
      </c>
      <c r="H178" s="17">
        <v>30</v>
      </c>
      <c r="I178" s="18">
        <v>7</v>
      </c>
      <c r="J178" s="19">
        <v>5.666666666666667</v>
      </c>
      <c r="K178" s="20">
        <v>12</v>
      </c>
      <c r="L178" s="18">
        <v>7</v>
      </c>
      <c r="M178" s="17">
        <v>6</v>
      </c>
      <c r="N178" s="18">
        <v>9</v>
      </c>
      <c r="O178" s="17">
        <v>8</v>
      </c>
      <c r="P178" s="18">
        <v>8</v>
      </c>
      <c r="Q178" s="21">
        <v>141</v>
      </c>
      <c r="R178" s="22">
        <v>226</v>
      </c>
      <c r="S178" s="23">
        <v>6.375</v>
      </c>
    </row>
    <row r="179" spans="1:19" ht="20.100000000000001" customHeight="1" x14ac:dyDescent="0.6">
      <c r="A179" s="16">
        <v>7</v>
      </c>
      <c r="B179">
        <v>20721</v>
      </c>
      <c r="C179" t="s">
        <v>201</v>
      </c>
      <c r="D179" s="17">
        <v>22</v>
      </c>
      <c r="E179" s="18">
        <v>8</v>
      </c>
      <c r="F179" s="17">
        <v>11</v>
      </c>
      <c r="G179" s="18">
        <v>8</v>
      </c>
      <c r="H179" s="17">
        <v>28</v>
      </c>
      <c r="I179" s="18">
        <v>8</v>
      </c>
      <c r="J179" s="19">
        <v>8</v>
      </c>
      <c r="K179" s="20">
        <v>20</v>
      </c>
      <c r="L179" s="18">
        <v>5</v>
      </c>
      <c r="M179" s="17">
        <v>10</v>
      </c>
      <c r="N179" s="18">
        <v>7</v>
      </c>
      <c r="O179" s="17">
        <v>8</v>
      </c>
      <c r="P179" s="18">
        <v>8</v>
      </c>
      <c r="Q179" s="21">
        <v>99</v>
      </c>
      <c r="R179" s="22">
        <v>249</v>
      </c>
      <c r="S179" s="23">
        <v>7.875</v>
      </c>
    </row>
    <row r="180" spans="1:19" ht="20.100000000000001" customHeight="1" x14ac:dyDescent="0.6">
      <c r="A180" s="16">
        <v>7</v>
      </c>
      <c r="B180">
        <v>20722</v>
      </c>
      <c r="C180" t="s">
        <v>202</v>
      </c>
      <c r="D180" s="17">
        <v>74</v>
      </c>
      <c r="E180" s="18">
        <v>3</v>
      </c>
      <c r="F180" s="17">
        <v>54</v>
      </c>
      <c r="G180" s="18">
        <v>4</v>
      </c>
      <c r="H180" s="17">
        <v>83</v>
      </c>
      <c r="I180" s="18">
        <v>2</v>
      </c>
      <c r="J180" s="19">
        <v>3</v>
      </c>
      <c r="K180" s="20">
        <v>32</v>
      </c>
      <c r="L180" s="18">
        <v>3</v>
      </c>
      <c r="M180" s="17">
        <v>33</v>
      </c>
      <c r="N180" s="18">
        <v>3</v>
      </c>
      <c r="O180" s="17">
        <v>29</v>
      </c>
      <c r="P180" s="18">
        <v>4</v>
      </c>
      <c r="Q180" s="21">
        <v>305</v>
      </c>
      <c r="R180" s="22">
        <v>53</v>
      </c>
      <c r="S180" s="23">
        <v>3.125</v>
      </c>
    </row>
    <row r="181" spans="1:19" ht="20.100000000000001" customHeight="1" x14ac:dyDescent="0.6">
      <c r="A181" s="16">
        <v>7</v>
      </c>
      <c r="B181">
        <v>20723</v>
      </c>
      <c r="C181" t="s">
        <v>203</v>
      </c>
      <c r="D181" s="17">
        <v>47</v>
      </c>
      <c r="E181" s="18">
        <v>5</v>
      </c>
      <c r="F181" s="17">
        <v>39</v>
      </c>
      <c r="G181" s="18">
        <v>5</v>
      </c>
      <c r="H181" s="17">
        <v>61</v>
      </c>
      <c r="I181" s="18">
        <v>4</v>
      </c>
      <c r="J181" s="19">
        <v>4.666666666666667</v>
      </c>
      <c r="K181" s="20">
        <v>29</v>
      </c>
      <c r="L181" s="18">
        <v>4</v>
      </c>
      <c r="M181" s="17">
        <v>33</v>
      </c>
      <c r="N181" s="18">
        <v>3</v>
      </c>
      <c r="O181" s="17">
        <v>24</v>
      </c>
      <c r="P181" s="18">
        <v>4</v>
      </c>
      <c r="Q181" s="21">
        <v>233</v>
      </c>
      <c r="R181" s="22">
        <v>127</v>
      </c>
      <c r="S181" s="23">
        <v>4.375</v>
      </c>
    </row>
    <row r="182" spans="1:19" ht="20.100000000000001" customHeight="1" x14ac:dyDescent="0.6">
      <c r="A182" s="16">
        <v>7</v>
      </c>
      <c r="B182">
        <v>20724</v>
      </c>
      <c r="C182" t="s">
        <v>204</v>
      </c>
      <c r="D182" s="17">
        <v>69</v>
      </c>
      <c r="E182" s="18">
        <v>3</v>
      </c>
      <c r="F182" s="17">
        <v>37</v>
      </c>
      <c r="G182" s="18">
        <v>5</v>
      </c>
      <c r="H182" s="17">
        <v>70</v>
      </c>
      <c r="I182" s="18">
        <v>3</v>
      </c>
      <c r="J182" s="19">
        <v>3.6666666666666665</v>
      </c>
      <c r="K182" s="20">
        <v>42</v>
      </c>
      <c r="L182" s="18">
        <v>1</v>
      </c>
      <c r="M182" s="17">
        <v>34</v>
      </c>
      <c r="N182" s="18">
        <v>3</v>
      </c>
      <c r="O182" s="17">
        <v>25</v>
      </c>
      <c r="P182" s="18">
        <v>4</v>
      </c>
      <c r="Q182" s="21">
        <v>277</v>
      </c>
      <c r="R182" s="22">
        <v>75</v>
      </c>
      <c r="S182" s="23">
        <v>3.625</v>
      </c>
    </row>
    <row r="183" spans="1:19" ht="20.100000000000001" customHeight="1" x14ac:dyDescent="0.6">
      <c r="A183" s="16">
        <v>7</v>
      </c>
      <c r="B183">
        <v>20725</v>
      </c>
      <c r="C183" t="s">
        <v>205</v>
      </c>
      <c r="D183" s="17">
        <v>43</v>
      </c>
      <c r="E183" s="18">
        <v>5</v>
      </c>
      <c r="F183" s="17">
        <v>30</v>
      </c>
      <c r="G183" s="18">
        <v>6</v>
      </c>
      <c r="H183" s="17">
        <v>67</v>
      </c>
      <c r="I183" s="18">
        <v>4</v>
      </c>
      <c r="J183" s="19">
        <v>5</v>
      </c>
      <c r="K183" s="20">
        <v>26</v>
      </c>
      <c r="L183" s="18">
        <v>4</v>
      </c>
      <c r="M183" s="17">
        <v>28</v>
      </c>
      <c r="N183" s="18">
        <v>4</v>
      </c>
      <c r="O183" s="17">
        <v>24</v>
      </c>
      <c r="P183" s="18">
        <v>4</v>
      </c>
      <c r="Q183" s="21">
        <v>218</v>
      </c>
      <c r="R183" s="22">
        <v>142</v>
      </c>
      <c r="S183" s="23">
        <v>4.75</v>
      </c>
    </row>
    <row r="184" spans="1:19" ht="20.100000000000001" customHeight="1" x14ac:dyDescent="0.6">
      <c r="A184" s="16">
        <v>8</v>
      </c>
      <c r="B184">
        <v>20801</v>
      </c>
      <c r="C184" t="s">
        <v>206</v>
      </c>
      <c r="D184" s="17">
        <v>79</v>
      </c>
      <c r="E184" s="18">
        <v>2</v>
      </c>
      <c r="F184" s="17">
        <v>57</v>
      </c>
      <c r="G184" s="18">
        <v>4</v>
      </c>
      <c r="H184" s="17">
        <v>98</v>
      </c>
      <c r="I184" s="18">
        <v>1</v>
      </c>
      <c r="J184" s="19">
        <v>2.3333333333333335</v>
      </c>
      <c r="K184" s="20">
        <v>30</v>
      </c>
      <c r="L184" s="18">
        <v>3</v>
      </c>
      <c r="M184" s="17">
        <v>32</v>
      </c>
      <c r="N184" s="18">
        <v>3</v>
      </c>
      <c r="O184" s="17">
        <v>26</v>
      </c>
      <c r="P184" s="18">
        <v>4</v>
      </c>
      <c r="Q184" s="21">
        <v>322</v>
      </c>
      <c r="R184" s="22">
        <v>38</v>
      </c>
      <c r="S184" s="23">
        <v>2.625</v>
      </c>
    </row>
    <row r="185" spans="1:19" ht="20.100000000000001" customHeight="1" x14ac:dyDescent="0.6">
      <c r="A185" s="16">
        <v>8</v>
      </c>
      <c r="B185">
        <v>20802</v>
      </c>
      <c r="C185" t="s">
        <v>207</v>
      </c>
      <c r="D185" s="17">
        <v>86</v>
      </c>
      <c r="E185" s="18">
        <v>2</v>
      </c>
      <c r="F185" s="17">
        <v>65</v>
      </c>
      <c r="G185" s="18">
        <v>3</v>
      </c>
      <c r="H185" s="17">
        <v>95</v>
      </c>
      <c r="I185" s="18">
        <v>1</v>
      </c>
      <c r="J185" s="19">
        <v>2</v>
      </c>
      <c r="K185" s="20">
        <v>48</v>
      </c>
      <c r="L185" s="18">
        <v>1</v>
      </c>
      <c r="M185" s="17">
        <v>42</v>
      </c>
      <c r="N185" s="18">
        <v>2</v>
      </c>
      <c r="O185" s="17">
        <v>38</v>
      </c>
      <c r="P185" s="18">
        <v>2</v>
      </c>
      <c r="Q185" s="21">
        <v>374</v>
      </c>
      <c r="R185" s="22">
        <v>9</v>
      </c>
      <c r="S185" s="23">
        <v>2</v>
      </c>
    </row>
    <row r="186" spans="1:19" ht="20.100000000000001" customHeight="1" x14ac:dyDescent="0.6">
      <c r="A186" s="16">
        <v>8</v>
      </c>
      <c r="B186">
        <v>20803</v>
      </c>
      <c r="C186" t="s">
        <v>208</v>
      </c>
      <c r="D186" s="17">
        <v>34</v>
      </c>
      <c r="E186" s="18">
        <v>6</v>
      </c>
      <c r="F186" s="17">
        <v>26</v>
      </c>
      <c r="G186" s="18">
        <v>6</v>
      </c>
      <c r="H186" s="17">
        <v>37</v>
      </c>
      <c r="I186" s="18">
        <v>7</v>
      </c>
      <c r="J186" s="19">
        <v>6.333333333333333</v>
      </c>
      <c r="K186" s="20">
        <v>42</v>
      </c>
      <c r="L186" s="18">
        <v>1</v>
      </c>
      <c r="M186" s="17">
        <v>21</v>
      </c>
      <c r="N186" s="18">
        <v>5</v>
      </c>
      <c r="O186" s="17">
        <v>22</v>
      </c>
      <c r="P186" s="18">
        <v>5</v>
      </c>
      <c r="Q186" s="21">
        <v>182</v>
      </c>
      <c r="R186" s="22">
        <v>189</v>
      </c>
      <c r="S186" s="23">
        <v>6</v>
      </c>
    </row>
    <row r="187" spans="1:19" ht="20.100000000000001" customHeight="1" x14ac:dyDescent="0.6">
      <c r="A187" s="16">
        <v>8</v>
      </c>
      <c r="B187">
        <v>20804</v>
      </c>
      <c r="C187" t="s">
        <v>209</v>
      </c>
      <c r="D187" s="17">
        <v>56</v>
      </c>
      <c r="E187" s="18">
        <v>4</v>
      </c>
      <c r="F187" s="17">
        <v>50</v>
      </c>
      <c r="G187" s="18">
        <v>4</v>
      </c>
      <c r="H187" s="17">
        <v>67</v>
      </c>
      <c r="I187" s="18">
        <v>4</v>
      </c>
      <c r="J187" s="19">
        <v>4</v>
      </c>
      <c r="K187" s="20">
        <v>18</v>
      </c>
      <c r="L187" s="18">
        <v>6</v>
      </c>
      <c r="M187" s="17">
        <v>31</v>
      </c>
      <c r="N187" s="18">
        <v>4</v>
      </c>
      <c r="O187" s="17">
        <v>18</v>
      </c>
      <c r="P187" s="18">
        <v>5</v>
      </c>
      <c r="Q187" s="21">
        <v>240</v>
      </c>
      <c r="R187" s="22">
        <v>114</v>
      </c>
      <c r="S187" s="23">
        <v>4.125</v>
      </c>
    </row>
    <row r="188" spans="1:19" ht="20.100000000000001" customHeight="1" x14ac:dyDescent="0.6">
      <c r="A188" s="16">
        <v>8</v>
      </c>
      <c r="B188">
        <v>20805</v>
      </c>
      <c r="C188" t="s">
        <v>210</v>
      </c>
      <c r="D188" s="17">
        <v>42</v>
      </c>
      <c r="E188" s="18">
        <v>6</v>
      </c>
      <c r="F188" s="17">
        <v>37</v>
      </c>
      <c r="G188" s="18">
        <v>5</v>
      </c>
      <c r="H188" s="17">
        <v>57</v>
      </c>
      <c r="I188" s="18">
        <v>5</v>
      </c>
      <c r="J188" s="19">
        <v>5.333333333333333</v>
      </c>
      <c r="K188" s="20">
        <v>31</v>
      </c>
      <c r="L188" s="18">
        <v>3</v>
      </c>
      <c r="M188" s="17">
        <v>23</v>
      </c>
      <c r="N188" s="18">
        <v>5</v>
      </c>
      <c r="O188" s="17">
        <v>19</v>
      </c>
      <c r="P188" s="18">
        <v>5</v>
      </c>
      <c r="Q188" s="21">
        <v>209</v>
      </c>
      <c r="R188" s="22">
        <v>153</v>
      </c>
      <c r="S188" s="23">
        <v>5.25</v>
      </c>
    </row>
    <row r="189" spans="1:19" ht="20.100000000000001" customHeight="1" x14ac:dyDescent="0.6">
      <c r="A189" s="16">
        <v>8</v>
      </c>
      <c r="B189">
        <v>20806</v>
      </c>
      <c r="C189" t="s">
        <v>211</v>
      </c>
      <c r="D189" s="17">
        <v>50</v>
      </c>
      <c r="E189" s="18">
        <v>5</v>
      </c>
      <c r="F189" s="17">
        <v>25</v>
      </c>
      <c r="G189" s="18">
        <v>6</v>
      </c>
      <c r="H189" s="17">
        <v>68</v>
      </c>
      <c r="I189" s="18">
        <v>4</v>
      </c>
      <c r="J189" s="19">
        <v>5</v>
      </c>
      <c r="K189" s="20">
        <v>4</v>
      </c>
      <c r="L189" s="18">
        <v>9</v>
      </c>
      <c r="M189" s="17">
        <v>25</v>
      </c>
      <c r="N189" s="18">
        <v>4</v>
      </c>
      <c r="O189" s="17">
        <v>15</v>
      </c>
      <c r="P189" s="18">
        <v>6</v>
      </c>
      <c r="Q189" s="21">
        <v>187</v>
      </c>
      <c r="R189" s="22">
        <v>176</v>
      </c>
      <c r="S189" s="23">
        <v>5</v>
      </c>
    </row>
    <row r="190" spans="1:19" ht="20.100000000000001" customHeight="1" x14ac:dyDescent="0.6">
      <c r="A190" s="16">
        <v>8</v>
      </c>
      <c r="B190">
        <v>20807</v>
      </c>
      <c r="C190" t="s">
        <v>212</v>
      </c>
      <c r="D190" s="17">
        <v>53</v>
      </c>
      <c r="E190" s="18">
        <v>5</v>
      </c>
      <c r="F190" s="17">
        <v>35</v>
      </c>
      <c r="G190" s="18">
        <v>5</v>
      </c>
      <c r="H190" s="17">
        <v>45</v>
      </c>
      <c r="I190" s="18">
        <v>6</v>
      </c>
      <c r="J190" s="19">
        <v>5.333333333333333</v>
      </c>
      <c r="K190" s="20">
        <v>17</v>
      </c>
      <c r="L190" s="18">
        <v>6</v>
      </c>
      <c r="M190" s="17">
        <v>19</v>
      </c>
      <c r="N190" s="18">
        <v>6</v>
      </c>
      <c r="O190" s="17">
        <v>18</v>
      </c>
      <c r="P190" s="18">
        <v>5</v>
      </c>
      <c r="Q190" s="21">
        <v>187</v>
      </c>
      <c r="R190" s="22">
        <v>176</v>
      </c>
      <c r="S190" s="23">
        <v>5.375</v>
      </c>
    </row>
    <row r="191" spans="1:19" ht="20.100000000000001" customHeight="1" x14ac:dyDescent="0.6">
      <c r="A191" s="16">
        <v>8</v>
      </c>
      <c r="B191">
        <v>20808</v>
      </c>
      <c r="C191" t="s">
        <v>213</v>
      </c>
      <c r="D191" s="17">
        <v>67</v>
      </c>
      <c r="E191" s="18">
        <v>4</v>
      </c>
      <c r="F191" s="17">
        <v>55</v>
      </c>
      <c r="G191" s="18">
        <v>4</v>
      </c>
      <c r="H191" s="17">
        <v>71</v>
      </c>
      <c r="I191" s="18">
        <v>3</v>
      </c>
      <c r="J191" s="19">
        <v>3.6666666666666665</v>
      </c>
      <c r="K191" s="20">
        <v>34</v>
      </c>
      <c r="L191" s="18">
        <v>3</v>
      </c>
      <c r="M191" s="17">
        <v>32</v>
      </c>
      <c r="N191" s="18">
        <v>3</v>
      </c>
      <c r="O191" s="17">
        <v>35</v>
      </c>
      <c r="P191" s="18">
        <v>3</v>
      </c>
      <c r="Q191" s="21">
        <v>294</v>
      </c>
      <c r="R191" s="22">
        <v>59</v>
      </c>
      <c r="S191" s="23">
        <v>3.5</v>
      </c>
    </row>
    <row r="192" spans="1:19" ht="20.100000000000001" customHeight="1" x14ac:dyDescent="0.6">
      <c r="A192" s="16">
        <v>8</v>
      </c>
      <c r="B192">
        <v>20809</v>
      </c>
      <c r="C192" t="s">
        <v>214</v>
      </c>
      <c r="D192" s="17">
        <v>27</v>
      </c>
      <c r="E192" s="18">
        <v>7</v>
      </c>
      <c r="F192" s="17">
        <v>7</v>
      </c>
      <c r="G192" s="18">
        <v>9</v>
      </c>
      <c r="H192" s="17">
        <v>56</v>
      </c>
      <c r="I192" s="18">
        <v>5</v>
      </c>
      <c r="J192" s="19">
        <v>7</v>
      </c>
      <c r="K192" s="20">
        <v>25</v>
      </c>
      <c r="L192" s="18">
        <v>4</v>
      </c>
      <c r="M192" s="17">
        <v>12</v>
      </c>
      <c r="N192" s="18">
        <v>7</v>
      </c>
      <c r="O192" s="17">
        <v>8</v>
      </c>
      <c r="P192" s="18">
        <v>8</v>
      </c>
      <c r="Q192" s="21">
        <v>135</v>
      </c>
      <c r="R192" s="22">
        <v>228</v>
      </c>
      <c r="S192" s="23">
        <v>7.125</v>
      </c>
    </row>
    <row r="193" spans="1:19" ht="20.100000000000001" customHeight="1" x14ac:dyDescent="0.6">
      <c r="A193" s="16">
        <v>8</v>
      </c>
      <c r="B193">
        <v>20810</v>
      </c>
      <c r="C193" t="s">
        <v>215</v>
      </c>
      <c r="D193" s="17">
        <v>43</v>
      </c>
      <c r="E193" s="18">
        <v>5</v>
      </c>
      <c r="F193" s="17">
        <v>47</v>
      </c>
      <c r="G193" s="18">
        <v>5</v>
      </c>
      <c r="H193" s="17">
        <v>60</v>
      </c>
      <c r="I193" s="18">
        <v>4</v>
      </c>
      <c r="J193" s="19">
        <v>4.666666666666667</v>
      </c>
      <c r="K193" s="20">
        <v>32</v>
      </c>
      <c r="L193" s="18">
        <v>3</v>
      </c>
      <c r="M193" s="17">
        <v>17</v>
      </c>
      <c r="N193" s="18">
        <v>6</v>
      </c>
      <c r="O193" s="17">
        <v>34</v>
      </c>
      <c r="P193" s="18">
        <v>3</v>
      </c>
      <c r="Q193" s="21">
        <v>233</v>
      </c>
      <c r="R193" s="22">
        <v>127</v>
      </c>
      <c r="S193" s="23">
        <v>4.625</v>
      </c>
    </row>
    <row r="194" spans="1:19" ht="20.100000000000001" customHeight="1" x14ac:dyDescent="0.6">
      <c r="A194" s="16">
        <v>8</v>
      </c>
      <c r="B194">
        <v>20811</v>
      </c>
      <c r="C194" t="s">
        <v>216</v>
      </c>
      <c r="D194" s="17">
        <v>72</v>
      </c>
      <c r="E194" s="18">
        <v>3</v>
      </c>
      <c r="F194" s="17">
        <v>44</v>
      </c>
      <c r="G194" s="18">
        <v>5</v>
      </c>
      <c r="H194" s="17">
        <v>70</v>
      </c>
      <c r="I194" s="18">
        <v>3</v>
      </c>
      <c r="J194" s="19">
        <v>3.6666666666666665</v>
      </c>
      <c r="K194" s="20">
        <v>39</v>
      </c>
      <c r="L194" s="18">
        <v>2</v>
      </c>
      <c r="M194" s="17">
        <v>20</v>
      </c>
      <c r="N194" s="18">
        <v>5</v>
      </c>
      <c r="O194" s="17">
        <v>27</v>
      </c>
      <c r="P194" s="18">
        <v>4</v>
      </c>
      <c r="Q194" s="21">
        <v>272</v>
      </c>
      <c r="R194" s="22">
        <v>81</v>
      </c>
      <c r="S194" s="23">
        <v>3.875</v>
      </c>
    </row>
    <row r="195" spans="1:19" ht="20.100000000000001" customHeight="1" x14ac:dyDescent="0.6">
      <c r="A195" s="16">
        <v>8</v>
      </c>
      <c r="B195">
        <v>20812</v>
      </c>
      <c r="C195" t="s">
        <v>217</v>
      </c>
      <c r="D195" s="17">
        <v>68</v>
      </c>
      <c r="E195" s="18">
        <v>3</v>
      </c>
      <c r="F195" s="17">
        <v>47</v>
      </c>
      <c r="G195" s="18">
        <v>5</v>
      </c>
      <c r="H195" s="17">
        <v>82</v>
      </c>
      <c r="I195" s="18">
        <v>2</v>
      </c>
      <c r="J195" s="19">
        <v>3.3333333333333335</v>
      </c>
      <c r="K195" s="20">
        <v>39</v>
      </c>
      <c r="L195" s="18">
        <v>2</v>
      </c>
      <c r="M195" s="17">
        <v>24</v>
      </c>
      <c r="N195" s="18">
        <v>5</v>
      </c>
      <c r="O195" s="17">
        <v>25</v>
      </c>
      <c r="P195" s="18">
        <v>4</v>
      </c>
      <c r="Q195" s="21">
        <v>285</v>
      </c>
      <c r="R195" s="22">
        <v>68</v>
      </c>
      <c r="S195" s="23">
        <v>3.625</v>
      </c>
    </row>
    <row r="196" spans="1:19" ht="20.100000000000001" customHeight="1" x14ac:dyDescent="0.6">
      <c r="A196" s="16">
        <v>8</v>
      </c>
      <c r="B196">
        <v>20813</v>
      </c>
      <c r="C196" t="s">
        <v>218</v>
      </c>
      <c r="D196" s="17">
        <v>48</v>
      </c>
      <c r="E196" s="18">
        <v>5</v>
      </c>
      <c r="F196" s="17">
        <v>42</v>
      </c>
      <c r="G196" s="18">
        <v>5</v>
      </c>
      <c r="H196" s="17">
        <v>62</v>
      </c>
      <c r="I196" s="18">
        <v>4</v>
      </c>
      <c r="J196" s="19">
        <v>4.666666666666667</v>
      </c>
      <c r="K196" s="20">
        <v>24</v>
      </c>
      <c r="L196" s="18">
        <v>5</v>
      </c>
      <c r="M196" s="17">
        <v>15</v>
      </c>
      <c r="N196" s="18">
        <v>6</v>
      </c>
      <c r="O196" s="17">
        <v>22</v>
      </c>
      <c r="P196" s="18">
        <v>5</v>
      </c>
      <c r="Q196" s="21">
        <v>213</v>
      </c>
      <c r="R196" s="22">
        <v>149</v>
      </c>
      <c r="S196" s="23">
        <v>4.875</v>
      </c>
    </row>
    <row r="197" spans="1:19" ht="20.100000000000001" customHeight="1" x14ac:dyDescent="0.6">
      <c r="A197" s="16">
        <v>8</v>
      </c>
      <c r="B197">
        <v>20814</v>
      </c>
      <c r="C197" t="s">
        <v>219</v>
      </c>
      <c r="D197" s="17">
        <v>36</v>
      </c>
      <c r="E197" s="18">
        <v>6</v>
      </c>
      <c r="F197" s="17">
        <v>33</v>
      </c>
      <c r="G197" s="18">
        <v>5</v>
      </c>
      <c r="H197" s="17">
        <v>40</v>
      </c>
      <c r="I197" s="18">
        <v>6</v>
      </c>
      <c r="J197" s="19">
        <v>5.666666666666667</v>
      </c>
      <c r="K197" s="20">
        <v>10</v>
      </c>
      <c r="L197" s="18">
        <v>7</v>
      </c>
      <c r="M197" s="17">
        <v>24</v>
      </c>
      <c r="N197" s="18">
        <v>5</v>
      </c>
      <c r="O197" s="17">
        <v>26</v>
      </c>
      <c r="P197" s="18">
        <v>4</v>
      </c>
      <c r="Q197" s="21">
        <v>169</v>
      </c>
      <c r="R197" s="22">
        <v>203</v>
      </c>
      <c r="S197" s="23">
        <v>5.375</v>
      </c>
    </row>
    <row r="198" spans="1:19" ht="20.100000000000001" customHeight="1" x14ac:dyDescent="0.6">
      <c r="A198" s="16">
        <v>8</v>
      </c>
      <c r="B198">
        <v>20815</v>
      </c>
      <c r="C198" t="s">
        <v>220</v>
      </c>
      <c r="D198" s="17">
        <v>36</v>
      </c>
      <c r="E198" s="18">
        <v>6</v>
      </c>
      <c r="F198" s="17">
        <v>14</v>
      </c>
      <c r="G198" s="18">
        <v>7</v>
      </c>
      <c r="H198" s="17">
        <v>43</v>
      </c>
      <c r="I198" s="18">
        <v>6</v>
      </c>
      <c r="J198" s="19">
        <v>6.333333333333333</v>
      </c>
      <c r="K198" s="20">
        <v>22</v>
      </c>
      <c r="L198" s="18">
        <v>5</v>
      </c>
      <c r="M198" s="17">
        <v>28</v>
      </c>
      <c r="N198" s="18">
        <v>4</v>
      </c>
      <c r="O198" s="17">
        <v>14</v>
      </c>
      <c r="P198" s="18">
        <v>6</v>
      </c>
      <c r="Q198" s="21">
        <v>157</v>
      </c>
      <c r="R198" s="22">
        <v>216</v>
      </c>
      <c r="S198" s="23">
        <v>6</v>
      </c>
    </row>
    <row r="199" spans="1:19" ht="20.100000000000001" customHeight="1" x14ac:dyDescent="0.6">
      <c r="A199" s="16">
        <v>8</v>
      </c>
      <c r="B199">
        <v>20816</v>
      </c>
      <c r="C199" t="s">
        <v>221</v>
      </c>
      <c r="D199" s="17">
        <v>72</v>
      </c>
      <c r="E199" s="18">
        <v>3</v>
      </c>
      <c r="F199" s="17">
        <v>62</v>
      </c>
      <c r="G199" s="18">
        <v>3</v>
      </c>
      <c r="H199" s="17">
        <v>87</v>
      </c>
      <c r="I199" s="18">
        <v>2</v>
      </c>
      <c r="J199" s="19">
        <v>2.6666666666666665</v>
      </c>
      <c r="K199" s="20">
        <v>35</v>
      </c>
      <c r="L199" s="18">
        <v>2</v>
      </c>
      <c r="M199" s="17">
        <v>34</v>
      </c>
      <c r="N199" s="18">
        <v>3</v>
      </c>
      <c r="O199" s="17">
        <v>37</v>
      </c>
      <c r="P199" s="18">
        <v>2</v>
      </c>
      <c r="Q199" s="21">
        <v>327</v>
      </c>
      <c r="R199" s="22">
        <v>34</v>
      </c>
      <c r="S199" s="23">
        <v>2.625</v>
      </c>
    </row>
    <row r="200" spans="1:19" ht="20.100000000000001" customHeight="1" x14ac:dyDescent="0.6">
      <c r="A200" s="16">
        <v>8</v>
      </c>
      <c r="B200">
        <v>20817</v>
      </c>
      <c r="C200" t="s">
        <v>222</v>
      </c>
      <c r="D200" s="17">
        <v>53</v>
      </c>
      <c r="E200" s="18">
        <v>5</v>
      </c>
      <c r="F200" s="17">
        <v>40</v>
      </c>
      <c r="G200" s="18">
        <v>5</v>
      </c>
      <c r="H200" s="17">
        <v>65</v>
      </c>
      <c r="I200" s="18">
        <v>4</v>
      </c>
      <c r="J200" s="19">
        <v>4.666666666666667</v>
      </c>
      <c r="K200" s="20">
        <v>41</v>
      </c>
      <c r="L200" s="18">
        <v>1</v>
      </c>
      <c r="M200" s="17">
        <v>31</v>
      </c>
      <c r="N200" s="18">
        <v>4</v>
      </c>
      <c r="O200" s="17">
        <v>37</v>
      </c>
      <c r="P200" s="18">
        <v>2</v>
      </c>
      <c r="Q200" s="21">
        <v>267</v>
      </c>
      <c r="R200" s="22">
        <v>88</v>
      </c>
      <c r="S200" s="23">
        <v>4.25</v>
      </c>
    </row>
    <row r="201" spans="1:19" ht="20.100000000000001" customHeight="1" x14ac:dyDescent="0.6">
      <c r="A201" s="16">
        <v>8</v>
      </c>
      <c r="B201">
        <v>20818</v>
      </c>
      <c r="C201" t="s">
        <v>223</v>
      </c>
      <c r="D201" s="17">
        <v>63</v>
      </c>
      <c r="E201" s="18">
        <v>4</v>
      </c>
      <c r="F201" s="17">
        <v>21</v>
      </c>
      <c r="G201" s="18">
        <v>6</v>
      </c>
      <c r="H201" s="17">
        <v>32</v>
      </c>
      <c r="I201" s="18">
        <v>7</v>
      </c>
      <c r="J201" s="19">
        <v>5.666666666666667</v>
      </c>
      <c r="K201" s="20">
        <v>27</v>
      </c>
      <c r="L201" s="18">
        <v>4</v>
      </c>
      <c r="M201" s="17">
        <v>27</v>
      </c>
      <c r="N201" s="18">
        <v>4</v>
      </c>
      <c r="O201" s="17">
        <v>35</v>
      </c>
      <c r="P201" s="18">
        <v>3</v>
      </c>
      <c r="Q201" s="21">
        <v>205</v>
      </c>
      <c r="R201" s="22">
        <v>157</v>
      </c>
      <c r="S201" s="23">
        <v>5.125</v>
      </c>
    </row>
    <row r="202" spans="1:19" ht="20.100000000000001" customHeight="1" x14ac:dyDescent="0.6">
      <c r="A202" s="16">
        <v>8</v>
      </c>
      <c r="B202">
        <v>20819</v>
      </c>
      <c r="C202" t="s">
        <v>224</v>
      </c>
      <c r="D202" s="17">
        <v>36</v>
      </c>
      <c r="E202" s="18">
        <v>6</v>
      </c>
      <c r="F202" s="17">
        <v>11</v>
      </c>
      <c r="G202" s="18">
        <v>8</v>
      </c>
      <c r="H202" s="17">
        <v>27</v>
      </c>
      <c r="I202" s="18">
        <v>8</v>
      </c>
      <c r="J202" s="19">
        <v>7.333333333333333</v>
      </c>
      <c r="K202" s="20">
        <v>6</v>
      </c>
      <c r="L202" s="18">
        <v>8</v>
      </c>
      <c r="M202" s="17">
        <v>13</v>
      </c>
      <c r="N202" s="18">
        <v>7</v>
      </c>
      <c r="O202" s="17">
        <v>1</v>
      </c>
      <c r="P202" s="18">
        <v>9</v>
      </c>
      <c r="Q202" s="21">
        <v>94</v>
      </c>
      <c r="R202" s="22">
        <v>250</v>
      </c>
      <c r="S202" s="23">
        <v>7.5</v>
      </c>
    </row>
    <row r="203" spans="1:19" ht="20.100000000000001" customHeight="1" x14ac:dyDescent="0.6">
      <c r="A203" s="16">
        <v>8</v>
      </c>
      <c r="B203">
        <v>20820</v>
      </c>
      <c r="C203" t="s">
        <v>225</v>
      </c>
      <c r="D203" s="17">
        <v>19</v>
      </c>
      <c r="E203" s="18">
        <v>8</v>
      </c>
      <c r="F203" s="17">
        <v>22</v>
      </c>
      <c r="G203" s="18">
        <v>6</v>
      </c>
      <c r="H203" s="17">
        <v>62</v>
      </c>
      <c r="I203" s="18">
        <v>4</v>
      </c>
      <c r="J203" s="19">
        <v>6</v>
      </c>
      <c r="K203" s="20">
        <v>28</v>
      </c>
      <c r="L203" s="18">
        <v>4</v>
      </c>
      <c r="M203" s="17">
        <v>19</v>
      </c>
      <c r="N203" s="18">
        <v>6</v>
      </c>
      <c r="O203" s="17">
        <v>8</v>
      </c>
      <c r="P203" s="18">
        <v>8</v>
      </c>
      <c r="Q203" s="21">
        <v>158</v>
      </c>
      <c r="R203" s="22">
        <v>214</v>
      </c>
      <c r="S203" s="23">
        <v>6.25</v>
      </c>
    </row>
    <row r="204" spans="1:19" ht="20.100000000000001" customHeight="1" x14ac:dyDescent="0.6">
      <c r="A204" s="16">
        <v>8</v>
      </c>
      <c r="B204">
        <v>20821</v>
      </c>
      <c r="C204" t="s">
        <v>226</v>
      </c>
      <c r="D204" s="17">
        <v>51</v>
      </c>
      <c r="E204" s="18">
        <v>5</v>
      </c>
      <c r="F204" s="17">
        <v>30</v>
      </c>
      <c r="G204" s="18">
        <v>6</v>
      </c>
      <c r="H204" s="17">
        <v>64</v>
      </c>
      <c r="I204" s="18">
        <v>4</v>
      </c>
      <c r="J204" s="19">
        <v>5</v>
      </c>
      <c r="K204" s="20">
        <v>18</v>
      </c>
      <c r="L204" s="18">
        <v>6</v>
      </c>
      <c r="M204" s="17">
        <v>37</v>
      </c>
      <c r="N204" s="18">
        <v>2</v>
      </c>
      <c r="O204" s="17">
        <v>20</v>
      </c>
      <c r="P204" s="18">
        <v>5</v>
      </c>
      <c r="Q204" s="21">
        <v>220</v>
      </c>
      <c r="R204" s="22">
        <v>139</v>
      </c>
      <c r="S204" s="23">
        <v>4.625</v>
      </c>
    </row>
    <row r="205" spans="1:19" ht="20.100000000000001" customHeight="1" x14ac:dyDescent="0.6">
      <c r="A205" s="16">
        <v>8</v>
      </c>
      <c r="B205">
        <v>20822</v>
      </c>
      <c r="C205" t="s">
        <v>227</v>
      </c>
      <c r="D205" s="17">
        <v>72</v>
      </c>
      <c r="E205" s="18">
        <v>3</v>
      </c>
      <c r="F205" s="17">
        <v>64</v>
      </c>
      <c r="G205" s="18">
        <v>3</v>
      </c>
      <c r="H205" s="17">
        <v>80</v>
      </c>
      <c r="I205" s="18">
        <v>2</v>
      </c>
      <c r="J205" s="19">
        <v>2.6666666666666665</v>
      </c>
      <c r="K205" s="20">
        <v>34</v>
      </c>
      <c r="L205" s="18">
        <v>3</v>
      </c>
      <c r="M205" s="17">
        <v>33</v>
      </c>
      <c r="N205" s="18">
        <v>3</v>
      </c>
      <c r="O205" s="17">
        <v>27</v>
      </c>
      <c r="P205" s="18">
        <v>4</v>
      </c>
      <c r="Q205" s="21">
        <v>310</v>
      </c>
      <c r="R205" s="22">
        <v>46</v>
      </c>
      <c r="S205" s="23">
        <v>2.875</v>
      </c>
    </row>
    <row r="206" spans="1:19" ht="20.100000000000001" customHeight="1" x14ac:dyDescent="0.6">
      <c r="A206" s="16">
        <v>8</v>
      </c>
      <c r="B206">
        <v>20824</v>
      </c>
      <c r="C206" t="s">
        <v>228</v>
      </c>
      <c r="D206" s="17">
        <v>96</v>
      </c>
      <c r="E206" s="18">
        <v>1</v>
      </c>
      <c r="F206" s="17">
        <v>72</v>
      </c>
      <c r="G206" s="18">
        <v>3</v>
      </c>
      <c r="H206" s="17">
        <v>88</v>
      </c>
      <c r="I206" s="18">
        <v>2</v>
      </c>
      <c r="J206" s="19">
        <v>2</v>
      </c>
      <c r="K206" s="20">
        <v>48</v>
      </c>
      <c r="L206" s="18">
        <v>1</v>
      </c>
      <c r="M206" s="17">
        <v>43</v>
      </c>
      <c r="N206" s="18">
        <v>1</v>
      </c>
      <c r="O206" s="17">
        <v>43</v>
      </c>
      <c r="P206" s="18">
        <v>1</v>
      </c>
      <c r="Q206" s="21">
        <v>390</v>
      </c>
      <c r="R206" s="22">
        <v>2</v>
      </c>
      <c r="S206" s="23">
        <v>1.75</v>
      </c>
    </row>
    <row r="207" spans="1:19" ht="20.100000000000001" customHeight="1" x14ac:dyDescent="0.6">
      <c r="A207" s="16">
        <v>8</v>
      </c>
      <c r="B207">
        <v>20825</v>
      </c>
      <c r="C207" t="s">
        <v>229</v>
      </c>
      <c r="D207" s="17">
        <v>53</v>
      </c>
      <c r="E207" s="18">
        <v>5</v>
      </c>
      <c r="F207" s="17">
        <v>46</v>
      </c>
      <c r="G207" s="18">
        <v>5</v>
      </c>
      <c r="H207" s="17">
        <v>50</v>
      </c>
      <c r="I207" s="18">
        <v>5</v>
      </c>
      <c r="J207" s="19">
        <v>5</v>
      </c>
      <c r="K207" s="20">
        <v>9</v>
      </c>
      <c r="L207" s="18">
        <v>8</v>
      </c>
      <c r="M207" s="17">
        <v>19</v>
      </c>
      <c r="N207" s="18">
        <v>6</v>
      </c>
      <c r="O207" s="17">
        <v>37</v>
      </c>
      <c r="P207" s="18">
        <v>2</v>
      </c>
      <c r="Q207" s="21">
        <v>214</v>
      </c>
      <c r="R207" s="22">
        <v>145</v>
      </c>
      <c r="S207" s="23">
        <v>4.75</v>
      </c>
    </row>
    <row r="208" spans="1:19" ht="20.100000000000001" customHeight="1" x14ac:dyDescent="0.6">
      <c r="A208" s="16">
        <v>9</v>
      </c>
      <c r="B208">
        <v>20901</v>
      </c>
      <c r="C208" t="s">
        <v>230</v>
      </c>
      <c r="D208" s="17">
        <v>64</v>
      </c>
      <c r="E208" s="18">
        <v>4</v>
      </c>
      <c r="F208" s="17">
        <v>54</v>
      </c>
      <c r="G208" s="18">
        <v>4</v>
      </c>
      <c r="H208" s="17">
        <v>65</v>
      </c>
      <c r="I208" s="18">
        <v>4</v>
      </c>
      <c r="J208" s="19">
        <v>4</v>
      </c>
      <c r="K208" s="20">
        <v>47</v>
      </c>
      <c r="L208" s="18">
        <v>1</v>
      </c>
      <c r="M208" s="17">
        <v>33</v>
      </c>
      <c r="N208" s="18">
        <v>3</v>
      </c>
      <c r="O208" s="17">
        <v>31</v>
      </c>
      <c r="P208" s="18">
        <v>3</v>
      </c>
      <c r="Q208" s="21">
        <v>294</v>
      </c>
      <c r="R208" s="22">
        <v>59</v>
      </c>
      <c r="S208" s="23">
        <v>3.75</v>
      </c>
    </row>
    <row r="209" spans="1:19" ht="20.100000000000001" customHeight="1" x14ac:dyDescent="0.6">
      <c r="A209" s="16">
        <v>9</v>
      </c>
      <c r="B209">
        <v>20902</v>
      </c>
      <c r="C209" t="s">
        <v>231</v>
      </c>
      <c r="D209" s="17">
        <v>89</v>
      </c>
      <c r="E209" s="18">
        <v>1</v>
      </c>
      <c r="F209" s="17">
        <v>64</v>
      </c>
      <c r="G209" s="18">
        <v>3</v>
      </c>
      <c r="H209" s="17">
        <v>87</v>
      </c>
      <c r="I209" s="18">
        <v>2</v>
      </c>
      <c r="J209" s="19">
        <v>2</v>
      </c>
      <c r="K209" s="20">
        <v>36</v>
      </c>
      <c r="L209" s="18">
        <v>2</v>
      </c>
      <c r="M209" s="17">
        <v>36</v>
      </c>
      <c r="N209" s="18">
        <v>3</v>
      </c>
      <c r="O209" s="17">
        <v>38</v>
      </c>
      <c r="P209" s="18">
        <v>2</v>
      </c>
      <c r="Q209" s="21">
        <v>350</v>
      </c>
      <c r="R209" s="22">
        <v>16</v>
      </c>
      <c r="S209" s="23">
        <v>2.125</v>
      </c>
    </row>
    <row r="210" spans="1:19" ht="20.100000000000001" customHeight="1" x14ac:dyDescent="0.6">
      <c r="A210" s="16">
        <v>9</v>
      </c>
      <c r="B210">
        <v>20903</v>
      </c>
      <c r="C210" t="s">
        <v>232</v>
      </c>
      <c r="D210" s="17">
        <v>85</v>
      </c>
      <c r="E210" s="18">
        <v>2</v>
      </c>
      <c r="F210" s="17">
        <v>57</v>
      </c>
      <c r="G210" s="18">
        <v>4</v>
      </c>
      <c r="H210" s="17">
        <v>88</v>
      </c>
      <c r="I210" s="18">
        <v>2</v>
      </c>
      <c r="J210" s="19">
        <v>2.6666666666666665</v>
      </c>
      <c r="K210" s="20">
        <v>47</v>
      </c>
      <c r="L210" s="18">
        <v>1</v>
      </c>
      <c r="M210" s="17">
        <v>41</v>
      </c>
      <c r="N210" s="18">
        <v>2</v>
      </c>
      <c r="O210" s="17">
        <v>38</v>
      </c>
      <c r="P210" s="18">
        <v>2</v>
      </c>
      <c r="Q210" s="21">
        <v>356</v>
      </c>
      <c r="R210" s="22">
        <v>13</v>
      </c>
      <c r="S210" s="23">
        <v>2.5</v>
      </c>
    </row>
    <row r="211" spans="1:19" ht="20.100000000000001" customHeight="1" x14ac:dyDescent="0.6">
      <c r="A211" s="16">
        <v>9</v>
      </c>
      <c r="B211">
        <v>20904</v>
      </c>
      <c r="C211" t="s">
        <v>233</v>
      </c>
      <c r="D211" s="17">
        <v>31</v>
      </c>
      <c r="E211" s="18">
        <v>7</v>
      </c>
      <c r="F211" s="17">
        <v>65</v>
      </c>
      <c r="G211" s="18">
        <v>3</v>
      </c>
      <c r="H211" s="17">
        <v>66</v>
      </c>
      <c r="I211" s="18">
        <v>4</v>
      </c>
      <c r="J211" s="19">
        <v>4.666666666666667</v>
      </c>
      <c r="K211" s="20">
        <v>27</v>
      </c>
      <c r="L211" s="18">
        <v>4</v>
      </c>
      <c r="M211" s="17">
        <v>18</v>
      </c>
      <c r="N211" s="18">
        <v>6</v>
      </c>
      <c r="O211" s="17">
        <v>28</v>
      </c>
      <c r="P211" s="18">
        <v>4</v>
      </c>
      <c r="Q211" s="21">
        <v>235</v>
      </c>
      <c r="R211" s="22">
        <v>123</v>
      </c>
      <c r="S211" s="23">
        <v>4.75</v>
      </c>
    </row>
    <row r="212" spans="1:19" ht="20.100000000000001" customHeight="1" x14ac:dyDescent="0.6">
      <c r="A212" s="16">
        <v>9</v>
      </c>
      <c r="B212">
        <v>20905</v>
      </c>
      <c r="C212" t="s">
        <v>234</v>
      </c>
      <c r="D212" s="17">
        <v>19</v>
      </c>
      <c r="E212" s="18">
        <v>8</v>
      </c>
      <c r="F212" s="17">
        <v>11</v>
      </c>
      <c r="G212" s="18">
        <v>8</v>
      </c>
      <c r="H212" s="17">
        <v>22</v>
      </c>
      <c r="I212" s="18">
        <v>8</v>
      </c>
      <c r="J212" s="19">
        <v>8</v>
      </c>
      <c r="K212" s="20">
        <v>12</v>
      </c>
      <c r="L212" s="18">
        <v>7</v>
      </c>
      <c r="M212" s="17">
        <v>12</v>
      </c>
      <c r="N212" s="18">
        <v>7</v>
      </c>
      <c r="O212" s="17">
        <v>6</v>
      </c>
      <c r="P212" s="18">
        <v>9</v>
      </c>
      <c r="Q212" s="21">
        <v>82</v>
      </c>
      <c r="R212" s="22">
        <v>252</v>
      </c>
      <c r="S212" s="23">
        <v>8</v>
      </c>
    </row>
    <row r="213" spans="1:19" ht="20.100000000000001" customHeight="1" x14ac:dyDescent="0.6">
      <c r="A213" s="16">
        <v>9</v>
      </c>
      <c r="B213">
        <v>20906</v>
      </c>
      <c r="C213" t="s">
        <v>235</v>
      </c>
      <c r="D213" s="17">
        <v>70</v>
      </c>
      <c r="E213" s="18">
        <v>3</v>
      </c>
      <c r="F213" s="17">
        <v>43</v>
      </c>
      <c r="G213" s="18">
        <v>5</v>
      </c>
      <c r="H213" s="17">
        <v>84</v>
      </c>
      <c r="I213" s="18">
        <v>2</v>
      </c>
      <c r="J213" s="19">
        <v>3.3333333333333335</v>
      </c>
      <c r="K213" s="20">
        <v>27</v>
      </c>
      <c r="L213" s="18">
        <v>4</v>
      </c>
      <c r="M213" s="17">
        <v>22</v>
      </c>
      <c r="N213" s="18">
        <v>5</v>
      </c>
      <c r="O213" s="17">
        <v>19</v>
      </c>
      <c r="P213" s="18">
        <v>5</v>
      </c>
      <c r="Q213" s="21">
        <v>265</v>
      </c>
      <c r="R213" s="22">
        <v>89</v>
      </c>
      <c r="S213" s="23">
        <v>3.75</v>
      </c>
    </row>
    <row r="214" spans="1:19" ht="20.100000000000001" customHeight="1" x14ac:dyDescent="0.6">
      <c r="A214" s="16">
        <v>9</v>
      </c>
      <c r="B214">
        <v>20907</v>
      </c>
      <c r="C214" t="s">
        <v>236</v>
      </c>
      <c r="D214" s="17">
        <v>33</v>
      </c>
      <c r="E214" s="18">
        <v>6</v>
      </c>
      <c r="F214" s="17">
        <v>23</v>
      </c>
      <c r="G214" s="18">
        <v>6</v>
      </c>
      <c r="H214" s="17">
        <v>34</v>
      </c>
      <c r="I214" s="18">
        <v>7</v>
      </c>
      <c r="J214" s="19">
        <v>6.333333333333333</v>
      </c>
      <c r="K214" s="20">
        <v>13</v>
      </c>
      <c r="L214" s="18">
        <v>7</v>
      </c>
      <c r="M214" s="17">
        <v>11</v>
      </c>
      <c r="N214" s="18">
        <v>7</v>
      </c>
      <c r="O214" s="17">
        <v>13</v>
      </c>
      <c r="P214" s="18">
        <v>7</v>
      </c>
      <c r="Q214" s="21">
        <v>127</v>
      </c>
      <c r="R214" s="22">
        <v>233</v>
      </c>
      <c r="S214" s="23">
        <v>6.5</v>
      </c>
    </row>
    <row r="215" spans="1:19" ht="20.100000000000001" customHeight="1" x14ac:dyDescent="0.6">
      <c r="A215" s="16">
        <v>9</v>
      </c>
      <c r="B215">
        <v>20908</v>
      </c>
      <c r="C215" t="s">
        <v>237</v>
      </c>
      <c r="D215" s="17">
        <v>52</v>
      </c>
      <c r="E215" s="18">
        <v>5</v>
      </c>
      <c r="F215" s="17">
        <v>31</v>
      </c>
      <c r="G215" s="18">
        <v>5</v>
      </c>
      <c r="H215" s="17">
        <v>55</v>
      </c>
      <c r="I215" s="18">
        <v>5</v>
      </c>
      <c r="J215" s="19">
        <v>5</v>
      </c>
      <c r="K215" s="20">
        <v>37</v>
      </c>
      <c r="L215" s="18">
        <v>2</v>
      </c>
      <c r="M215" s="17">
        <v>29</v>
      </c>
      <c r="N215" s="18">
        <v>4</v>
      </c>
      <c r="O215" s="17">
        <v>15</v>
      </c>
      <c r="P215" s="18">
        <v>6</v>
      </c>
      <c r="Q215" s="21">
        <v>219</v>
      </c>
      <c r="R215" s="22">
        <v>141</v>
      </c>
      <c r="S215" s="23">
        <v>5</v>
      </c>
    </row>
    <row r="216" spans="1:19" ht="20.100000000000001" customHeight="1" x14ac:dyDescent="0.6">
      <c r="A216" s="16">
        <v>9</v>
      </c>
      <c r="B216">
        <v>20909</v>
      </c>
      <c r="C216" t="s">
        <v>238</v>
      </c>
      <c r="D216" s="17">
        <v>57</v>
      </c>
      <c r="E216" s="18">
        <v>4</v>
      </c>
      <c r="F216" s="17">
        <v>60</v>
      </c>
      <c r="G216" s="18">
        <v>4</v>
      </c>
      <c r="H216" s="17">
        <v>62</v>
      </c>
      <c r="I216" s="18">
        <v>4</v>
      </c>
      <c r="J216" s="19">
        <v>4</v>
      </c>
      <c r="K216" s="20">
        <v>31</v>
      </c>
      <c r="L216" s="18">
        <v>3</v>
      </c>
      <c r="M216" s="17">
        <v>17</v>
      </c>
      <c r="N216" s="18">
        <v>6</v>
      </c>
      <c r="O216" s="17">
        <v>17</v>
      </c>
      <c r="P216" s="18">
        <v>6</v>
      </c>
      <c r="Q216" s="21">
        <v>244</v>
      </c>
      <c r="R216" s="22">
        <v>110</v>
      </c>
      <c r="S216" s="23">
        <v>4.5</v>
      </c>
    </row>
    <row r="217" spans="1:19" ht="20.100000000000001" customHeight="1" x14ac:dyDescent="0.6">
      <c r="A217" s="16">
        <v>9</v>
      </c>
      <c r="B217">
        <v>20910</v>
      </c>
      <c r="C217" t="s">
        <v>239</v>
      </c>
      <c r="D217" s="17">
        <v>77</v>
      </c>
      <c r="E217" s="18">
        <v>3</v>
      </c>
      <c r="F217" s="17">
        <v>73</v>
      </c>
      <c r="G217" s="18">
        <v>2</v>
      </c>
      <c r="H217" s="17">
        <v>80</v>
      </c>
      <c r="I217" s="18">
        <v>2</v>
      </c>
      <c r="J217" s="19">
        <v>2.3333333333333335</v>
      </c>
      <c r="K217" s="20">
        <v>35</v>
      </c>
      <c r="L217" s="18">
        <v>2</v>
      </c>
      <c r="M217" s="17">
        <v>33</v>
      </c>
      <c r="N217" s="18">
        <v>3</v>
      </c>
      <c r="O217" s="17">
        <v>32</v>
      </c>
      <c r="P217" s="18">
        <v>3</v>
      </c>
      <c r="Q217" s="21">
        <v>330</v>
      </c>
      <c r="R217" s="22">
        <v>31</v>
      </c>
      <c r="S217" s="23">
        <v>2.5</v>
      </c>
    </row>
    <row r="218" spans="1:19" ht="20.100000000000001" customHeight="1" x14ac:dyDescent="0.6">
      <c r="A218" s="16">
        <v>9</v>
      </c>
      <c r="B218">
        <v>20911</v>
      </c>
      <c r="C218" t="s">
        <v>240</v>
      </c>
      <c r="D218" s="17">
        <v>37</v>
      </c>
      <c r="E218" s="18">
        <v>6</v>
      </c>
      <c r="F218" s="17">
        <v>10</v>
      </c>
      <c r="G218" s="18">
        <v>8</v>
      </c>
      <c r="H218" s="17">
        <v>24</v>
      </c>
      <c r="I218" s="18">
        <v>8</v>
      </c>
      <c r="J218" s="19">
        <v>7.333333333333333</v>
      </c>
      <c r="K218" s="20">
        <v>19</v>
      </c>
      <c r="L218" s="18">
        <v>6</v>
      </c>
      <c r="M218" s="17">
        <v>17</v>
      </c>
      <c r="N218" s="18">
        <v>6</v>
      </c>
      <c r="O218" s="17">
        <v>15</v>
      </c>
      <c r="P218" s="18">
        <v>6</v>
      </c>
      <c r="Q218" s="21">
        <v>122</v>
      </c>
      <c r="R218" s="22">
        <v>235</v>
      </c>
      <c r="S218" s="23">
        <v>7</v>
      </c>
    </row>
    <row r="219" spans="1:19" ht="20.100000000000001" customHeight="1" x14ac:dyDescent="0.6">
      <c r="A219" s="16">
        <v>9</v>
      </c>
      <c r="B219">
        <v>20912</v>
      </c>
      <c r="C219" t="s">
        <v>241</v>
      </c>
      <c r="D219" s="17">
        <v>44</v>
      </c>
      <c r="E219" s="18">
        <v>5</v>
      </c>
      <c r="F219" s="17">
        <v>13</v>
      </c>
      <c r="G219" s="18">
        <v>8</v>
      </c>
      <c r="H219" s="17">
        <v>36</v>
      </c>
      <c r="I219" s="18">
        <v>7</v>
      </c>
      <c r="J219" s="19">
        <v>6.666666666666667</v>
      </c>
      <c r="K219" s="20">
        <v>12</v>
      </c>
      <c r="L219" s="18">
        <v>7</v>
      </c>
      <c r="M219" s="17">
        <v>18</v>
      </c>
      <c r="N219" s="18">
        <v>6</v>
      </c>
      <c r="O219" s="17">
        <v>13</v>
      </c>
      <c r="P219" s="18">
        <v>7</v>
      </c>
      <c r="Q219" s="21">
        <v>136</v>
      </c>
      <c r="R219" s="22">
        <v>227</v>
      </c>
      <c r="S219" s="23">
        <v>6.625</v>
      </c>
    </row>
    <row r="220" spans="1:19" ht="20.100000000000001" customHeight="1" x14ac:dyDescent="0.6">
      <c r="A220" s="16">
        <v>9</v>
      </c>
      <c r="B220">
        <v>20913</v>
      </c>
      <c r="C220" t="s">
        <v>242</v>
      </c>
      <c r="D220" s="17">
        <v>67</v>
      </c>
      <c r="E220" s="18">
        <v>4</v>
      </c>
      <c r="F220" s="17">
        <v>55</v>
      </c>
      <c r="G220" s="18">
        <v>4</v>
      </c>
      <c r="H220" s="17">
        <v>79</v>
      </c>
      <c r="I220" s="18">
        <v>3</v>
      </c>
      <c r="J220" s="19">
        <v>3.6666666666666665</v>
      </c>
      <c r="K220" s="20">
        <v>31</v>
      </c>
      <c r="L220" s="18">
        <v>3</v>
      </c>
      <c r="M220" s="17">
        <v>35</v>
      </c>
      <c r="N220" s="18">
        <v>3</v>
      </c>
      <c r="O220" s="17">
        <v>17</v>
      </c>
      <c r="P220" s="18">
        <v>6</v>
      </c>
      <c r="Q220" s="21">
        <v>284</v>
      </c>
      <c r="R220" s="22">
        <v>71</v>
      </c>
      <c r="S220" s="23">
        <v>3.875</v>
      </c>
    </row>
    <row r="221" spans="1:19" ht="20.100000000000001" customHeight="1" x14ac:dyDescent="0.6">
      <c r="A221" s="16">
        <v>9</v>
      </c>
      <c r="B221">
        <v>20914</v>
      </c>
      <c r="C221" t="s">
        <v>243</v>
      </c>
      <c r="D221" s="17">
        <v>37</v>
      </c>
      <c r="E221" s="18">
        <v>6</v>
      </c>
      <c r="F221" s="17">
        <v>32</v>
      </c>
      <c r="G221" s="18">
        <v>5</v>
      </c>
      <c r="H221" s="17">
        <v>62</v>
      </c>
      <c r="I221" s="18">
        <v>4</v>
      </c>
      <c r="J221" s="19">
        <v>5</v>
      </c>
      <c r="K221" s="20">
        <v>24</v>
      </c>
      <c r="L221" s="18">
        <v>5</v>
      </c>
      <c r="M221" s="17">
        <v>9</v>
      </c>
      <c r="N221" s="18">
        <v>8</v>
      </c>
      <c r="O221" s="17">
        <v>3</v>
      </c>
      <c r="P221" s="18">
        <v>9</v>
      </c>
      <c r="Q221" s="21">
        <v>167</v>
      </c>
      <c r="R221" s="22">
        <v>205</v>
      </c>
      <c r="S221" s="23">
        <v>5.875</v>
      </c>
    </row>
    <row r="222" spans="1:19" ht="20.100000000000001" customHeight="1" x14ac:dyDescent="0.6">
      <c r="A222" s="16">
        <v>9</v>
      </c>
      <c r="B222">
        <v>20915</v>
      </c>
      <c r="C222" t="s">
        <v>244</v>
      </c>
      <c r="D222" s="17">
        <v>50</v>
      </c>
      <c r="E222" s="18">
        <v>5</v>
      </c>
      <c r="F222" s="17">
        <v>21</v>
      </c>
      <c r="G222" s="18">
        <v>6</v>
      </c>
      <c r="H222" s="17">
        <v>68</v>
      </c>
      <c r="I222" s="18">
        <v>4</v>
      </c>
      <c r="J222" s="19">
        <v>5</v>
      </c>
      <c r="K222" s="20">
        <v>24</v>
      </c>
      <c r="L222" s="18">
        <v>5</v>
      </c>
      <c r="M222" s="17">
        <v>14</v>
      </c>
      <c r="N222" s="18">
        <v>6</v>
      </c>
      <c r="O222" s="17">
        <v>8</v>
      </c>
      <c r="P222" s="18">
        <v>8</v>
      </c>
      <c r="Q222" s="21">
        <v>185</v>
      </c>
      <c r="R222" s="22">
        <v>182</v>
      </c>
      <c r="S222" s="23">
        <v>5.5</v>
      </c>
    </row>
    <row r="223" spans="1:19" ht="20.100000000000001" customHeight="1" x14ac:dyDescent="0.6">
      <c r="A223" s="16">
        <v>9</v>
      </c>
      <c r="B223">
        <v>20916</v>
      </c>
      <c r="C223" t="s">
        <v>245</v>
      </c>
      <c r="D223" s="17">
        <v>78</v>
      </c>
      <c r="E223" s="18">
        <v>3</v>
      </c>
      <c r="F223" s="17">
        <v>50</v>
      </c>
      <c r="G223" s="18">
        <v>4</v>
      </c>
      <c r="H223" s="17">
        <v>70</v>
      </c>
      <c r="I223" s="18">
        <v>3</v>
      </c>
      <c r="J223" s="19">
        <v>3.3333333333333335</v>
      </c>
      <c r="K223" s="20">
        <v>39</v>
      </c>
      <c r="L223" s="18">
        <v>2</v>
      </c>
      <c r="M223" s="17">
        <v>27</v>
      </c>
      <c r="N223" s="18">
        <v>4</v>
      </c>
      <c r="O223" s="17">
        <v>44</v>
      </c>
      <c r="P223" s="18">
        <v>1</v>
      </c>
      <c r="Q223" s="21">
        <v>308</v>
      </c>
      <c r="R223" s="22">
        <v>48</v>
      </c>
      <c r="S223" s="23">
        <v>3.125</v>
      </c>
    </row>
    <row r="224" spans="1:19" ht="20.100000000000001" customHeight="1" x14ac:dyDescent="0.6">
      <c r="A224" s="16">
        <v>9</v>
      </c>
      <c r="B224">
        <v>20917</v>
      </c>
      <c r="C224" t="s">
        <v>246</v>
      </c>
      <c r="D224" s="17">
        <v>46</v>
      </c>
      <c r="E224" s="18">
        <v>5</v>
      </c>
      <c r="F224" s="17">
        <v>55</v>
      </c>
      <c r="G224" s="18">
        <v>4</v>
      </c>
      <c r="H224" s="17">
        <v>61</v>
      </c>
      <c r="I224" s="18">
        <v>4</v>
      </c>
      <c r="J224" s="19">
        <v>4.333333333333333</v>
      </c>
      <c r="K224" s="20">
        <v>22</v>
      </c>
      <c r="L224" s="18">
        <v>5</v>
      </c>
      <c r="M224" s="17">
        <v>29</v>
      </c>
      <c r="N224" s="18">
        <v>4</v>
      </c>
      <c r="O224" s="17">
        <v>22</v>
      </c>
      <c r="P224" s="18">
        <v>5</v>
      </c>
      <c r="Q224" s="21">
        <v>235</v>
      </c>
      <c r="R224" s="22">
        <v>123</v>
      </c>
      <c r="S224" s="23">
        <v>4.375</v>
      </c>
    </row>
    <row r="225" spans="1:19" ht="20.100000000000001" customHeight="1" x14ac:dyDescent="0.6">
      <c r="A225" s="16">
        <v>9</v>
      </c>
      <c r="B225">
        <v>20918</v>
      </c>
      <c r="C225" t="s">
        <v>247</v>
      </c>
      <c r="D225" s="17">
        <v>36</v>
      </c>
      <c r="E225" s="18">
        <v>6</v>
      </c>
      <c r="F225" s="17">
        <v>14</v>
      </c>
      <c r="G225" s="18">
        <v>7</v>
      </c>
      <c r="H225" s="17">
        <v>53</v>
      </c>
      <c r="I225" s="18">
        <v>5</v>
      </c>
      <c r="J225" s="19">
        <v>6</v>
      </c>
      <c r="K225" s="20">
        <v>14</v>
      </c>
      <c r="L225" s="18">
        <v>7</v>
      </c>
      <c r="M225" s="17">
        <v>14</v>
      </c>
      <c r="N225" s="18">
        <v>6</v>
      </c>
      <c r="O225" s="17">
        <v>24</v>
      </c>
      <c r="P225" s="18">
        <v>4</v>
      </c>
      <c r="Q225" s="21">
        <v>155</v>
      </c>
      <c r="R225" s="22">
        <v>218</v>
      </c>
      <c r="S225" s="23">
        <v>5.75</v>
      </c>
    </row>
    <row r="226" spans="1:19" ht="20.100000000000001" customHeight="1" x14ac:dyDescent="0.6">
      <c r="A226" s="16">
        <v>9</v>
      </c>
      <c r="B226">
        <v>20919</v>
      </c>
      <c r="C226" t="s">
        <v>248</v>
      </c>
      <c r="D226" s="17">
        <v>61</v>
      </c>
      <c r="E226" s="18">
        <v>4</v>
      </c>
      <c r="F226" s="17">
        <v>14</v>
      </c>
      <c r="G226" s="18">
        <v>7</v>
      </c>
      <c r="H226" s="17">
        <v>41</v>
      </c>
      <c r="I226" s="18">
        <v>6</v>
      </c>
      <c r="J226" s="19">
        <v>5.666666666666667</v>
      </c>
      <c r="K226" s="20">
        <v>12</v>
      </c>
      <c r="L226" s="18">
        <v>7</v>
      </c>
      <c r="M226" s="17">
        <v>32</v>
      </c>
      <c r="N226" s="18">
        <v>3</v>
      </c>
      <c r="O226" s="17">
        <v>10</v>
      </c>
      <c r="P226" s="18">
        <v>7</v>
      </c>
      <c r="Q226" s="21">
        <v>170</v>
      </c>
      <c r="R226" s="22">
        <v>201</v>
      </c>
      <c r="S226" s="23">
        <v>5.5</v>
      </c>
    </row>
    <row r="227" spans="1:19" ht="20.100000000000001" customHeight="1" x14ac:dyDescent="0.6">
      <c r="A227" s="16">
        <v>9</v>
      </c>
      <c r="B227">
        <v>20920</v>
      </c>
      <c r="C227" t="s">
        <v>249</v>
      </c>
      <c r="D227" s="17">
        <v>77</v>
      </c>
      <c r="E227" s="18">
        <v>3</v>
      </c>
      <c r="F227" s="17">
        <v>57</v>
      </c>
      <c r="G227" s="18">
        <v>4</v>
      </c>
      <c r="H227" s="17">
        <v>70</v>
      </c>
      <c r="I227" s="18">
        <v>3</v>
      </c>
      <c r="J227" s="19">
        <v>3.3333333333333335</v>
      </c>
      <c r="K227" s="20">
        <v>45</v>
      </c>
      <c r="L227" s="18">
        <v>1</v>
      </c>
      <c r="M227" s="17">
        <v>32</v>
      </c>
      <c r="N227" s="18">
        <v>3</v>
      </c>
      <c r="O227" s="17">
        <v>35</v>
      </c>
      <c r="P227" s="18">
        <v>3</v>
      </c>
      <c r="Q227" s="21">
        <v>316</v>
      </c>
      <c r="R227" s="22">
        <v>41</v>
      </c>
      <c r="S227" s="23">
        <v>3.25</v>
      </c>
    </row>
    <row r="228" spans="1:19" ht="20.100000000000001" customHeight="1" x14ac:dyDescent="0.6">
      <c r="A228" s="16">
        <v>9</v>
      </c>
      <c r="B228">
        <v>20921</v>
      </c>
      <c r="C228" t="s">
        <v>250</v>
      </c>
      <c r="D228" s="17">
        <v>29</v>
      </c>
      <c r="E228" s="18">
        <v>7</v>
      </c>
      <c r="F228" s="17">
        <v>26</v>
      </c>
      <c r="G228" s="18">
        <v>6</v>
      </c>
      <c r="H228" s="17">
        <v>70</v>
      </c>
      <c r="I228" s="18">
        <v>3</v>
      </c>
      <c r="J228" s="19">
        <v>5.333333333333333</v>
      </c>
      <c r="K228" s="20">
        <v>11</v>
      </c>
      <c r="L228" s="18">
        <v>7</v>
      </c>
      <c r="M228" s="17">
        <v>9</v>
      </c>
      <c r="N228" s="18">
        <v>8</v>
      </c>
      <c r="O228" s="17">
        <v>13</v>
      </c>
      <c r="P228" s="18">
        <v>7</v>
      </c>
      <c r="Q228" s="21">
        <v>158</v>
      </c>
      <c r="R228" s="22">
        <v>214</v>
      </c>
      <c r="S228" s="23">
        <v>5.875</v>
      </c>
    </row>
    <row r="229" spans="1:19" ht="20.100000000000001" customHeight="1" x14ac:dyDescent="0.6">
      <c r="A229" s="16">
        <v>9</v>
      </c>
      <c r="B229">
        <v>20922</v>
      </c>
      <c r="C229" t="s">
        <v>251</v>
      </c>
      <c r="D229" s="17">
        <v>58</v>
      </c>
      <c r="E229" s="18">
        <v>4</v>
      </c>
      <c r="F229" s="17">
        <v>58</v>
      </c>
      <c r="G229" s="18">
        <v>4</v>
      </c>
      <c r="H229" s="17">
        <v>47</v>
      </c>
      <c r="I229" s="18">
        <v>6</v>
      </c>
      <c r="J229" s="19">
        <v>4.666666666666667</v>
      </c>
      <c r="K229" s="20">
        <v>17</v>
      </c>
      <c r="L229" s="18">
        <v>6</v>
      </c>
      <c r="M229" s="17">
        <v>21</v>
      </c>
      <c r="N229" s="18">
        <v>5</v>
      </c>
      <c r="O229" s="17">
        <v>24</v>
      </c>
      <c r="P229" s="18">
        <v>4</v>
      </c>
      <c r="Q229" s="21">
        <v>225</v>
      </c>
      <c r="R229" s="22">
        <v>134</v>
      </c>
      <c r="S229" s="23">
        <v>4.625</v>
      </c>
    </row>
    <row r="230" spans="1:19" ht="20.100000000000001" customHeight="1" x14ac:dyDescent="0.6">
      <c r="A230" s="16">
        <v>9</v>
      </c>
      <c r="B230">
        <v>20923</v>
      </c>
      <c r="C230" t="s">
        <v>252</v>
      </c>
      <c r="D230" s="17">
        <v>81</v>
      </c>
      <c r="E230" s="18">
        <v>2</v>
      </c>
      <c r="F230" s="17">
        <v>52</v>
      </c>
      <c r="G230" s="18">
        <v>4</v>
      </c>
      <c r="H230" s="17">
        <v>87</v>
      </c>
      <c r="I230" s="18">
        <v>2</v>
      </c>
      <c r="J230" s="19">
        <v>2.6666666666666665</v>
      </c>
      <c r="K230" s="20">
        <v>34</v>
      </c>
      <c r="L230" s="18">
        <v>3</v>
      </c>
      <c r="M230" s="17">
        <v>42</v>
      </c>
      <c r="N230" s="18">
        <v>2</v>
      </c>
      <c r="O230" s="17">
        <v>32</v>
      </c>
      <c r="P230" s="18">
        <v>3</v>
      </c>
      <c r="Q230" s="21">
        <v>328</v>
      </c>
      <c r="R230" s="22">
        <v>33</v>
      </c>
      <c r="S230" s="23">
        <v>2.625</v>
      </c>
    </row>
    <row r="231" spans="1:19" ht="20.100000000000001" customHeight="1" x14ac:dyDescent="0.6">
      <c r="A231" s="16">
        <v>9</v>
      </c>
      <c r="B231">
        <v>20924</v>
      </c>
      <c r="C231" t="s">
        <v>253</v>
      </c>
      <c r="D231" s="17">
        <v>50</v>
      </c>
      <c r="E231" s="18">
        <v>5</v>
      </c>
      <c r="F231" s="17">
        <v>41</v>
      </c>
      <c r="G231" s="18">
        <v>5</v>
      </c>
      <c r="H231" s="17">
        <v>69</v>
      </c>
      <c r="I231" s="18">
        <v>4</v>
      </c>
      <c r="J231" s="19">
        <v>4.666666666666667</v>
      </c>
      <c r="K231" s="20">
        <v>22</v>
      </c>
      <c r="L231" s="18">
        <v>5</v>
      </c>
      <c r="M231" s="17">
        <v>20</v>
      </c>
      <c r="N231" s="18">
        <v>5</v>
      </c>
      <c r="O231" s="17">
        <v>18</v>
      </c>
      <c r="P231" s="18">
        <v>5</v>
      </c>
      <c r="Q231" s="21">
        <v>220</v>
      </c>
      <c r="R231" s="22">
        <v>139</v>
      </c>
      <c r="S231" s="23">
        <v>4.75</v>
      </c>
    </row>
    <row r="232" spans="1:19" ht="20.100000000000001" customHeight="1" x14ac:dyDescent="0.6">
      <c r="A232" s="16">
        <v>9</v>
      </c>
      <c r="B232">
        <v>20925</v>
      </c>
      <c r="C232" t="s">
        <v>254</v>
      </c>
      <c r="D232" s="17">
        <v>59</v>
      </c>
      <c r="E232" s="18">
        <v>4</v>
      </c>
      <c r="F232" s="17">
        <v>50</v>
      </c>
      <c r="G232" s="18">
        <v>4</v>
      </c>
      <c r="H232" s="17">
        <v>76</v>
      </c>
      <c r="I232" s="18">
        <v>3</v>
      </c>
      <c r="J232" s="19">
        <v>3.6666666666666665</v>
      </c>
      <c r="K232" s="20">
        <v>39</v>
      </c>
      <c r="L232" s="18">
        <v>2</v>
      </c>
      <c r="M232" s="17">
        <v>26</v>
      </c>
      <c r="N232" s="18">
        <v>4</v>
      </c>
      <c r="O232" s="17">
        <v>28</v>
      </c>
      <c r="P232" s="18">
        <v>4</v>
      </c>
      <c r="Q232" s="21">
        <v>278</v>
      </c>
      <c r="R232" s="22">
        <v>74</v>
      </c>
      <c r="S232" s="23">
        <v>3.75</v>
      </c>
    </row>
    <row r="233" spans="1:19" ht="20.100000000000001" customHeight="1" x14ac:dyDescent="0.6">
      <c r="A233" s="16">
        <v>9</v>
      </c>
      <c r="B233">
        <v>20926</v>
      </c>
      <c r="C233" t="s">
        <v>255</v>
      </c>
      <c r="D233" s="17">
        <v>60</v>
      </c>
      <c r="E233" s="18">
        <v>4</v>
      </c>
      <c r="F233" s="17">
        <v>44</v>
      </c>
      <c r="G233" s="18">
        <v>5</v>
      </c>
      <c r="H233" s="17">
        <v>59</v>
      </c>
      <c r="I233" s="18">
        <v>5</v>
      </c>
      <c r="J233" s="19">
        <v>4.666666666666667</v>
      </c>
      <c r="K233" s="20">
        <v>37</v>
      </c>
      <c r="L233" s="18">
        <v>2</v>
      </c>
      <c r="M233" s="17">
        <v>32</v>
      </c>
      <c r="N233" s="18">
        <v>3</v>
      </c>
      <c r="O233" s="17">
        <v>32</v>
      </c>
      <c r="P233" s="18">
        <v>3</v>
      </c>
      <c r="Q233" s="21">
        <v>264</v>
      </c>
      <c r="R233" s="22">
        <v>90</v>
      </c>
      <c r="S233" s="23">
        <v>4.25</v>
      </c>
    </row>
    <row r="234" spans="1:19" ht="20.100000000000001" customHeight="1" x14ac:dyDescent="0.6">
      <c r="A234" s="16">
        <v>10</v>
      </c>
      <c r="B234">
        <v>21001</v>
      </c>
      <c r="C234" t="s">
        <v>256</v>
      </c>
      <c r="D234" s="17">
        <v>14</v>
      </c>
      <c r="E234" s="18">
        <v>9</v>
      </c>
      <c r="F234" s="17">
        <v>20</v>
      </c>
      <c r="G234" s="18">
        <v>6</v>
      </c>
      <c r="H234" s="17">
        <v>32</v>
      </c>
      <c r="I234" s="18">
        <v>7</v>
      </c>
      <c r="J234" s="19">
        <v>7.333333333333333</v>
      </c>
      <c r="K234" s="20">
        <v>24</v>
      </c>
      <c r="L234" s="18">
        <v>5</v>
      </c>
      <c r="M234" s="17">
        <v>1</v>
      </c>
      <c r="N234" s="18">
        <v>9</v>
      </c>
      <c r="O234" s="17">
        <v>11</v>
      </c>
      <c r="P234" s="18">
        <v>7</v>
      </c>
      <c r="Q234" s="21">
        <v>102</v>
      </c>
      <c r="R234" s="22">
        <v>247</v>
      </c>
      <c r="S234" s="23">
        <v>7.5</v>
      </c>
    </row>
    <row r="235" spans="1:19" ht="20.100000000000001" customHeight="1" x14ac:dyDescent="0.6">
      <c r="A235" s="16">
        <v>10</v>
      </c>
      <c r="B235">
        <v>21002</v>
      </c>
      <c r="C235" t="s">
        <v>257</v>
      </c>
      <c r="D235" s="17">
        <v>79</v>
      </c>
      <c r="E235" s="18">
        <v>2</v>
      </c>
      <c r="F235" s="17">
        <v>76</v>
      </c>
      <c r="G235" s="18">
        <v>2</v>
      </c>
      <c r="H235" s="17">
        <v>90</v>
      </c>
      <c r="I235" s="18">
        <v>1</v>
      </c>
      <c r="J235" s="19">
        <v>1.6666666666666667</v>
      </c>
      <c r="K235" s="20">
        <v>45</v>
      </c>
      <c r="L235" s="18">
        <v>1</v>
      </c>
      <c r="M235" s="17">
        <v>39</v>
      </c>
      <c r="N235" s="18">
        <v>2</v>
      </c>
      <c r="O235" s="17">
        <v>46</v>
      </c>
      <c r="P235" s="18">
        <v>1</v>
      </c>
      <c r="Q235" s="21">
        <v>375</v>
      </c>
      <c r="R235" s="22">
        <v>8</v>
      </c>
      <c r="S235" s="23">
        <v>1.625</v>
      </c>
    </row>
    <row r="236" spans="1:19" ht="20.100000000000001" customHeight="1" x14ac:dyDescent="0.6">
      <c r="A236" s="16">
        <v>10</v>
      </c>
      <c r="B236">
        <v>21003</v>
      </c>
      <c r="C236" t="s">
        <v>258</v>
      </c>
      <c r="D236" s="17">
        <v>70</v>
      </c>
      <c r="E236" s="18">
        <v>3</v>
      </c>
      <c r="F236" s="17">
        <v>84</v>
      </c>
      <c r="G236" s="18">
        <v>1</v>
      </c>
      <c r="H236" s="17">
        <v>83</v>
      </c>
      <c r="I236" s="18">
        <v>2</v>
      </c>
      <c r="J236" s="19">
        <v>2</v>
      </c>
      <c r="K236" s="20">
        <v>39</v>
      </c>
      <c r="L236" s="18">
        <v>2</v>
      </c>
      <c r="M236" s="17">
        <v>31</v>
      </c>
      <c r="N236" s="18">
        <v>4</v>
      </c>
      <c r="O236" s="17">
        <v>26</v>
      </c>
      <c r="P236" s="18">
        <v>4</v>
      </c>
      <c r="Q236" s="21">
        <v>333</v>
      </c>
      <c r="R236" s="22">
        <v>29</v>
      </c>
      <c r="S236" s="23">
        <v>2.5</v>
      </c>
    </row>
    <row r="237" spans="1:19" ht="20.100000000000001" customHeight="1" x14ac:dyDescent="0.6">
      <c r="A237" s="16">
        <v>10</v>
      </c>
      <c r="B237">
        <v>21005</v>
      </c>
      <c r="C237" t="s">
        <v>259</v>
      </c>
      <c r="D237" s="17">
        <v>34</v>
      </c>
      <c r="E237" s="18">
        <v>6</v>
      </c>
      <c r="F237" s="17">
        <v>12</v>
      </c>
      <c r="G237" s="18">
        <v>8</v>
      </c>
      <c r="H237" s="17">
        <v>30</v>
      </c>
      <c r="I237" s="18">
        <v>7</v>
      </c>
      <c r="J237" s="19">
        <v>7</v>
      </c>
      <c r="K237" s="20">
        <v>12</v>
      </c>
      <c r="L237" s="18">
        <v>7</v>
      </c>
      <c r="M237" s="17">
        <v>12</v>
      </c>
      <c r="N237" s="18">
        <v>7</v>
      </c>
      <c r="O237" s="17">
        <v>7</v>
      </c>
      <c r="P237" s="18">
        <v>8</v>
      </c>
      <c r="Q237" s="21">
        <v>107</v>
      </c>
      <c r="R237" s="22">
        <v>245</v>
      </c>
      <c r="S237" s="23">
        <v>7.125</v>
      </c>
    </row>
    <row r="238" spans="1:19" ht="20.100000000000001" customHeight="1" x14ac:dyDescent="0.6">
      <c r="A238" s="16">
        <v>10</v>
      </c>
      <c r="B238">
        <v>21006</v>
      </c>
      <c r="C238" t="s">
        <v>159</v>
      </c>
      <c r="D238" s="17">
        <v>71</v>
      </c>
      <c r="E238" s="18">
        <v>3</v>
      </c>
      <c r="F238" s="17">
        <v>61</v>
      </c>
      <c r="G238" s="18">
        <v>3</v>
      </c>
      <c r="H238" s="17">
        <v>42</v>
      </c>
      <c r="I238" s="18">
        <v>6</v>
      </c>
      <c r="J238" s="19">
        <v>4</v>
      </c>
      <c r="K238" s="20">
        <v>22</v>
      </c>
      <c r="L238" s="18">
        <v>5</v>
      </c>
      <c r="M238" s="17">
        <v>24</v>
      </c>
      <c r="N238" s="18">
        <v>5</v>
      </c>
      <c r="O238" s="17">
        <v>29</v>
      </c>
      <c r="P238" s="18">
        <v>4</v>
      </c>
      <c r="Q238" s="21">
        <v>249</v>
      </c>
      <c r="R238" s="22">
        <v>107</v>
      </c>
      <c r="S238" s="23">
        <v>4.125</v>
      </c>
    </row>
    <row r="239" spans="1:19" ht="20.100000000000001" customHeight="1" x14ac:dyDescent="0.6">
      <c r="A239" s="16">
        <v>10</v>
      </c>
      <c r="B239">
        <v>21007</v>
      </c>
      <c r="C239" t="s">
        <v>260</v>
      </c>
      <c r="D239" s="17">
        <v>55</v>
      </c>
      <c r="E239" s="18">
        <v>5</v>
      </c>
      <c r="F239" s="17">
        <v>17</v>
      </c>
      <c r="G239" s="18">
        <v>7</v>
      </c>
      <c r="H239" s="17">
        <v>38</v>
      </c>
      <c r="I239" s="18">
        <v>7</v>
      </c>
      <c r="J239" s="19">
        <v>6.333333333333333</v>
      </c>
      <c r="K239" s="20">
        <v>26</v>
      </c>
      <c r="L239" s="18">
        <v>4</v>
      </c>
      <c r="M239" s="17">
        <v>30</v>
      </c>
      <c r="N239" s="18">
        <v>4</v>
      </c>
      <c r="O239" s="17">
        <v>17</v>
      </c>
      <c r="P239" s="18">
        <v>6</v>
      </c>
      <c r="Q239" s="21">
        <v>183</v>
      </c>
      <c r="R239" s="22">
        <v>186</v>
      </c>
      <c r="S239" s="23">
        <v>6</v>
      </c>
    </row>
    <row r="240" spans="1:19" ht="20.100000000000001" customHeight="1" x14ac:dyDescent="0.6">
      <c r="A240" s="16">
        <v>10</v>
      </c>
      <c r="B240">
        <v>21008</v>
      </c>
      <c r="C240" t="s">
        <v>261</v>
      </c>
      <c r="D240" s="17">
        <v>76</v>
      </c>
      <c r="E240" s="18">
        <v>3</v>
      </c>
      <c r="F240" s="17">
        <v>65</v>
      </c>
      <c r="G240" s="18">
        <v>3</v>
      </c>
      <c r="H240" s="17">
        <v>78</v>
      </c>
      <c r="I240" s="18">
        <v>3</v>
      </c>
      <c r="J240" s="19">
        <v>3</v>
      </c>
      <c r="K240" s="20">
        <v>28</v>
      </c>
      <c r="L240" s="18">
        <v>4</v>
      </c>
      <c r="M240" s="17">
        <v>32</v>
      </c>
      <c r="N240" s="18">
        <v>3</v>
      </c>
      <c r="O240" s="17">
        <v>33</v>
      </c>
      <c r="P240" s="18">
        <v>3</v>
      </c>
      <c r="Q240" s="21">
        <v>312</v>
      </c>
      <c r="R240" s="22">
        <v>45</v>
      </c>
      <c r="S240" s="23">
        <v>3</v>
      </c>
    </row>
    <row r="241" spans="1:19" ht="20.100000000000001" customHeight="1" x14ac:dyDescent="0.6">
      <c r="A241" s="16">
        <v>10</v>
      </c>
      <c r="B241">
        <v>21009</v>
      </c>
      <c r="C241" t="s">
        <v>185</v>
      </c>
      <c r="D241" s="17">
        <v>74</v>
      </c>
      <c r="E241" s="18">
        <v>3</v>
      </c>
      <c r="F241" s="17">
        <v>64</v>
      </c>
      <c r="G241" s="18">
        <v>3</v>
      </c>
      <c r="H241" s="17">
        <v>84</v>
      </c>
      <c r="I241" s="18">
        <v>2</v>
      </c>
      <c r="J241" s="19">
        <v>2.6666666666666665</v>
      </c>
      <c r="K241" s="20">
        <v>42</v>
      </c>
      <c r="L241" s="18">
        <v>1</v>
      </c>
      <c r="M241" s="17">
        <v>35</v>
      </c>
      <c r="N241" s="18">
        <v>3</v>
      </c>
      <c r="O241" s="17">
        <v>34</v>
      </c>
      <c r="P241" s="18">
        <v>3</v>
      </c>
      <c r="Q241" s="21">
        <v>333</v>
      </c>
      <c r="R241" s="22">
        <v>29</v>
      </c>
      <c r="S241" s="23">
        <v>2.75</v>
      </c>
    </row>
    <row r="242" spans="1:19" ht="20.100000000000001" customHeight="1" x14ac:dyDescent="0.6">
      <c r="A242" s="16">
        <v>10</v>
      </c>
      <c r="B242">
        <v>21010</v>
      </c>
      <c r="C242" t="s">
        <v>262</v>
      </c>
      <c r="D242" s="17">
        <v>58</v>
      </c>
      <c r="E242" s="18">
        <v>4</v>
      </c>
      <c r="F242" s="17">
        <v>56</v>
      </c>
      <c r="G242" s="18">
        <v>4</v>
      </c>
      <c r="H242" s="17">
        <v>60</v>
      </c>
      <c r="I242" s="18">
        <v>4</v>
      </c>
      <c r="J242" s="19">
        <v>4</v>
      </c>
      <c r="K242" s="20">
        <v>39</v>
      </c>
      <c r="L242" s="18">
        <v>2</v>
      </c>
      <c r="M242" s="17">
        <v>9</v>
      </c>
      <c r="N242" s="18">
        <v>8</v>
      </c>
      <c r="O242" s="17">
        <v>18</v>
      </c>
      <c r="P242" s="18">
        <v>5</v>
      </c>
      <c r="Q242" s="21">
        <v>240</v>
      </c>
      <c r="R242" s="22">
        <v>114</v>
      </c>
      <c r="S242" s="23">
        <v>4.625</v>
      </c>
    </row>
    <row r="243" spans="1:19" ht="20.100000000000001" customHeight="1" x14ac:dyDescent="0.6">
      <c r="A243" s="16">
        <v>10</v>
      </c>
      <c r="B243">
        <v>21011</v>
      </c>
      <c r="C243" t="s">
        <v>263</v>
      </c>
      <c r="D243" s="17">
        <v>55</v>
      </c>
      <c r="E243" s="18">
        <v>5</v>
      </c>
      <c r="F243" s="17">
        <v>73</v>
      </c>
      <c r="G243" s="18">
        <v>2</v>
      </c>
      <c r="H243" s="17">
        <v>46</v>
      </c>
      <c r="I243" s="18">
        <v>6</v>
      </c>
      <c r="J243" s="19">
        <v>4.333333333333333</v>
      </c>
      <c r="K243" s="20">
        <v>30</v>
      </c>
      <c r="L243" s="18">
        <v>3</v>
      </c>
      <c r="M243" s="17">
        <v>25</v>
      </c>
      <c r="N243" s="18">
        <v>4</v>
      </c>
      <c r="O243" s="17">
        <v>22</v>
      </c>
      <c r="P243" s="18">
        <v>5</v>
      </c>
      <c r="Q243" s="21">
        <v>251</v>
      </c>
      <c r="R243" s="22">
        <v>102</v>
      </c>
      <c r="S243" s="23">
        <v>4.375</v>
      </c>
    </row>
    <row r="244" spans="1:19" ht="20.100000000000001" customHeight="1" x14ac:dyDescent="0.6">
      <c r="A244" s="16">
        <v>10</v>
      </c>
      <c r="B244">
        <v>21012</v>
      </c>
      <c r="C244" t="s">
        <v>264</v>
      </c>
      <c r="D244" s="17">
        <v>62</v>
      </c>
      <c r="E244" s="18">
        <v>4</v>
      </c>
      <c r="F244" s="17">
        <v>65</v>
      </c>
      <c r="G244" s="18">
        <v>3</v>
      </c>
      <c r="H244" s="17">
        <v>77</v>
      </c>
      <c r="I244" s="18">
        <v>3</v>
      </c>
      <c r="J244" s="19">
        <v>3.3333333333333335</v>
      </c>
      <c r="K244" s="20">
        <v>38</v>
      </c>
      <c r="L244" s="18">
        <v>2</v>
      </c>
      <c r="M244" s="17">
        <v>28</v>
      </c>
      <c r="N244" s="18">
        <v>4</v>
      </c>
      <c r="O244" s="17">
        <v>30</v>
      </c>
      <c r="P244" s="18">
        <v>3</v>
      </c>
      <c r="Q244" s="21">
        <v>300</v>
      </c>
      <c r="R244" s="22">
        <v>55</v>
      </c>
      <c r="S244" s="23">
        <v>3.375</v>
      </c>
    </row>
    <row r="245" spans="1:19" ht="20.100000000000001" customHeight="1" x14ac:dyDescent="0.6">
      <c r="A245" s="16">
        <v>10</v>
      </c>
      <c r="B245">
        <v>21013</v>
      </c>
      <c r="C245" t="s">
        <v>265</v>
      </c>
      <c r="D245" s="17">
        <v>50</v>
      </c>
      <c r="E245" s="18">
        <v>5</v>
      </c>
      <c r="F245" s="17">
        <v>12</v>
      </c>
      <c r="G245" s="18">
        <v>8</v>
      </c>
      <c r="H245" s="17">
        <v>52</v>
      </c>
      <c r="I245" s="18">
        <v>5</v>
      </c>
      <c r="J245" s="19">
        <v>6</v>
      </c>
      <c r="K245" s="20">
        <v>15</v>
      </c>
      <c r="L245" s="18">
        <v>6</v>
      </c>
      <c r="M245" s="17">
        <v>26</v>
      </c>
      <c r="N245" s="18">
        <v>4</v>
      </c>
      <c r="O245" s="17">
        <v>16</v>
      </c>
      <c r="P245" s="18">
        <v>6</v>
      </c>
      <c r="Q245" s="21">
        <v>171</v>
      </c>
      <c r="R245" s="22">
        <v>199</v>
      </c>
      <c r="S245" s="23">
        <v>5.75</v>
      </c>
    </row>
    <row r="246" spans="1:19" ht="20.100000000000001" customHeight="1" x14ac:dyDescent="0.6">
      <c r="A246" s="16">
        <v>10</v>
      </c>
      <c r="B246">
        <v>21014</v>
      </c>
      <c r="C246" t="s">
        <v>266</v>
      </c>
      <c r="D246" s="17">
        <v>60</v>
      </c>
      <c r="E246" s="18">
        <v>4</v>
      </c>
      <c r="F246" s="17">
        <v>8</v>
      </c>
      <c r="G246" s="18">
        <v>9</v>
      </c>
      <c r="H246" s="17">
        <v>63</v>
      </c>
      <c r="I246" s="18">
        <v>4</v>
      </c>
      <c r="J246" s="19">
        <v>5.666666666666667</v>
      </c>
      <c r="K246" s="20">
        <v>27</v>
      </c>
      <c r="L246" s="18">
        <v>4</v>
      </c>
      <c r="M246" s="17">
        <v>17</v>
      </c>
      <c r="N246" s="18">
        <v>6</v>
      </c>
      <c r="O246" s="17">
        <v>9</v>
      </c>
      <c r="P246" s="18">
        <v>8</v>
      </c>
      <c r="Q246" s="21">
        <v>184</v>
      </c>
      <c r="R246" s="22">
        <v>184</v>
      </c>
      <c r="S246" s="23">
        <v>6</v>
      </c>
    </row>
    <row r="247" spans="1:19" ht="20.100000000000001" customHeight="1" x14ac:dyDescent="0.6">
      <c r="A247" s="16">
        <v>10</v>
      </c>
      <c r="B247">
        <v>21015</v>
      </c>
      <c r="C247" t="s">
        <v>267</v>
      </c>
      <c r="D247" s="17">
        <v>42</v>
      </c>
      <c r="E247" s="18">
        <v>6</v>
      </c>
      <c r="F247" s="17">
        <v>40</v>
      </c>
      <c r="G247" s="18">
        <v>5</v>
      </c>
      <c r="H247" s="17">
        <v>65</v>
      </c>
      <c r="I247" s="18">
        <v>4</v>
      </c>
      <c r="J247" s="19">
        <v>5</v>
      </c>
      <c r="K247" s="20">
        <v>37</v>
      </c>
      <c r="L247" s="18">
        <v>2</v>
      </c>
      <c r="M247" s="17">
        <v>15</v>
      </c>
      <c r="N247" s="18">
        <v>6</v>
      </c>
      <c r="O247" s="17">
        <v>18</v>
      </c>
      <c r="P247" s="18">
        <v>5</v>
      </c>
      <c r="Q247" s="21">
        <v>217</v>
      </c>
      <c r="R247" s="22">
        <v>143</v>
      </c>
      <c r="S247" s="23">
        <v>5.125</v>
      </c>
    </row>
    <row r="248" spans="1:19" ht="20.100000000000001" customHeight="1" x14ac:dyDescent="0.6">
      <c r="A248" s="16">
        <v>10</v>
      </c>
      <c r="B248">
        <v>21016</v>
      </c>
      <c r="C248" t="s">
        <v>268</v>
      </c>
      <c r="D248" s="17">
        <v>60</v>
      </c>
      <c r="E248" s="18">
        <v>4</v>
      </c>
      <c r="F248" s="17">
        <v>33</v>
      </c>
      <c r="G248" s="18">
        <v>5</v>
      </c>
      <c r="H248" s="17">
        <v>72</v>
      </c>
      <c r="I248" s="18">
        <v>3</v>
      </c>
      <c r="J248" s="19">
        <v>4</v>
      </c>
      <c r="K248" s="20">
        <v>33</v>
      </c>
      <c r="L248" s="18">
        <v>3</v>
      </c>
      <c r="M248" s="17">
        <v>29</v>
      </c>
      <c r="N248" s="18">
        <v>4</v>
      </c>
      <c r="O248" s="17">
        <v>25</v>
      </c>
      <c r="P248" s="18">
        <v>4</v>
      </c>
      <c r="Q248" s="21">
        <v>252</v>
      </c>
      <c r="R248" s="22">
        <v>101</v>
      </c>
      <c r="S248" s="23">
        <v>4</v>
      </c>
    </row>
    <row r="249" spans="1:19" ht="20.100000000000001" customHeight="1" x14ac:dyDescent="0.6">
      <c r="A249" s="16">
        <v>10</v>
      </c>
      <c r="B249">
        <v>21017</v>
      </c>
      <c r="C249" t="s">
        <v>269</v>
      </c>
      <c r="D249" s="17">
        <v>23</v>
      </c>
      <c r="E249" s="18">
        <v>8</v>
      </c>
      <c r="F249" s="17">
        <v>10</v>
      </c>
      <c r="G249" s="18">
        <v>8</v>
      </c>
      <c r="H249" s="17">
        <v>27</v>
      </c>
      <c r="I249" s="18">
        <v>8</v>
      </c>
      <c r="J249" s="19">
        <v>8</v>
      </c>
      <c r="K249" s="20">
        <v>15</v>
      </c>
      <c r="L249" s="18">
        <v>6</v>
      </c>
      <c r="M249" s="17">
        <v>16</v>
      </c>
      <c r="N249" s="18">
        <v>6</v>
      </c>
      <c r="O249" s="17">
        <v>10</v>
      </c>
      <c r="P249" s="18">
        <v>7</v>
      </c>
      <c r="Q249" s="21">
        <v>101</v>
      </c>
      <c r="R249" s="22">
        <v>248</v>
      </c>
      <c r="S249" s="23">
        <v>7.625</v>
      </c>
    </row>
    <row r="250" spans="1:19" ht="20.100000000000001" customHeight="1" x14ac:dyDescent="0.6">
      <c r="A250" s="16">
        <v>10</v>
      </c>
      <c r="B250">
        <v>21018</v>
      </c>
      <c r="C250" t="s">
        <v>270</v>
      </c>
      <c r="D250" s="17">
        <v>44</v>
      </c>
      <c r="E250" s="18">
        <v>5</v>
      </c>
      <c r="F250" s="17">
        <v>18</v>
      </c>
      <c r="G250" s="18">
        <v>7</v>
      </c>
      <c r="H250" s="17">
        <v>64</v>
      </c>
      <c r="I250" s="18">
        <v>4</v>
      </c>
      <c r="J250" s="19">
        <v>5.333333333333333</v>
      </c>
      <c r="K250" s="20">
        <v>30</v>
      </c>
      <c r="L250" s="18">
        <v>3</v>
      </c>
      <c r="M250" s="17">
        <v>22</v>
      </c>
      <c r="N250" s="18">
        <v>5</v>
      </c>
      <c r="O250" s="17">
        <v>14</v>
      </c>
      <c r="P250" s="18">
        <v>6</v>
      </c>
      <c r="Q250" s="21">
        <v>192</v>
      </c>
      <c r="R250" s="22">
        <v>168</v>
      </c>
      <c r="S250" s="23">
        <v>5.375</v>
      </c>
    </row>
    <row r="251" spans="1:19" x14ac:dyDescent="0.6">
      <c r="A251" s="16">
        <v>10</v>
      </c>
      <c r="B251">
        <v>21019</v>
      </c>
      <c r="C251" t="s">
        <v>271</v>
      </c>
      <c r="D251" s="17">
        <v>70</v>
      </c>
      <c r="E251" s="18">
        <v>3</v>
      </c>
      <c r="F251" s="17">
        <v>48</v>
      </c>
      <c r="G251" s="18">
        <v>4</v>
      </c>
      <c r="H251" s="17">
        <v>68</v>
      </c>
      <c r="I251" s="18">
        <v>4</v>
      </c>
      <c r="J251" s="19">
        <v>3.6666666666666665</v>
      </c>
      <c r="K251" s="20">
        <v>25</v>
      </c>
      <c r="L251" s="18">
        <v>4</v>
      </c>
      <c r="M251" s="17">
        <v>20</v>
      </c>
      <c r="N251" s="18">
        <v>5</v>
      </c>
      <c r="O251" s="17">
        <v>22</v>
      </c>
      <c r="P251" s="18">
        <v>5</v>
      </c>
      <c r="Q251" s="21">
        <v>253</v>
      </c>
      <c r="R251" s="22">
        <v>99</v>
      </c>
      <c r="S251" s="23">
        <v>4</v>
      </c>
    </row>
    <row r="252" spans="1:19" x14ac:dyDescent="0.6">
      <c r="A252" s="16">
        <v>10</v>
      </c>
      <c r="B252">
        <v>21020</v>
      </c>
      <c r="C252" t="s">
        <v>272</v>
      </c>
      <c r="D252" s="17">
        <v>83</v>
      </c>
      <c r="E252" s="18">
        <v>2</v>
      </c>
      <c r="F252" s="17">
        <v>77</v>
      </c>
      <c r="G252" s="18">
        <v>2</v>
      </c>
      <c r="H252" s="17">
        <v>71</v>
      </c>
      <c r="I252" s="18">
        <v>3</v>
      </c>
      <c r="J252" s="19">
        <v>2.3333333333333335</v>
      </c>
      <c r="K252" s="20">
        <v>47</v>
      </c>
      <c r="L252" s="18">
        <v>1</v>
      </c>
      <c r="M252" s="17">
        <v>35</v>
      </c>
      <c r="N252" s="18">
        <v>3</v>
      </c>
      <c r="O252" s="17">
        <v>36</v>
      </c>
      <c r="P252" s="18">
        <v>3</v>
      </c>
      <c r="Q252" s="21">
        <v>349</v>
      </c>
      <c r="R252" s="22">
        <v>17</v>
      </c>
      <c r="S252" s="23">
        <v>2.5</v>
      </c>
    </row>
    <row r="253" spans="1:19" x14ac:dyDescent="0.6">
      <c r="A253" s="16">
        <v>10</v>
      </c>
      <c r="B253">
        <v>21021</v>
      </c>
      <c r="C253" t="s">
        <v>273</v>
      </c>
      <c r="D253" s="17">
        <v>74</v>
      </c>
      <c r="E253" s="18">
        <v>3</v>
      </c>
      <c r="F253" s="17">
        <v>46</v>
      </c>
      <c r="G253" s="18">
        <v>5</v>
      </c>
      <c r="H253" s="17">
        <v>61</v>
      </c>
      <c r="I253" s="18">
        <v>4</v>
      </c>
      <c r="J253" s="19">
        <v>4</v>
      </c>
      <c r="K253" s="20">
        <v>40</v>
      </c>
      <c r="L253" s="18">
        <v>1</v>
      </c>
      <c r="M253" s="17">
        <v>23</v>
      </c>
      <c r="N253" s="18">
        <v>5</v>
      </c>
      <c r="O253" s="17">
        <v>25</v>
      </c>
      <c r="P253" s="18">
        <v>4</v>
      </c>
      <c r="Q253" s="21">
        <v>269</v>
      </c>
      <c r="R253" s="22">
        <v>84</v>
      </c>
      <c r="S253" s="23">
        <v>4.125</v>
      </c>
    </row>
    <row r="254" spans="1:19" x14ac:dyDescent="0.6">
      <c r="A254" s="16">
        <v>10</v>
      </c>
      <c r="B254">
        <v>21022</v>
      </c>
      <c r="C254" t="s">
        <v>274</v>
      </c>
      <c r="D254" s="17">
        <v>46</v>
      </c>
      <c r="E254" s="18">
        <v>5</v>
      </c>
      <c r="F254" s="17">
        <v>72</v>
      </c>
      <c r="G254" s="18">
        <v>3</v>
      </c>
      <c r="H254" s="17">
        <v>56</v>
      </c>
      <c r="I254" s="18">
        <v>5</v>
      </c>
      <c r="J254" s="19">
        <v>4.333333333333333</v>
      </c>
      <c r="K254" s="20">
        <v>33</v>
      </c>
      <c r="L254" s="18">
        <v>3</v>
      </c>
      <c r="M254" s="17">
        <v>37</v>
      </c>
      <c r="N254" s="18">
        <v>2</v>
      </c>
      <c r="O254" s="17">
        <v>31</v>
      </c>
      <c r="P254" s="18">
        <v>3</v>
      </c>
      <c r="Q254" s="21">
        <v>275</v>
      </c>
      <c r="R254" s="22">
        <v>77</v>
      </c>
      <c r="S254" s="23">
        <v>3.875</v>
      </c>
    </row>
    <row r="255" spans="1:19" x14ac:dyDescent="0.6">
      <c r="A255" s="16">
        <v>10</v>
      </c>
      <c r="B255">
        <v>21023</v>
      </c>
      <c r="C255" t="s">
        <v>275</v>
      </c>
      <c r="D255" s="17">
        <v>57</v>
      </c>
      <c r="E255" s="18">
        <v>4</v>
      </c>
      <c r="F255" s="17">
        <v>42</v>
      </c>
      <c r="G255" s="18">
        <v>5</v>
      </c>
      <c r="H255" s="17">
        <v>65</v>
      </c>
      <c r="I255" s="18">
        <v>4</v>
      </c>
      <c r="J255" s="19">
        <v>4.333333333333333</v>
      </c>
      <c r="K255" s="20">
        <v>26</v>
      </c>
      <c r="L255" s="18">
        <v>4</v>
      </c>
      <c r="M255" s="17">
        <v>23</v>
      </c>
      <c r="N255" s="18">
        <v>5</v>
      </c>
      <c r="O255" s="17">
        <v>33</v>
      </c>
      <c r="P255" s="18">
        <v>3</v>
      </c>
      <c r="Q255" s="21">
        <v>246</v>
      </c>
      <c r="R255" s="22">
        <v>109</v>
      </c>
      <c r="S255" s="23">
        <v>4.25</v>
      </c>
    </row>
    <row r="256" spans="1:19" x14ac:dyDescent="0.6">
      <c r="A256" s="16">
        <v>10</v>
      </c>
      <c r="B256">
        <v>21024</v>
      </c>
      <c r="C256" t="s">
        <v>276</v>
      </c>
      <c r="D256" s="17">
        <v>69</v>
      </c>
      <c r="E256" s="18">
        <v>3</v>
      </c>
      <c r="F256" s="17">
        <v>42</v>
      </c>
      <c r="G256" s="18">
        <v>5</v>
      </c>
      <c r="H256" s="17">
        <v>75</v>
      </c>
      <c r="I256" s="18">
        <v>3</v>
      </c>
      <c r="J256" s="19">
        <v>3.6666666666666665</v>
      </c>
      <c r="K256" s="20">
        <v>14</v>
      </c>
      <c r="L256" s="18">
        <v>7</v>
      </c>
      <c r="M256" s="17">
        <v>29</v>
      </c>
      <c r="N256" s="18">
        <v>4</v>
      </c>
      <c r="O256" s="17">
        <v>21</v>
      </c>
      <c r="P256" s="18">
        <v>5</v>
      </c>
      <c r="Q256" s="21">
        <v>250</v>
      </c>
      <c r="R256" s="22">
        <v>105</v>
      </c>
      <c r="S256" s="23">
        <v>3.875</v>
      </c>
    </row>
    <row r="257" spans="1:19" x14ac:dyDescent="0.6">
      <c r="A257" s="16">
        <v>10</v>
      </c>
      <c r="B257">
        <v>21025</v>
      </c>
      <c r="C257" t="s">
        <v>277</v>
      </c>
      <c r="D257" s="17">
        <v>62</v>
      </c>
      <c r="E257" s="18">
        <v>4</v>
      </c>
      <c r="F257" s="17">
        <v>56</v>
      </c>
      <c r="G257" s="18">
        <v>4</v>
      </c>
      <c r="H257" s="17">
        <v>62</v>
      </c>
      <c r="I257" s="18">
        <v>4</v>
      </c>
      <c r="J257" s="19">
        <v>4</v>
      </c>
      <c r="K257" s="20">
        <v>41</v>
      </c>
      <c r="L257" s="18">
        <v>1</v>
      </c>
      <c r="M257" s="17">
        <v>25</v>
      </c>
      <c r="N257" s="18">
        <v>4</v>
      </c>
      <c r="O257" s="17">
        <v>29</v>
      </c>
      <c r="P257" s="18">
        <v>4</v>
      </c>
      <c r="Q257" s="21">
        <v>275</v>
      </c>
      <c r="R257" s="22">
        <v>77</v>
      </c>
      <c r="S257" s="23">
        <v>4</v>
      </c>
    </row>
    <row r="258" spans="1:19" x14ac:dyDescent="0.6">
      <c r="A258" s="16">
        <v>10</v>
      </c>
      <c r="B258">
        <v>21026</v>
      </c>
      <c r="C258" t="s">
        <v>278</v>
      </c>
      <c r="D258" s="17">
        <v>43</v>
      </c>
      <c r="E258" s="18">
        <v>5</v>
      </c>
      <c r="F258" s="17">
        <v>46</v>
      </c>
      <c r="G258" s="18">
        <v>5</v>
      </c>
      <c r="H258" s="17">
        <v>35</v>
      </c>
      <c r="I258" s="18">
        <v>7</v>
      </c>
      <c r="J258" s="19">
        <v>5.666666666666667</v>
      </c>
      <c r="K258" s="20">
        <v>18</v>
      </c>
      <c r="L258" s="18">
        <v>6</v>
      </c>
      <c r="M258" s="17">
        <v>33</v>
      </c>
      <c r="N258" s="18">
        <v>3</v>
      </c>
      <c r="O258" s="17">
        <v>27</v>
      </c>
      <c r="P258" s="18">
        <v>4</v>
      </c>
      <c r="Q258" s="21">
        <v>202</v>
      </c>
      <c r="R258" s="22">
        <v>160</v>
      </c>
      <c r="S258" s="23">
        <v>5.125</v>
      </c>
    </row>
  </sheetData>
  <autoFilter ref="A3:S258" xr:uid="{00000000-0009-0000-0000-000000000000}">
    <sortState xmlns:xlrd2="http://schemas.microsoft.com/office/spreadsheetml/2017/richdata2" ref="A5:S258">
      <sortCondition ref="B3:B258"/>
    </sortState>
  </autoFilter>
  <mergeCells count="39">
    <mergeCell ref="AB27:AB28"/>
    <mergeCell ref="AB16:AB17"/>
    <mergeCell ref="AC16:AC17"/>
    <mergeCell ref="AD16:AD17"/>
    <mergeCell ref="AE16:AE17"/>
    <mergeCell ref="AA27:AA28"/>
    <mergeCell ref="U16:V17"/>
    <mergeCell ref="W16:W17"/>
    <mergeCell ref="X16:X17"/>
    <mergeCell ref="Y16:Y17"/>
    <mergeCell ref="Z16:Z17"/>
    <mergeCell ref="AA16:AA17"/>
    <mergeCell ref="U27:V28"/>
    <mergeCell ref="W27:W28"/>
    <mergeCell ref="X27:X28"/>
    <mergeCell ref="Y27:Y28"/>
    <mergeCell ref="Z27:Z28"/>
    <mergeCell ref="AB13:AB14"/>
    <mergeCell ref="O2:P2"/>
    <mergeCell ref="Q2:Q3"/>
    <mergeCell ref="R2:R3"/>
    <mergeCell ref="S2:S3"/>
    <mergeCell ref="U3:V3"/>
    <mergeCell ref="U13:V14"/>
    <mergeCell ref="W13:W14"/>
    <mergeCell ref="X13:X14"/>
    <mergeCell ref="Y13:Y14"/>
    <mergeCell ref="Z13:Z14"/>
    <mergeCell ref="AA13:AA14"/>
    <mergeCell ref="A1:S1"/>
    <mergeCell ref="A2:A3"/>
    <mergeCell ref="B2:B3"/>
    <mergeCell ref="C2:C3"/>
    <mergeCell ref="D2:E2"/>
    <mergeCell ref="F2:G2"/>
    <mergeCell ref="H2:I2"/>
    <mergeCell ref="J2:J3"/>
    <mergeCell ref="K2:L2"/>
    <mergeCell ref="M2:N2"/>
  </mergeCells>
  <phoneticPr fontId="7" type="noConversion"/>
  <conditionalFormatting sqref="E4:E258">
    <cfRule type="containsText" dxfId="12" priority="11" operator="containsText" text="2">
      <formula>NOT(ISERROR(SEARCH("2",E4)))</formula>
    </cfRule>
    <cfRule type="containsText" dxfId="11" priority="12" operator="containsText" text="1">
      <formula>NOT(ISERROR(SEARCH("1",E4)))</formula>
    </cfRule>
  </conditionalFormatting>
  <conditionalFormatting sqref="G4:G258">
    <cfRule type="containsText" dxfId="10" priority="9" operator="containsText" text="2">
      <formula>NOT(ISERROR(SEARCH("2",G4)))</formula>
    </cfRule>
    <cfRule type="containsText" dxfId="9" priority="10" operator="containsText" text="1">
      <formula>NOT(ISERROR(SEARCH("1",G4)))</formula>
    </cfRule>
  </conditionalFormatting>
  <conditionalFormatting sqref="G1:I1 K1:L1 E1:E3 N1:N3 P1:P3 G2:H2 K2 G3:I3 K3:L3 H4:H258 K4:K258 E259:E1048576 G259:I1048576 K259:L1048576 N259:N1048576 P259:P1048576">
    <cfRule type="cellIs" dxfId="8" priority="13" operator="equal">
      <formula>1</formula>
    </cfRule>
  </conditionalFormatting>
  <conditionalFormatting sqref="I4:I258">
    <cfRule type="containsText" dxfId="7" priority="7" operator="containsText" text="2">
      <formula>NOT(ISERROR(SEARCH("2",I4)))</formula>
    </cfRule>
    <cfRule type="containsText" dxfId="6" priority="8" operator="containsText" text="1">
      <formula>NOT(ISERROR(SEARCH("1",I4)))</formula>
    </cfRule>
  </conditionalFormatting>
  <conditionalFormatting sqref="L4:L258">
    <cfRule type="containsText" dxfId="5" priority="5" operator="containsText" text="2">
      <formula>NOT(ISERROR(SEARCH("2",L4)))</formula>
    </cfRule>
    <cfRule type="containsText" dxfId="4" priority="6" operator="containsText" text="1">
      <formula>NOT(ISERROR(SEARCH("1",L4)))</formula>
    </cfRule>
  </conditionalFormatting>
  <conditionalFormatting sqref="N4:N258">
    <cfRule type="containsText" dxfId="3" priority="3" operator="containsText" text="2">
      <formula>NOT(ISERROR(SEARCH("2",N4)))</formula>
    </cfRule>
    <cfRule type="containsText" dxfId="2" priority="4" operator="containsText" text="1">
      <formula>NOT(ISERROR(SEARCH("1",N4)))</formula>
    </cfRule>
  </conditionalFormatting>
  <conditionalFormatting sqref="P4:P258">
    <cfRule type="containsText" dxfId="1" priority="1" operator="containsText" text="2">
      <formula>NOT(ISERROR(SEARCH("2",P4)))</formula>
    </cfRule>
    <cfRule type="containsText" dxfId="0" priority="2" operator="containsText" text="1">
      <formula>NOT(ISERROR(SEARCH("1",P4)))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3A88A79431642A585BD5C3D23E5DD" ma:contentTypeVersion="11" ma:contentTypeDescription="Create a new document." ma:contentTypeScope="" ma:versionID="5de7b03bc3a06db165f19426b2604488">
  <xsd:schema xmlns:xsd="http://www.w3.org/2001/XMLSchema" xmlns:xs="http://www.w3.org/2001/XMLSchema" xmlns:p="http://schemas.microsoft.com/office/2006/metadata/properties" xmlns:ns3="7cd756bd-2e4d-445f-941e-81311e368928" targetNamespace="http://schemas.microsoft.com/office/2006/metadata/properties" ma:root="true" ma:fieldsID="246c786049076f21bd58022a28d6f758" ns3:_="">
    <xsd:import namespace="7cd756bd-2e4d-445f-941e-81311e3689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756bd-2e4d-445f-941e-81311e3689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B4FC19-264E-4D4F-ABC2-6217601A4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d756bd-2e4d-445f-941e-81311e3689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B4E55E-B0AA-41EE-BCCC-D696AA58C2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380286-F97A-4155-9C19-49021B111A60}">
  <ds:schemaRefs>
    <ds:schemaRef ds:uri="http://purl.org/dc/dcmitype/"/>
    <ds:schemaRef ds:uri="http://www.w3.org/XML/1998/namespace"/>
    <ds:schemaRef ds:uri="7cd756bd-2e4d-445f-941e-81311e368928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2학년 3월 모의고사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윤영필</dc:creator>
  <cp:lastModifiedBy>익 유</cp:lastModifiedBy>
  <dcterms:created xsi:type="dcterms:W3CDTF">2026-03-25T01:00:21Z</dcterms:created>
  <dcterms:modified xsi:type="dcterms:W3CDTF">2026-03-29T07:11:03Z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0x0101006383A88A79431642A585BD5C3D23E5DD</vt:lpwstr>
  </property>
</Properties>
</file>